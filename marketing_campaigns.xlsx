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ziadm\Desktop\projects analysis\"/>
    </mc:Choice>
  </mc:AlternateContent>
  <xr:revisionPtr revIDLastSave="0" documentId="8_{861338D7-E4B0-4F34-A5C0-AAF1F45389AE}" xr6:coauthVersionLast="47" xr6:coauthVersionMax="47" xr10:uidLastSave="{00000000-0000-0000-0000-000000000000}"/>
  <bookViews>
    <workbookView xWindow="-108" yWindow="-108" windowWidth="23256" windowHeight="12456" activeTab="1" xr2:uid="{70574639-C69F-4850-BFAB-2B8AC05D8FE2}"/>
  </bookViews>
  <sheets>
    <sheet name="Sheet1" sheetId="2" r:id="rId1"/>
    <sheet name="DASHBOARD" sheetId="3" r:id="rId2"/>
    <sheet name="marketing_campaigns" sheetId="1" r:id="rId3"/>
  </sheets>
  <definedNames>
    <definedName name="_xlcn.WorksheetConnection_marketing_campaigns.csv.xlsxTable21" hidden="1">Table2[]</definedName>
    <definedName name="Slicer_campaign_name">#N/A</definedName>
    <definedName name="Slicer_channel">#N/A</definedName>
    <definedName name="Slicer_channel1">#N/A</definedName>
    <definedName name="Slicer_channel2">#N/A</definedName>
    <definedName name="Slicer_ROI_status">#N/A</definedName>
    <definedName name="Slicer_ROI_status1">#N/A</definedName>
    <definedName name="Slicer_ROI_status2">#N/A</definedName>
    <definedName name="Slicer_start_date">#N/A</definedName>
    <definedName name="Slicer_start_date1">#N/A</definedName>
    <definedName name="Slicer_start_date2">#N/A</definedName>
    <definedName name="Slicer_type">#N/A</definedName>
    <definedName name="Slicer_type1">#N/A</definedName>
    <definedName name="Slicer_type2">#N/A</definedName>
  </definedNames>
  <calcPr calcId="191029"/>
  <pivotCaches>
    <pivotCache cacheId="0" r:id="rId4"/>
  </pivotCaches>
  <extLst>
    <ext xmlns:x14="http://schemas.microsoft.com/office/spreadsheetml/2009/9/main" uri="{876F7934-8845-4945-9796-88D515C7AA90}">
      <x14:pivotCaches>
        <pivotCache cacheId="1" r:id="rId5"/>
      </x14:pivotCaches>
    </ex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4:slicerCache r:id="rId17"/>
        <x14:slicerCache r:id="rId18"/>
      </x15:slicerCaches>
    </ext>
    <ext xmlns:x15="http://schemas.microsoft.com/office/spreadsheetml/2010/11/main" uri="{FCE2AD5D-F65C-4FA6-A056-5C36A1767C68}">
      <x15:dataModel>
        <x15:modelTables>
          <x15:modelTable id="Table2" name="Table2" connection="WorksheetConnection_marketing_campaigns.csv.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L2" i="1"/>
  <c r="M2" i="1" s="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O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O31" i="1" s="1"/>
  <c r="L32" i="1"/>
  <c r="M32" i="1" s="1"/>
  <c r="L33" i="1"/>
  <c r="M33" i="1" s="1"/>
  <c r="L34" i="1"/>
  <c r="M34" i="1" s="1"/>
  <c r="L35" i="1"/>
  <c r="M35" i="1" s="1"/>
  <c r="L36" i="1"/>
  <c r="M36" i="1" s="1"/>
  <c r="O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O72" i="1" s="1"/>
  <c r="L73" i="1"/>
  <c r="M73" i="1" s="1"/>
  <c r="O73" i="1" s="1"/>
  <c r="L74" i="1"/>
  <c r="M74" i="1" s="1"/>
  <c r="L75" i="1"/>
  <c r="M75" i="1" s="1"/>
  <c r="O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O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O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O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O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O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O211" i="1" s="1"/>
  <c r="L212" i="1"/>
  <c r="M212" i="1" s="1"/>
  <c r="L213" i="1"/>
  <c r="M213" i="1" s="1"/>
  <c r="L214" i="1"/>
  <c r="M214" i="1" s="1"/>
  <c r="L215" i="1"/>
  <c r="M215" i="1" s="1"/>
  <c r="L216" i="1"/>
  <c r="M216" i="1" s="1"/>
  <c r="O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O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O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O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O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O331" i="1" s="1"/>
  <c r="L332" i="1"/>
  <c r="M332" i="1" s="1"/>
  <c r="O332" i="1" s="1"/>
  <c r="L333" i="1"/>
  <c r="M333" i="1" s="1"/>
  <c r="L334" i="1"/>
  <c r="M334" i="1" s="1"/>
  <c r="O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O355" i="1" s="1"/>
  <c r="L356" i="1"/>
  <c r="M356" i="1" s="1"/>
  <c r="L357" i="1"/>
  <c r="M357" i="1" s="1"/>
  <c r="L358" i="1"/>
  <c r="M358" i="1" s="1"/>
  <c r="L359" i="1"/>
  <c r="M359" i="1" s="1"/>
  <c r="L360" i="1"/>
  <c r="M360" i="1" s="1"/>
  <c r="L361" i="1"/>
  <c r="M361" i="1" s="1"/>
  <c r="L362" i="1"/>
  <c r="M362" i="1" s="1"/>
  <c r="L363" i="1"/>
  <c r="M363" i="1" s="1"/>
  <c r="O363" i="1" s="1"/>
  <c r="L364" i="1"/>
  <c r="M364" i="1" s="1"/>
  <c r="L365" i="1"/>
  <c r="M365" i="1" s="1"/>
  <c r="L366" i="1"/>
  <c r="M366" i="1" s="1"/>
  <c r="L367" i="1"/>
  <c r="M367" i="1" s="1"/>
  <c r="O367" i="1" s="1"/>
  <c r="L368" i="1"/>
  <c r="M368" i="1" s="1"/>
  <c r="L369" i="1"/>
  <c r="M369" i="1" s="1"/>
  <c r="O369" i="1" s="1"/>
  <c r="L370" i="1"/>
  <c r="M370" i="1" s="1"/>
  <c r="O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O402" i="1" s="1"/>
  <c r="L403" i="1"/>
  <c r="M403" i="1" s="1"/>
  <c r="O403" i="1" s="1"/>
  <c r="L404" i="1"/>
  <c r="M404" i="1" s="1"/>
  <c r="O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O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O451" i="1" s="1"/>
  <c r="L452" i="1"/>
  <c r="M452" i="1" s="1"/>
  <c r="O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O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O493" i="1" s="1"/>
  <c r="L494" i="1"/>
  <c r="M494" i="1" s="1"/>
  <c r="L495" i="1"/>
  <c r="M495" i="1" s="1"/>
  <c r="L496" i="1"/>
  <c r="M496" i="1" s="1"/>
  <c r="L497" i="1"/>
  <c r="M497" i="1" s="1"/>
  <c r="L498" i="1"/>
  <c r="M498" i="1" s="1"/>
  <c r="L499" i="1"/>
  <c r="M499" i="1" s="1"/>
  <c r="O499" i="1" s="1"/>
  <c r="L500" i="1"/>
  <c r="M500" i="1" s="1"/>
  <c r="L501" i="1"/>
  <c r="M501" i="1" s="1"/>
  <c r="L502" i="1"/>
  <c r="M502" i="1" s="1"/>
  <c r="L503" i="1"/>
  <c r="M503" i="1" s="1"/>
  <c r="L504" i="1"/>
  <c r="M504" i="1" s="1"/>
  <c r="L505" i="1"/>
  <c r="M505" i="1" s="1"/>
  <c r="L506" i="1"/>
  <c r="M506" i="1" s="1"/>
  <c r="L507" i="1"/>
  <c r="M507" i="1" s="1"/>
  <c r="L508" i="1"/>
  <c r="M508" i="1" s="1"/>
  <c r="L509" i="1"/>
  <c r="M509" i="1" s="1"/>
  <c r="L510" i="1"/>
  <c r="M510" i="1" s="1"/>
  <c r="L511" i="1"/>
  <c r="M511" i="1" s="1"/>
  <c r="L512" i="1"/>
  <c r="M512" i="1" s="1"/>
  <c r="L513" i="1"/>
  <c r="M513" i="1" s="1"/>
  <c r="L514" i="1"/>
  <c r="M514" i="1" s="1"/>
  <c r="L515" i="1"/>
  <c r="M515" i="1" s="1"/>
  <c r="L516" i="1"/>
  <c r="M516"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O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O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O571" i="1" s="1"/>
  <c r="L572" i="1"/>
  <c r="M572" i="1" s="1"/>
  <c r="O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O619" i="1" s="1"/>
  <c r="L620" i="1"/>
  <c r="M620" i="1" s="1"/>
  <c r="O620" i="1" s="1"/>
  <c r="L621" i="1"/>
  <c r="M621" i="1" s="1"/>
  <c r="L622" i="1"/>
  <c r="M622" i="1" s="1"/>
  <c r="O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O643" i="1" s="1"/>
  <c r="L644" i="1"/>
  <c r="M644" i="1" s="1"/>
  <c r="L645" i="1"/>
  <c r="M645" i="1" s="1"/>
  <c r="L646" i="1"/>
  <c r="M646" i="1" s="1"/>
  <c r="L647" i="1"/>
  <c r="M647" i="1" s="1"/>
  <c r="L648" i="1"/>
  <c r="M648" i="1" s="1"/>
  <c r="L649" i="1"/>
  <c r="M649" i="1" s="1"/>
  <c r="L650" i="1"/>
  <c r="M650" i="1" s="1"/>
  <c r="L651" i="1"/>
  <c r="M651" i="1" s="1"/>
  <c r="O651" i="1" s="1"/>
  <c r="L652" i="1"/>
  <c r="M652" i="1" s="1"/>
  <c r="L653" i="1"/>
  <c r="M653" i="1" s="1"/>
  <c r="L654" i="1"/>
  <c r="M654" i="1" s="1"/>
  <c r="L655" i="1"/>
  <c r="M655" i="1" s="1"/>
  <c r="O655" i="1" s="1"/>
  <c r="L656" i="1"/>
  <c r="M656" i="1" s="1"/>
  <c r="L657" i="1"/>
  <c r="M657" i="1" s="1"/>
  <c r="O657" i="1" s="1"/>
  <c r="L658" i="1"/>
  <c r="M658" i="1" s="1"/>
  <c r="O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M680" i="1" s="1"/>
  <c r="L681" i="1"/>
  <c r="M681" i="1" s="1"/>
  <c r="L682" i="1"/>
  <c r="M682" i="1" s="1"/>
  <c r="L683" i="1"/>
  <c r="M683" i="1" s="1"/>
  <c r="L684" i="1"/>
  <c r="M684" i="1" s="1"/>
  <c r="L685" i="1"/>
  <c r="M685" i="1" s="1"/>
  <c r="L686" i="1"/>
  <c r="M686" i="1" s="1"/>
  <c r="L687" i="1"/>
  <c r="M687" i="1" s="1"/>
  <c r="L688" i="1"/>
  <c r="M688" i="1" s="1"/>
  <c r="L689" i="1"/>
  <c r="M689" i="1" s="1"/>
  <c r="L690" i="1"/>
  <c r="M690" i="1" s="1"/>
  <c r="O690" i="1" s="1"/>
  <c r="L691" i="1"/>
  <c r="M691" i="1" s="1"/>
  <c r="O691" i="1" s="1"/>
  <c r="L692" i="1"/>
  <c r="M692" i="1" s="1"/>
  <c r="O692" i="1" s="1"/>
  <c r="L693" i="1"/>
  <c r="M693" i="1" s="1"/>
  <c r="L694" i="1"/>
  <c r="M694" i="1" s="1"/>
  <c r="L695" i="1"/>
  <c r="M695" i="1" s="1"/>
  <c r="L696" i="1"/>
  <c r="M696" i="1" s="1"/>
  <c r="L697" i="1"/>
  <c r="M697" i="1" s="1"/>
  <c r="L698" i="1"/>
  <c r="M698" i="1" s="1"/>
  <c r="L699" i="1"/>
  <c r="M699" i="1" s="1"/>
  <c r="L700" i="1"/>
  <c r="M700" i="1" s="1"/>
  <c r="L701" i="1"/>
  <c r="M701" i="1" s="1"/>
  <c r="L702" i="1"/>
  <c r="M702" i="1" s="1"/>
  <c r="L703" i="1"/>
  <c r="M703" i="1" s="1"/>
  <c r="L704" i="1"/>
  <c r="M704" i="1" s="1"/>
  <c r="L705" i="1"/>
  <c r="M705" i="1" s="1"/>
  <c r="L706" i="1"/>
  <c r="M706" i="1" s="1"/>
  <c r="L707" i="1"/>
  <c r="M707" i="1" s="1"/>
  <c r="L708" i="1"/>
  <c r="M708" i="1" s="1"/>
  <c r="L709" i="1"/>
  <c r="M709" i="1" s="1"/>
  <c r="L710" i="1"/>
  <c r="M710" i="1" s="1"/>
  <c r="L711" i="1"/>
  <c r="M711" i="1" s="1"/>
  <c r="L712" i="1"/>
  <c r="M712" i="1" s="1"/>
  <c r="L713" i="1"/>
  <c r="M713" i="1" s="1"/>
  <c r="L714" i="1"/>
  <c r="M714" i="1" s="1"/>
  <c r="L715" i="1"/>
  <c r="M715" i="1" s="1"/>
  <c r="L716" i="1"/>
  <c r="M716" i="1" s="1"/>
  <c r="L717" i="1"/>
  <c r="M717" i="1" s="1"/>
  <c r="L718" i="1"/>
  <c r="M718" i="1" s="1"/>
  <c r="L719" i="1"/>
  <c r="M719" i="1" s="1"/>
  <c r="L720" i="1"/>
  <c r="M720" i="1" s="1"/>
  <c r="L721" i="1"/>
  <c r="M721" i="1" s="1"/>
  <c r="L722" i="1"/>
  <c r="M722" i="1" s="1"/>
  <c r="L723" i="1"/>
  <c r="M723" i="1" s="1"/>
  <c r="L724" i="1"/>
  <c r="M724" i="1" s="1"/>
  <c r="L725" i="1"/>
  <c r="M725" i="1" s="1"/>
  <c r="L726" i="1"/>
  <c r="M726" i="1" s="1"/>
  <c r="L727" i="1"/>
  <c r="M727" i="1" s="1"/>
  <c r="O727" i="1" s="1"/>
  <c r="L728" i="1"/>
  <c r="M728" i="1" s="1"/>
  <c r="L729" i="1"/>
  <c r="M729" i="1" s="1"/>
  <c r="L730" i="1"/>
  <c r="M730" i="1" s="1"/>
  <c r="L731" i="1"/>
  <c r="M731" i="1" s="1"/>
  <c r="L732" i="1"/>
  <c r="M732" i="1" s="1"/>
  <c r="L733" i="1"/>
  <c r="M733" i="1" s="1"/>
  <c r="L734" i="1"/>
  <c r="M734" i="1" s="1"/>
  <c r="L735" i="1"/>
  <c r="M735" i="1" s="1"/>
  <c r="L736" i="1"/>
  <c r="M736" i="1" s="1"/>
  <c r="L737" i="1"/>
  <c r="M737" i="1" s="1"/>
  <c r="L738" i="1"/>
  <c r="M738" i="1" s="1"/>
  <c r="L739" i="1"/>
  <c r="M739" i="1" s="1"/>
  <c r="O739" i="1" s="1"/>
  <c r="L740" i="1"/>
  <c r="M740" i="1" s="1"/>
  <c r="L741" i="1"/>
  <c r="M741" i="1" s="1"/>
  <c r="L742" i="1"/>
  <c r="M742" i="1" s="1"/>
  <c r="L743" i="1"/>
  <c r="M743" i="1" s="1"/>
  <c r="L744" i="1"/>
  <c r="M744" i="1" s="1"/>
  <c r="L745" i="1"/>
  <c r="M745" i="1" s="1"/>
  <c r="L746" i="1"/>
  <c r="M746" i="1" s="1"/>
  <c r="L747" i="1"/>
  <c r="M747" i="1" s="1"/>
  <c r="L748" i="1"/>
  <c r="M748" i="1" s="1"/>
  <c r="L749" i="1"/>
  <c r="M749" i="1" s="1"/>
  <c r="L750" i="1"/>
  <c r="M750" i="1" s="1"/>
  <c r="L751" i="1"/>
  <c r="M751" i="1" s="1"/>
  <c r="L752" i="1"/>
  <c r="M752" i="1" s="1"/>
  <c r="L753" i="1"/>
  <c r="M753" i="1" s="1"/>
  <c r="L754" i="1"/>
  <c r="M754" i="1" s="1"/>
  <c r="L755" i="1"/>
  <c r="M755" i="1" s="1"/>
  <c r="L756" i="1"/>
  <c r="M756" i="1" s="1"/>
  <c r="L757" i="1"/>
  <c r="M757" i="1" s="1"/>
  <c r="L758" i="1"/>
  <c r="M758" i="1" s="1"/>
  <c r="L759" i="1"/>
  <c r="M759" i="1" s="1"/>
  <c r="L760" i="1"/>
  <c r="M760" i="1" s="1"/>
  <c r="L761" i="1"/>
  <c r="M761" i="1" s="1"/>
  <c r="L762" i="1"/>
  <c r="M762" i="1" s="1"/>
  <c r="L763" i="1"/>
  <c r="M763" i="1" s="1"/>
  <c r="L764" i="1"/>
  <c r="M764" i="1" s="1"/>
  <c r="L765" i="1"/>
  <c r="M765" i="1" s="1"/>
  <c r="L766" i="1"/>
  <c r="M766" i="1" s="1"/>
  <c r="L767" i="1"/>
  <c r="M767" i="1" s="1"/>
  <c r="L768" i="1"/>
  <c r="M768" i="1" s="1"/>
  <c r="L769" i="1"/>
  <c r="M769" i="1" s="1"/>
  <c r="L770" i="1"/>
  <c r="M770" i="1" s="1"/>
  <c r="L771" i="1"/>
  <c r="M771" i="1" s="1"/>
  <c r="L772" i="1"/>
  <c r="M772" i="1" s="1"/>
  <c r="L773" i="1"/>
  <c r="M773" i="1" s="1"/>
  <c r="L774" i="1"/>
  <c r="M774" i="1" s="1"/>
  <c r="L775" i="1"/>
  <c r="M775" i="1" s="1"/>
  <c r="L776" i="1"/>
  <c r="M776" i="1" s="1"/>
  <c r="L777" i="1"/>
  <c r="M777" i="1" s="1"/>
  <c r="L778" i="1"/>
  <c r="M778" i="1" s="1"/>
  <c r="L779" i="1"/>
  <c r="M779" i="1" s="1"/>
  <c r="L780" i="1"/>
  <c r="M780" i="1" s="1"/>
  <c r="L781" i="1"/>
  <c r="M781" i="1" s="1"/>
  <c r="O781" i="1" s="1"/>
  <c r="L782" i="1"/>
  <c r="M782" i="1" s="1"/>
  <c r="L783" i="1"/>
  <c r="M783" i="1" s="1"/>
  <c r="O783" i="1" s="1"/>
  <c r="L784" i="1"/>
  <c r="M784" i="1" s="1"/>
  <c r="L785" i="1"/>
  <c r="M785" i="1" s="1"/>
  <c r="L786" i="1"/>
  <c r="M786" i="1" s="1"/>
  <c r="L787" i="1"/>
  <c r="M787" i="1" s="1"/>
  <c r="L788" i="1"/>
  <c r="M788" i="1" s="1"/>
  <c r="L789" i="1"/>
  <c r="M789" i="1" s="1"/>
  <c r="L790" i="1"/>
  <c r="M790" i="1" s="1"/>
  <c r="L791" i="1"/>
  <c r="M791" i="1" s="1"/>
  <c r="L792" i="1"/>
  <c r="M792" i="1" s="1"/>
  <c r="L793" i="1"/>
  <c r="M793" i="1" s="1"/>
  <c r="L794" i="1"/>
  <c r="M794" i="1" s="1"/>
  <c r="L795" i="1"/>
  <c r="M795" i="1" s="1"/>
  <c r="L796" i="1"/>
  <c r="M796" i="1" s="1"/>
  <c r="L797" i="1"/>
  <c r="M797" i="1" s="1"/>
  <c r="L798" i="1"/>
  <c r="M798" i="1" s="1"/>
  <c r="L799" i="1"/>
  <c r="M799" i="1" s="1"/>
  <c r="L800" i="1"/>
  <c r="M800" i="1" s="1"/>
  <c r="L801" i="1"/>
  <c r="M801" i="1" s="1"/>
  <c r="L802" i="1"/>
  <c r="M802" i="1" s="1"/>
  <c r="L803" i="1"/>
  <c r="M803" i="1" s="1"/>
  <c r="L804" i="1"/>
  <c r="M804" i="1" s="1"/>
  <c r="L805" i="1"/>
  <c r="M805" i="1" s="1"/>
  <c r="L806" i="1"/>
  <c r="M806" i="1" s="1"/>
  <c r="L807" i="1"/>
  <c r="M807" i="1" s="1"/>
  <c r="L808" i="1"/>
  <c r="M808" i="1" s="1"/>
  <c r="L809" i="1"/>
  <c r="M809" i="1" s="1"/>
  <c r="L810" i="1"/>
  <c r="M810" i="1" s="1"/>
  <c r="L811" i="1"/>
  <c r="M811" i="1" s="1"/>
  <c r="L812" i="1"/>
  <c r="M812" i="1" s="1"/>
  <c r="L813" i="1"/>
  <c r="M813" i="1" s="1"/>
  <c r="L814" i="1"/>
  <c r="M814" i="1" s="1"/>
  <c r="L815" i="1"/>
  <c r="M815" i="1" s="1"/>
  <c r="L816" i="1"/>
  <c r="M816" i="1" s="1"/>
  <c r="L817" i="1"/>
  <c r="M817" i="1" s="1"/>
  <c r="L818" i="1"/>
  <c r="M818" i="1" s="1"/>
  <c r="L819" i="1"/>
  <c r="M819" i="1" s="1"/>
  <c r="L820" i="1"/>
  <c r="M820" i="1" s="1"/>
  <c r="L821" i="1"/>
  <c r="M821" i="1" s="1"/>
  <c r="L822" i="1"/>
  <c r="M822" i="1" s="1"/>
  <c r="L823" i="1"/>
  <c r="M823" i="1" s="1"/>
  <c r="L824" i="1"/>
  <c r="M824" i="1" s="1"/>
  <c r="L825" i="1"/>
  <c r="M825" i="1" s="1"/>
  <c r="L826" i="1"/>
  <c r="M826" i="1" s="1"/>
  <c r="L827" i="1"/>
  <c r="M827" i="1" s="1"/>
  <c r="L828" i="1"/>
  <c r="M828" i="1" s="1"/>
  <c r="L829" i="1"/>
  <c r="M829" i="1" s="1"/>
  <c r="L830" i="1"/>
  <c r="M830" i="1" s="1"/>
  <c r="L831" i="1"/>
  <c r="M831" i="1" s="1"/>
  <c r="L832" i="1"/>
  <c r="M832" i="1" s="1"/>
  <c r="L833" i="1"/>
  <c r="M833" i="1" s="1"/>
  <c r="L834" i="1"/>
  <c r="M834" i="1" s="1"/>
  <c r="O834" i="1" s="1"/>
  <c r="L835" i="1"/>
  <c r="M835" i="1" s="1"/>
  <c r="L836" i="1"/>
  <c r="M836" i="1" s="1"/>
  <c r="L837" i="1"/>
  <c r="M837" i="1" s="1"/>
  <c r="L838" i="1"/>
  <c r="M838" i="1" s="1"/>
  <c r="L839" i="1"/>
  <c r="M839" i="1" s="1"/>
  <c r="L840" i="1"/>
  <c r="M840" i="1" s="1"/>
  <c r="L841" i="1"/>
  <c r="M841" i="1" s="1"/>
  <c r="L842" i="1"/>
  <c r="M842" i="1" s="1"/>
  <c r="L843" i="1"/>
  <c r="M843" i="1" s="1"/>
  <c r="L844" i="1"/>
  <c r="M844" i="1" s="1"/>
  <c r="L845" i="1"/>
  <c r="M845" i="1" s="1"/>
  <c r="L846" i="1"/>
  <c r="M846" i="1" s="1"/>
  <c r="L847" i="1"/>
  <c r="M847" i="1" s="1"/>
  <c r="L848" i="1"/>
  <c r="M848" i="1" s="1"/>
  <c r="L849" i="1"/>
  <c r="M849" i="1" s="1"/>
  <c r="L850" i="1"/>
  <c r="M850" i="1" s="1"/>
  <c r="L851" i="1"/>
  <c r="M851" i="1" s="1"/>
  <c r="L852" i="1"/>
  <c r="M852" i="1" s="1"/>
  <c r="L853" i="1"/>
  <c r="M853" i="1" s="1"/>
  <c r="L854" i="1"/>
  <c r="M854" i="1" s="1"/>
  <c r="L855" i="1"/>
  <c r="M855" i="1" s="1"/>
  <c r="L856" i="1"/>
  <c r="M856" i="1" s="1"/>
  <c r="L857" i="1"/>
  <c r="M857" i="1" s="1"/>
  <c r="L858" i="1"/>
  <c r="M858" i="1" s="1"/>
  <c r="L859" i="1"/>
  <c r="M859" i="1" s="1"/>
  <c r="O859" i="1" s="1"/>
  <c r="L860" i="1"/>
  <c r="M860" i="1" s="1"/>
  <c r="L861" i="1"/>
  <c r="M861" i="1" s="1"/>
  <c r="L862" i="1"/>
  <c r="M862" i="1" s="1"/>
  <c r="L863" i="1"/>
  <c r="M863" i="1" s="1"/>
  <c r="L864" i="1"/>
  <c r="M864" i="1" s="1"/>
  <c r="O864" i="1" s="1"/>
  <c r="L865" i="1"/>
  <c r="M865" i="1" s="1"/>
  <c r="L866" i="1"/>
  <c r="M866" i="1" s="1"/>
  <c r="L867" i="1"/>
  <c r="M867" i="1" s="1"/>
  <c r="L868" i="1"/>
  <c r="M868" i="1" s="1"/>
  <c r="L869" i="1"/>
  <c r="M869" i="1" s="1"/>
  <c r="L870" i="1"/>
  <c r="M870" i="1" s="1"/>
  <c r="L871" i="1"/>
  <c r="M871" i="1" s="1"/>
  <c r="L872" i="1"/>
  <c r="M872" i="1" s="1"/>
  <c r="L873" i="1"/>
  <c r="M873" i="1" s="1"/>
  <c r="L874" i="1"/>
  <c r="M874" i="1" s="1"/>
  <c r="L875" i="1"/>
  <c r="M875" i="1" s="1"/>
  <c r="L876" i="1"/>
  <c r="M876" i="1" s="1"/>
  <c r="L877" i="1"/>
  <c r="M877" i="1" s="1"/>
  <c r="L878" i="1"/>
  <c r="M878" i="1" s="1"/>
  <c r="L879" i="1"/>
  <c r="M879" i="1" s="1"/>
  <c r="L880" i="1"/>
  <c r="M880" i="1" s="1"/>
  <c r="L881" i="1"/>
  <c r="M881" i="1" s="1"/>
  <c r="L882" i="1"/>
  <c r="M882" i="1" s="1"/>
  <c r="L883" i="1"/>
  <c r="M883" i="1" s="1"/>
  <c r="O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O907" i="1" s="1"/>
  <c r="L908" i="1"/>
  <c r="M908" i="1" s="1"/>
  <c r="L909" i="1"/>
  <c r="M909" i="1" s="1"/>
  <c r="L910" i="1"/>
  <c r="M910" i="1" s="1"/>
  <c r="L911" i="1"/>
  <c r="M911" i="1" s="1"/>
  <c r="L912" i="1"/>
  <c r="M912" i="1" s="1"/>
  <c r="O912" i="1" s="1"/>
  <c r="L913" i="1"/>
  <c r="M913" i="1" s="1"/>
  <c r="L914" i="1"/>
  <c r="M914" i="1" s="1"/>
  <c r="L915" i="1"/>
  <c r="M915" i="1" s="1"/>
  <c r="O915" i="1" s="1"/>
  <c r="L916" i="1"/>
  <c r="M916" i="1" s="1"/>
  <c r="L917" i="1"/>
  <c r="M917" i="1" s="1"/>
  <c r="L918" i="1"/>
  <c r="M918" i="1" s="1"/>
  <c r="L919" i="1"/>
  <c r="M919" i="1" s="1"/>
  <c r="L920" i="1"/>
  <c r="M920" i="1" s="1"/>
  <c r="L921" i="1"/>
  <c r="M921" i="1" s="1"/>
  <c r="L922" i="1"/>
  <c r="M922" i="1" s="1"/>
  <c r="L923" i="1"/>
  <c r="M923" i="1" s="1"/>
  <c r="L924" i="1"/>
  <c r="M924" i="1" s="1"/>
  <c r="L925" i="1"/>
  <c r="M925" i="1" s="1"/>
  <c r="L926" i="1"/>
  <c r="M926" i="1" s="1"/>
  <c r="L927" i="1"/>
  <c r="M927" i="1" s="1"/>
  <c r="L928" i="1"/>
  <c r="M928" i="1" s="1"/>
  <c r="L929" i="1"/>
  <c r="M929" i="1" s="1"/>
  <c r="L930" i="1"/>
  <c r="M930" i="1" s="1"/>
  <c r="L931" i="1"/>
  <c r="M931" i="1" s="1"/>
  <c r="L932" i="1"/>
  <c r="M932" i="1" s="1"/>
  <c r="L933" i="1"/>
  <c r="M933" i="1" s="1"/>
  <c r="L934" i="1"/>
  <c r="M934" i="1" s="1"/>
  <c r="L935" i="1"/>
  <c r="M935" i="1" s="1"/>
  <c r="L936" i="1"/>
  <c r="M936" i="1" s="1"/>
  <c r="L937" i="1"/>
  <c r="M937" i="1" s="1"/>
  <c r="L938" i="1"/>
  <c r="M938" i="1" s="1"/>
  <c r="L939" i="1"/>
  <c r="M939" i="1" s="1"/>
  <c r="L940" i="1"/>
  <c r="M940" i="1" s="1"/>
  <c r="L941" i="1"/>
  <c r="M941" i="1" s="1"/>
  <c r="L942" i="1"/>
  <c r="M942" i="1" s="1"/>
  <c r="L943" i="1"/>
  <c r="M943" i="1" s="1"/>
  <c r="L944" i="1"/>
  <c r="M944" i="1" s="1"/>
  <c r="L945" i="1"/>
  <c r="M945" i="1" s="1"/>
  <c r="L946" i="1"/>
  <c r="M946" i="1" s="1"/>
  <c r="L947" i="1"/>
  <c r="M947" i="1" s="1"/>
  <c r="L948" i="1"/>
  <c r="M948" i="1" s="1"/>
  <c r="L949" i="1"/>
  <c r="M949" i="1" s="1"/>
  <c r="L950" i="1"/>
  <c r="M950" i="1" s="1"/>
  <c r="L951" i="1"/>
  <c r="M951" i="1" s="1"/>
  <c r="L952" i="1"/>
  <c r="M952" i="1" s="1"/>
  <c r="L953" i="1"/>
  <c r="M953" i="1" s="1"/>
  <c r="L954" i="1"/>
  <c r="M954" i="1" s="1"/>
  <c r="L955" i="1"/>
  <c r="M955" i="1" s="1"/>
  <c r="O955" i="1" s="1"/>
  <c r="L956" i="1"/>
  <c r="M956" i="1" s="1"/>
  <c r="L957" i="1"/>
  <c r="M957" i="1" s="1"/>
  <c r="L958" i="1"/>
  <c r="M958" i="1" s="1"/>
  <c r="L959" i="1"/>
  <c r="M959" i="1" s="1"/>
  <c r="L960" i="1"/>
  <c r="M960" i="1" s="1"/>
  <c r="L961" i="1"/>
  <c r="M961" i="1" s="1"/>
  <c r="L962" i="1"/>
  <c r="M962" i="1" s="1"/>
  <c r="L963" i="1"/>
  <c r="M963" i="1" s="1"/>
  <c r="L964" i="1"/>
  <c r="M964" i="1" s="1"/>
  <c r="L965" i="1"/>
  <c r="M965" i="1" s="1"/>
  <c r="L966" i="1"/>
  <c r="M966" i="1" s="1"/>
  <c r="L967" i="1"/>
  <c r="M967" i="1" s="1"/>
  <c r="L968" i="1"/>
  <c r="M968" i="1" s="1"/>
  <c r="L969" i="1"/>
  <c r="M969" i="1" s="1"/>
  <c r="L970" i="1"/>
  <c r="M970" i="1" s="1"/>
  <c r="O970" i="1" s="1"/>
  <c r="L971" i="1"/>
  <c r="M971" i="1" s="1"/>
  <c r="L972" i="1"/>
  <c r="M972" i="1" s="1"/>
  <c r="L973" i="1"/>
  <c r="M973" i="1" s="1"/>
  <c r="L974" i="1"/>
  <c r="M974" i="1" s="1"/>
  <c r="L975" i="1"/>
  <c r="M975" i="1" s="1"/>
  <c r="L976" i="1"/>
  <c r="M976" i="1" s="1"/>
  <c r="L977" i="1"/>
  <c r="M977" i="1" s="1"/>
  <c r="L978" i="1"/>
  <c r="M978" i="1" s="1"/>
  <c r="L979" i="1"/>
  <c r="M979" i="1" s="1"/>
  <c r="L980" i="1"/>
  <c r="M980" i="1" s="1"/>
  <c r="L981" i="1"/>
  <c r="M981" i="1" s="1"/>
  <c r="L982" i="1"/>
  <c r="M982" i="1" s="1"/>
  <c r="L983" i="1"/>
  <c r="M983" i="1" s="1"/>
  <c r="L984" i="1"/>
  <c r="M984" i="1" s="1"/>
  <c r="L985" i="1"/>
  <c r="M985" i="1" s="1"/>
  <c r="L986" i="1"/>
  <c r="M986" i="1" s="1"/>
  <c r="L987" i="1"/>
  <c r="M987" i="1" s="1"/>
  <c r="L988" i="1"/>
  <c r="M988" i="1" s="1"/>
  <c r="L989" i="1"/>
  <c r="M989" i="1" s="1"/>
  <c r="L990" i="1"/>
  <c r="M990" i="1" s="1"/>
  <c r="L991" i="1"/>
  <c r="M991" i="1" s="1"/>
  <c r="L992" i="1"/>
  <c r="M992" i="1" s="1"/>
  <c r="L993" i="1"/>
  <c r="M993" i="1" s="1"/>
  <c r="L994" i="1"/>
  <c r="M994" i="1" s="1"/>
  <c r="L995" i="1"/>
  <c r="M995" i="1" s="1"/>
  <c r="L996" i="1"/>
  <c r="M996" i="1" s="1"/>
  <c r="L997" i="1"/>
  <c r="M997" i="1" s="1"/>
  <c r="L998" i="1"/>
  <c r="M998" i="1" s="1"/>
  <c r="L999" i="1"/>
  <c r="M999" i="1" s="1"/>
  <c r="L1000" i="1"/>
  <c r="M1000" i="1" s="1"/>
  <c r="L1001" i="1"/>
  <c r="M1001" i="1"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N906" i="1" l="1"/>
  <c r="O906" i="1"/>
  <c r="N846" i="1"/>
  <c r="O846" i="1"/>
  <c r="N822" i="1"/>
  <c r="O822" i="1"/>
  <c r="N678" i="1"/>
  <c r="O678" i="1"/>
  <c r="N666" i="1"/>
  <c r="O666" i="1"/>
  <c r="N582" i="1"/>
  <c r="O582" i="1"/>
  <c r="N570" i="1"/>
  <c r="O570" i="1"/>
  <c r="N474" i="1"/>
  <c r="O474" i="1"/>
  <c r="N426" i="1"/>
  <c r="O426" i="1"/>
  <c r="N342" i="1"/>
  <c r="O342" i="1"/>
  <c r="N270" i="1"/>
  <c r="O270" i="1"/>
  <c r="N246" i="1"/>
  <c r="O246" i="1"/>
  <c r="N150" i="1"/>
  <c r="O150" i="1"/>
  <c r="N825" i="1"/>
  <c r="O825" i="1"/>
  <c r="N717" i="1"/>
  <c r="O717" i="1"/>
  <c r="N249" i="1"/>
  <c r="O249" i="1"/>
  <c r="N434" i="1"/>
  <c r="O434" i="1"/>
  <c r="N362" i="1"/>
  <c r="O362" i="1"/>
  <c r="N577" i="1"/>
  <c r="O577" i="1"/>
  <c r="N241" i="1"/>
  <c r="O241" i="1"/>
  <c r="N145" i="1"/>
  <c r="O145" i="1"/>
  <c r="N13" i="1"/>
  <c r="O13" i="1"/>
  <c r="N957" i="1"/>
  <c r="O957" i="1"/>
  <c r="N705" i="1"/>
  <c r="O705" i="1"/>
  <c r="N381" i="1"/>
  <c r="O381" i="1"/>
  <c r="N938" i="1"/>
  <c r="O938" i="1"/>
  <c r="N14" i="1"/>
  <c r="O14" i="1"/>
  <c r="N961" i="1"/>
  <c r="O961" i="1"/>
  <c r="N481" i="1"/>
  <c r="O481" i="1"/>
  <c r="N97" i="1"/>
  <c r="O97" i="1"/>
  <c r="N25" i="1"/>
  <c r="O25" i="1"/>
  <c r="N12" i="1"/>
  <c r="O12" i="1"/>
  <c r="N864" i="1"/>
  <c r="N655" i="1"/>
  <c r="N475" i="1"/>
  <c r="N334" i="1"/>
  <c r="N127" i="1"/>
  <c r="N11" i="1"/>
  <c r="O11" i="1"/>
  <c r="N859" i="1"/>
  <c r="N651" i="1"/>
  <c r="N452" i="1"/>
  <c r="N332" i="1"/>
  <c r="N111" i="1"/>
  <c r="N994" i="1"/>
  <c r="O994" i="1"/>
  <c r="N982" i="1"/>
  <c r="O982" i="1"/>
  <c r="N958" i="1"/>
  <c r="O958" i="1"/>
  <c r="N946" i="1"/>
  <c r="O946" i="1"/>
  <c r="N934" i="1"/>
  <c r="O934" i="1"/>
  <c r="N922" i="1"/>
  <c r="O922" i="1"/>
  <c r="N910" i="1"/>
  <c r="O910" i="1"/>
  <c r="N898" i="1"/>
  <c r="O898" i="1"/>
  <c r="N886" i="1"/>
  <c r="O886" i="1"/>
  <c r="N874" i="1"/>
  <c r="O874" i="1"/>
  <c r="N862" i="1"/>
  <c r="O862" i="1"/>
  <c r="N850" i="1"/>
  <c r="O850" i="1"/>
  <c r="N838" i="1"/>
  <c r="O838" i="1"/>
  <c r="N826" i="1"/>
  <c r="O826" i="1"/>
  <c r="N814" i="1"/>
  <c r="O814" i="1"/>
  <c r="N802" i="1"/>
  <c r="O802" i="1"/>
  <c r="N790" i="1"/>
  <c r="O790" i="1"/>
  <c r="N778" i="1"/>
  <c r="O778" i="1"/>
  <c r="N766" i="1"/>
  <c r="O766" i="1"/>
  <c r="N754" i="1"/>
  <c r="O754" i="1"/>
  <c r="N742" i="1"/>
  <c r="O742" i="1"/>
  <c r="N730" i="1"/>
  <c r="O730" i="1"/>
  <c r="N718" i="1"/>
  <c r="O718" i="1"/>
  <c r="N706" i="1"/>
  <c r="O706" i="1"/>
  <c r="N694" i="1"/>
  <c r="O694" i="1"/>
  <c r="N682" i="1"/>
  <c r="O682" i="1"/>
  <c r="N670" i="1"/>
  <c r="O670" i="1"/>
  <c r="N646" i="1"/>
  <c r="O646" i="1"/>
  <c r="N634" i="1"/>
  <c r="O634" i="1"/>
  <c r="N610" i="1"/>
  <c r="O610" i="1"/>
  <c r="N598" i="1"/>
  <c r="O598" i="1"/>
  <c r="N586" i="1"/>
  <c r="O586" i="1"/>
  <c r="N574" i="1"/>
  <c r="O574" i="1"/>
  <c r="N562" i="1"/>
  <c r="O562" i="1"/>
  <c r="N550" i="1"/>
  <c r="O550" i="1"/>
  <c r="N538" i="1"/>
  <c r="O538" i="1"/>
  <c r="N526" i="1"/>
  <c r="O526" i="1"/>
  <c r="N514" i="1"/>
  <c r="O514" i="1"/>
  <c r="N502" i="1"/>
  <c r="O502" i="1"/>
  <c r="N490" i="1"/>
  <c r="O490" i="1"/>
  <c r="N478" i="1"/>
  <c r="O478" i="1"/>
  <c r="N466" i="1"/>
  <c r="O466" i="1"/>
  <c r="N454" i="1"/>
  <c r="O454" i="1"/>
  <c r="N442" i="1"/>
  <c r="O442" i="1"/>
  <c r="N430" i="1"/>
  <c r="O430" i="1"/>
  <c r="N418" i="1"/>
  <c r="O418" i="1"/>
  <c r="N406" i="1"/>
  <c r="O406" i="1"/>
  <c r="N394" i="1"/>
  <c r="O394" i="1"/>
  <c r="N382" i="1"/>
  <c r="O382" i="1"/>
  <c r="N358" i="1"/>
  <c r="O358" i="1"/>
  <c r="N346" i="1"/>
  <c r="O346" i="1"/>
  <c r="N322" i="1"/>
  <c r="O322" i="1"/>
  <c r="N310" i="1"/>
  <c r="O310" i="1"/>
  <c r="N298" i="1"/>
  <c r="O298" i="1"/>
  <c r="N286" i="1"/>
  <c r="O286" i="1"/>
  <c r="N274" i="1"/>
  <c r="O274" i="1"/>
  <c r="N262" i="1"/>
  <c r="O262" i="1"/>
  <c r="N250" i="1"/>
  <c r="O250" i="1"/>
  <c r="N238" i="1"/>
  <c r="O238" i="1"/>
  <c r="N226" i="1"/>
  <c r="O226" i="1"/>
  <c r="N214" i="1"/>
  <c r="O214" i="1"/>
  <c r="N202" i="1"/>
  <c r="O202" i="1"/>
  <c r="N190" i="1"/>
  <c r="O190" i="1"/>
  <c r="N178" i="1"/>
  <c r="O178" i="1"/>
  <c r="N166" i="1"/>
  <c r="O166" i="1"/>
  <c r="N154" i="1"/>
  <c r="O154" i="1"/>
  <c r="N142" i="1"/>
  <c r="O142" i="1"/>
  <c r="N130" i="1"/>
  <c r="O130" i="1"/>
  <c r="N118" i="1"/>
  <c r="O118" i="1"/>
  <c r="N106" i="1"/>
  <c r="O106" i="1"/>
  <c r="N94" i="1"/>
  <c r="O94" i="1"/>
  <c r="N82" i="1"/>
  <c r="O82" i="1"/>
  <c r="N70" i="1"/>
  <c r="O70" i="1"/>
  <c r="N58" i="1"/>
  <c r="O58" i="1"/>
  <c r="N46" i="1"/>
  <c r="O46" i="1"/>
  <c r="N34" i="1"/>
  <c r="O34" i="1"/>
  <c r="N22" i="1"/>
  <c r="O22" i="1"/>
  <c r="N10" i="1"/>
  <c r="O10" i="1"/>
  <c r="N834" i="1"/>
  <c r="N643" i="1"/>
  <c r="N451" i="1"/>
  <c r="N331" i="1"/>
  <c r="N75" i="1"/>
  <c r="N9" i="1"/>
  <c r="O9" i="1"/>
  <c r="N783" i="1"/>
  <c r="N622" i="1"/>
  <c r="N439" i="1"/>
  <c r="N283" i="1"/>
  <c r="N73" i="1"/>
  <c r="N960" i="1"/>
  <c r="O960" i="1"/>
  <c r="N888" i="1"/>
  <c r="O888" i="1"/>
  <c r="N792" i="1"/>
  <c r="O792" i="1"/>
  <c r="N720" i="1"/>
  <c r="O720" i="1"/>
  <c r="N636" i="1"/>
  <c r="O636" i="1"/>
  <c r="N552" i="1"/>
  <c r="O552" i="1"/>
  <c r="N444" i="1"/>
  <c r="O444" i="1"/>
  <c r="N348" i="1"/>
  <c r="O348" i="1"/>
  <c r="N252" i="1"/>
  <c r="O252" i="1"/>
  <c r="N48" i="1"/>
  <c r="O48" i="1"/>
  <c r="N959" i="1"/>
  <c r="O959" i="1"/>
  <c r="N875" i="1"/>
  <c r="O875" i="1"/>
  <c r="N779" i="1"/>
  <c r="O779" i="1"/>
  <c r="N695" i="1"/>
  <c r="O695" i="1"/>
  <c r="N599" i="1"/>
  <c r="O599" i="1"/>
  <c r="N455" i="1"/>
  <c r="O455" i="1"/>
  <c r="N59" i="1"/>
  <c r="O59" i="1"/>
  <c r="N993" i="1"/>
  <c r="O993" i="1"/>
  <c r="N981" i="1"/>
  <c r="O981" i="1"/>
  <c r="N969" i="1"/>
  <c r="O969" i="1"/>
  <c r="N945" i="1"/>
  <c r="O945" i="1"/>
  <c r="N933" i="1"/>
  <c r="O933" i="1"/>
  <c r="N921" i="1"/>
  <c r="O921" i="1"/>
  <c r="N909" i="1"/>
  <c r="O909" i="1"/>
  <c r="N897" i="1"/>
  <c r="O897" i="1"/>
  <c r="N885" i="1"/>
  <c r="O885" i="1"/>
  <c r="N873" i="1"/>
  <c r="O873" i="1"/>
  <c r="N861" i="1"/>
  <c r="O861" i="1"/>
  <c r="N849" i="1"/>
  <c r="O849" i="1"/>
  <c r="N837" i="1"/>
  <c r="O837" i="1"/>
  <c r="N813" i="1"/>
  <c r="O813" i="1"/>
  <c r="N801" i="1"/>
  <c r="O801" i="1"/>
  <c r="N789" i="1"/>
  <c r="O789" i="1"/>
  <c r="N777" i="1"/>
  <c r="O777" i="1"/>
  <c r="N765" i="1"/>
  <c r="O765" i="1"/>
  <c r="N753" i="1"/>
  <c r="O753" i="1"/>
  <c r="N741" i="1"/>
  <c r="O741" i="1"/>
  <c r="N729" i="1"/>
  <c r="O729" i="1"/>
  <c r="N693" i="1"/>
  <c r="O693" i="1"/>
  <c r="N681" i="1"/>
  <c r="O681" i="1"/>
  <c r="N669" i="1"/>
  <c r="O669" i="1"/>
  <c r="N645" i="1"/>
  <c r="O645" i="1"/>
  <c r="N633" i="1"/>
  <c r="O633" i="1"/>
  <c r="N621" i="1"/>
  <c r="O621" i="1"/>
  <c r="N609" i="1"/>
  <c r="O609" i="1"/>
  <c r="N597" i="1"/>
  <c r="O597" i="1"/>
  <c r="N585" i="1"/>
  <c r="O585" i="1"/>
  <c r="N573" i="1"/>
  <c r="O573" i="1"/>
  <c r="N561" i="1"/>
  <c r="O561" i="1"/>
  <c r="N549" i="1"/>
  <c r="O549" i="1"/>
  <c r="N537" i="1"/>
  <c r="O537" i="1"/>
  <c r="N525" i="1"/>
  <c r="O525" i="1"/>
  <c r="N513" i="1"/>
  <c r="O513" i="1"/>
  <c r="N501" i="1"/>
  <c r="O501" i="1"/>
  <c r="N489" i="1"/>
  <c r="O489" i="1"/>
  <c r="N477" i="1"/>
  <c r="O477" i="1"/>
  <c r="N465" i="1"/>
  <c r="O465" i="1"/>
  <c r="N453" i="1"/>
  <c r="O453" i="1"/>
  <c r="N441" i="1"/>
  <c r="O441" i="1"/>
  <c r="N429" i="1"/>
  <c r="O429" i="1"/>
  <c r="N417" i="1"/>
  <c r="O417" i="1"/>
  <c r="N405" i="1"/>
  <c r="O405" i="1"/>
  <c r="N393" i="1"/>
  <c r="O393" i="1"/>
  <c r="N357" i="1"/>
  <c r="O357" i="1"/>
  <c r="N345" i="1"/>
  <c r="O345" i="1"/>
  <c r="N333" i="1"/>
  <c r="O333" i="1"/>
  <c r="N321" i="1"/>
  <c r="O321" i="1"/>
  <c r="N309" i="1"/>
  <c r="O309" i="1"/>
  <c r="N297" i="1"/>
  <c r="O297" i="1"/>
  <c r="N285" i="1"/>
  <c r="O285" i="1"/>
  <c r="N273" i="1"/>
  <c r="O273" i="1"/>
  <c r="N261" i="1"/>
  <c r="O261" i="1"/>
  <c r="N237" i="1"/>
  <c r="O237" i="1"/>
  <c r="N225" i="1"/>
  <c r="O225" i="1"/>
  <c r="N213" i="1"/>
  <c r="O213" i="1"/>
  <c r="N201" i="1"/>
  <c r="O201" i="1"/>
  <c r="N189" i="1"/>
  <c r="O189" i="1"/>
  <c r="N177" i="1"/>
  <c r="O177" i="1"/>
  <c r="N165" i="1"/>
  <c r="O165" i="1"/>
  <c r="N153" i="1"/>
  <c r="O153" i="1"/>
  <c r="N141" i="1"/>
  <c r="O141" i="1"/>
  <c r="N129" i="1"/>
  <c r="O129" i="1"/>
  <c r="N117" i="1"/>
  <c r="O117" i="1"/>
  <c r="N105" i="1"/>
  <c r="O105" i="1"/>
  <c r="N93" i="1"/>
  <c r="O93" i="1"/>
  <c r="N81" i="1"/>
  <c r="O81" i="1"/>
  <c r="N69" i="1"/>
  <c r="O69" i="1"/>
  <c r="N57" i="1"/>
  <c r="O57" i="1"/>
  <c r="N45" i="1"/>
  <c r="O45" i="1"/>
  <c r="N33" i="1"/>
  <c r="O33" i="1"/>
  <c r="N21" i="1"/>
  <c r="O21" i="1"/>
  <c r="N992" i="1"/>
  <c r="O992" i="1"/>
  <c r="N980" i="1"/>
  <c r="O980" i="1"/>
  <c r="N968" i="1"/>
  <c r="O968" i="1"/>
  <c r="N956" i="1"/>
  <c r="O956" i="1"/>
  <c r="N944" i="1"/>
  <c r="O944" i="1"/>
  <c r="N932" i="1"/>
  <c r="O932" i="1"/>
  <c r="N920" i="1"/>
  <c r="O920" i="1"/>
  <c r="N908" i="1"/>
  <c r="O908" i="1"/>
  <c r="N896" i="1"/>
  <c r="O896" i="1"/>
  <c r="N884" i="1"/>
  <c r="O884" i="1"/>
  <c r="N872" i="1"/>
  <c r="O872" i="1"/>
  <c r="N860" i="1"/>
  <c r="O860" i="1"/>
  <c r="N848" i="1"/>
  <c r="O848" i="1"/>
  <c r="N836" i="1"/>
  <c r="O836" i="1"/>
  <c r="N824" i="1"/>
  <c r="O824" i="1"/>
  <c r="N812" i="1"/>
  <c r="O812" i="1"/>
  <c r="N800" i="1"/>
  <c r="O800" i="1"/>
  <c r="N788" i="1"/>
  <c r="O788" i="1"/>
  <c r="N776" i="1"/>
  <c r="O776" i="1"/>
  <c r="N764" i="1"/>
  <c r="O764" i="1"/>
  <c r="N752" i="1"/>
  <c r="O752" i="1"/>
  <c r="N740" i="1"/>
  <c r="O740" i="1"/>
  <c r="N728" i="1"/>
  <c r="O728" i="1"/>
  <c r="N716" i="1"/>
  <c r="O716" i="1"/>
  <c r="N704" i="1"/>
  <c r="O704" i="1"/>
  <c r="N680" i="1"/>
  <c r="O680" i="1"/>
  <c r="N668" i="1"/>
  <c r="O668" i="1"/>
  <c r="N656" i="1"/>
  <c r="O656" i="1"/>
  <c r="N644" i="1"/>
  <c r="O644" i="1"/>
  <c r="N632" i="1"/>
  <c r="O632" i="1"/>
  <c r="N608" i="1"/>
  <c r="O608" i="1"/>
  <c r="N596" i="1"/>
  <c r="O596" i="1"/>
  <c r="N584" i="1"/>
  <c r="O584" i="1"/>
  <c r="N560" i="1"/>
  <c r="O560" i="1"/>
  <c r="N548" i="1"/>
  <c r="O548" i="1"/>
  <c r="N536" i="1"/>
  <c r="O536" i="1"/>
  <c r="N524" i="1"/>
  <c r="O524" i="1"/>
  <c r="N512" i="1"/>
  <c r="O512" i="1"/>
  <c r="N500" i="1"/>
  <c r="O500" i="1"/>
  <c r="N488" i="1"/>
  <c r="O488" i="1"/>
  <c r="N476" i="1"/>
  <c r="O476" i="1"/>
  <c r="N464" i="1"/>
  <c r="O464" i="1"/>
  <c r="N440" i="1"/>
  <c r="O440" i="1"/>
  <c r="N428" i="1"/>
  <c r="O428" i="1"/>
  <c r="N416" i="1"/>
  <c r="O416" i="1"/>
  <c r="N392" i="1"/>
  <c r="O392" i="1"/>
  <c r="N380" i="1"/>
  <c r="O380" i="1"/>
  <c r="N368" i="1"/>
  <c r="O368" i="1"/>
  <c r="N356" i="1"/>
  <c r="O356" i="1"/>
  <c r="N344" i="1"/>
  <c r="O344" i="1"/>
  <c r="N320" i="1"/>
  <c r="O320" i="1"/>
  <c r="N308" i="1"/>
  <c r="O308" i="1"/>
  <c r="N296" i="1"/>
  <c r="O296" i="1"/>
  <c r="N284" i="1"/>
  <c r="O284" i="1"/>
  <c r="N272" i="1"/>
  <c r="O272" i="1"/>
  <c r="N260" i="1"/>
  <c r="O260" i="1"/>
  <c r="N248" i="1"/>
  <c r="O248" i="1"/>
  <c r="N236" i="1"/>
  <c r="O236" i="1"/>
  <c r="N224" i="1"/>
  <c r="O224" i="1"/>
  <c r="N212" i="1"/>
  <c r="O212" i="1"/>
  <c r="N200" i="1"/>
  <c r="O200" i="1"/>
  <c r="N188" i="1"/>
  <c r="O188" i="1"/>
  <c r="N176" i="1"/>
  <c r="O176" i="1"/>
  <c r="N164" i="1"/>
  <c r="O164" i="1"/>
  <c r="N152" i="1"/>
  <c r="O152" i="1"/>
  <c r="N140" i="1"/>
  <c r="O140" i="1"/>
  <c r="N128" i="1"/>
  <c r="O128" i="1"/>
  <c r="N116" i="1"/>
  <c r="O116" i="1"/>
  <c r="N104" i="1"/>
  <c r="O104" i="1"/>
  <c r="N92" i="1"/>
  <c r="O92" i="1"/>
  <c r="N80" i="1"/>
  <c r="O80" i="1"/>
  <c r="N68" i="1"/>
  <c r="O68" i="1"/>
  <c r="N56" i="1"/>
  <c r="O56" i="1"/>
  <c r="N44" i="1"/>
  <c r="O44" i="1"/>
  <c r="N32" i="1"/>
  <c r="O32" i="1"/>
  <c r="N20" i="1"/>
  <c r="O20" i="1"/>
  <c r="N8" i="1"/>
  <c r="O8" i="1"/>
  <c r="N781" i="1"/>
  <c r="N620" i="1"/>
  <c r="N404" i="1"/>
  <c r="N271" i="1"/>
  <c r="N72" i="1"/>
  <c r="N7" i="1"/>
  <c r="O7" i="1"/>
  <c r="N739" i="1"/>
  <c r="N619" i="1"/>
  <c r="N403" i="1"/>
  <c r="N259" i="1"/>
  <c r="N36" i="1"/>
  <c r="N6" i="1"/>
  <c r="O6" i="1"/>
  <c r="N970" i="1"/>
  <c r="N727" i="1"/>
  <c r="N572" i="1"/>
  <c r="N402" i="1"/>
  <c r="N247" i="1"/>
  <c r="N31" i="1"/>
  <c r="N5" i="1"/>
  <c r="O5" i="1"/>
  <c r="N955" i="1"/>
  <c r="N692" i="1"/>
  <c r="N571" i="1"/>
  <c r="N370" i="1"/>
  <c r="N216" i="1"/>
  <c r="N19" i="1"/>
  <c r="N984" i="1"/>
  <c r="O984" i="1"/>
  <c r="N852" i="1"/>
  <c r="O852" i="1"/>
  <c r="N804" i="1"/>
  <c r="O804" i="1"/>
  <c r="N744" i="1"/>
  <c r="O744" i="1"/>
  <c r="N696" i="1"/>
  <c r="O696" i="1"/>
  <c r="N648" i="1"/>
  <c r="O648" i="1"/>
  <c r="N600" i="1"/>
  <c r="O600" i="1"/>
  <c r="N564" i="1"/>
  <c r="O564" i="1"/>
  <c r="N516" i="1"/>
  <c r="O516" i="1"/>
  <c r="N480" i="1"/>
  <c r="O480" i="1"/>
  <c r="N420" i="1"/>
  <c r="O420" i="1"/>
  <c r="N372" i="1"/>
  <c r="O372" i="1"/>
  <c r="N300" i="1"/>
  <c r="O300" i="1"/>
  <c r="N228" i="1"/>
  <c r="O228" i="1"/>
  <c r="N60" i="1"/>
  <c r="O60" i="1"/>
  <c r="N983" i="1"/>
  <c r="O983" i="1"/>
  <c r="N923" i="1"/>
  <c r="O923" i="1"/>
  <c r="N851" i="1"/>
  <c r="O851" i="1"/>
  <c r="N815" i="1"/>
  <c r="O815" i="1"/>
  <c r="N743" i="1"/>
  <c r="O743" i="1"/>
  <c r="N707" i="1"/>
  <c r="O707" i="1"/>
  <c r="N647" i="1"/>
  <c r="O647" i="1"/>
  <c r="N611" i="1"/>
  <c r="O611" i="1"/>
  <c r="N563" i="1"/>
  <c r="O563" i="1"/>
  <c r="N527" i="1"/>
  <c r="O527" i="1"/>
  <c r="N491" i="1"/>
  <c r="O491" i="1"/>
  <c r="N431" i="1"/>
  <c r="O431" i="1"/>
  <c r="N395" i="1"/>
  <c r="O395" i="1"/>
  <c r="N359" i="1"/>
  <c r="O359" i="1"/>
  <c r="N311" i="1"/>
  <c r="O311" i="1"/>
  <c r="N263" i="1"/>
  <c r="O263" i="1"/>
  <c r="N215" i="1"/>
  <c r="O215" i="1"/>
  <c r="N167" i="1"/>
  <c r="O167" i="1"/>
  <c r="N47" i="1"/>
  <c r="O47" i="1"/>
  <c r="N967" i="1"/>
  <c r="O967" i="1"/>
  <c r="N931" i="1"/>
  <c r="O931" i="1"/>
  <c r="N835" i="1"/>
  <c r="O835" i="1"/>
  <c r="N787" i="1"/>
  <c r="O787" i="1"/>
  <c r="N607" i="1"/>
  <c r="O607" i="1"/>
  <c r="N523" i="1"/>
  <c r="O523" i="1"/>
  <c r="N487" i="1"/>
  <c r="O487" i="1"/>
  <c r="N463" i="1"/>
  <c r="O463" i="1"/>
  <c r="N343" i="1"/>
  <c r="O343" i="1"/>
  <c r="N307" i="1"/>
  <c r="O307" i="1"/>
  <c r="N223" i="1"/>
  <c r="O223" i="1"/>
  <c r="N43" i="1"/>
  <c r="O43" i="1"/>
  <c r="N978" i="1"/>
  <c r="O978" i="1"/>
  <c r="N942" i="1"/>
  <c r="O942" i="1"/>
  <c r="N798" i="1"/>
  <c r="O798" i="1"/>
  <c r="N750" i="1"/>
  <c r="O750" i="1"/>
  <c r="N714" i="1"/>
  <c r="O714" i="1"/>
  <c r="N654" i="1"/>
  <c r="O654" i="1"/>
  <c r="N606" i="1"/>
  <c r="O606" i="1"/>
  <c r="N558" i="1"/>
  <c r="O558" i="1"/>
  <c r="N510" i="1"/>
  <c r="O510" i="1"/>
  <c r="N438" i="1"/>
  <c r="O438" i="1"/>
  <c r="N366" i="1"/>
  <c r="O366" i="1"/>
  <c r="N318" i="1"/>
  <c r="O318" i="1"/>
  <c r="N282" i="1"/>
  <c r="O282" i="1"/>
  <c r="N234" i="1"/>
  <c r="O234" i="1"/>
  <c r="N222" i="1"/>
  <c r="O222" i="1"/>
  <c r="N198" i="1"/>
  <c r="O198" i="1"/>
  <c r="N174" i="1"/>
  <c r="O174" i="1"/>
  <c r="N114" i="1"/>
  <c r="O114" i="1"/>
  <c r="N42" i="1"/>
  <c r="O42" i="1"/>
  <c r="N989" i="1"/>
  <c r="O989" i="1"/>
  <c r="N953" i="1"/>
  <c r="O953" i="1"/>
  <c r="N917" i="1"/>
  <c r="O917" i="1"/>
  <c r="N881" i="1"/>
  <c r="O881" i="1"/>
  <c r="N845" i="1"/>
  <c r="O845" i="1"/>
  <c r="N797" i="1"/>
  <c r="O797" i="1"/>
  <c r="N749" i="1"/>
  <c r="O749" i="1"/>
  <c r="N701" i="1"/>
  <c r="O701" i="1"/>
  <c r="N653" i="1"/>
  <c r="O653" i="1"/>
  <c r="N605" i="1"/>
  <c r="O605" i="1"/>
  <c r="N569" i="1"/>
  <c r="O569" i="1"/>
  <c r="N509" i="1"/>
  <c r="O509" i="1"/>
  <c r="N461" i="1"/>
  <c r="O461" i="1"/>
  <c r="N413" i="1"/>
  <c r="O413" i="1"/>
  <c r="N377" i="1"/>
  <c r="O377" i="1"/>
  <c r="N341" i="1"/>
  <c r="O341" i="1"/>
  <c r="N293" i="1"/>
  <c r="O293" i="1"/>
  <c r="N221" i="1"/>
  <c r="O221" i="1"/>
  <c r="N41" i="1"/>
  <c r="O41" i="1"/>
  <c r="N1000" i="1"/>
  <c r="O1000" i="1"/>
  <c r="N988" i="1"/>
  <c r="O988" i="1"/>
  <c r="N976" i="1"/>
  <c r="O976" i="1"/>
  <c r="N964" i="1"/>
  <c r="O964" i="1"/>
  <c r="N952" i="1"/>
  <c r="O952" i="1"/>
  <c r="N940" i="1"/>
  <c r="O940" i="1"/>
  <c r="N928" i="1"/>
  <c r="O928" i="1"/>
  <c r="N916" i="1"/>
  <c r="O916" i="1"/>
  <c r="N904" i="1"/>
  <c r="O904" i="1"/>
  <c r="N892" i="1"/>
  <c r="O892" i="1"/>
  <c r="N880" i="1"/>
  <c r="O880" i="1"/>
  <c r="N868" i="1"/>
  <c r="O868" i="1"/>
  <c r="N856" i="1"/>
  <c r="O856" i="1"/>
  <c r="N844" i="1"/>
  <c r="O844" i="1"/>
  <c r="N832" i="1"/>
  <c r="O832" i="1"/>
  <c r="N820" i="1"/>
  <c r="O820" i="1"/>
  <c r="N808" i="1"/>
  <c r="O808" i="1"/>
  <c r="N796" i="1"/>
  <c r="O796" i="1"/>
  <c r="N784" i="1"/>
  <c r="O784" i="1"/>
  <c r="N772" i="1"/>
  <c r="O772" i="1"/>
  <c r="N760" i="1"/>
  <c r="O760" i="1"/>
  <c r="N748" i="1"/>
  <c r="O748" i="1"/>
  <c r="N736" i="1"/>
  <c r="O736" i="1"/>
  <c r="N724" i="1"/>
  <c r="O724" i="1"/>
  <c r="N712" i="1"/>
  <c r="O712" i="1"/>
  <c r="N700" i="1"/>
  <c r="O700" i="1"/>
  <c r="N688" i="1"/>
  <c r="O688" i="1"/>
  <c r="N676" i="1"/>
  <c r="O676" i="1"/>
  <c r="N664" i="1"/>
  <c r="O664" i="1"/>
  <c r="N652" i="1"/>
  <c r="O652" i="1"/>
  <c r="N640" i="1"/>
  <c r="O640" i="1"/>
  <c r="N628" i="1"/>
  <c r="O628" i="1"/>
  <c r="N616" i="1"/>
  <c r="O616" i="1"/>
  <c r="N604" i="1"/>
  <c r="O604" i="1"/>
  <c r="N592" i="1"/>
  <c r="O592" i="1"/>
  <c r="N580" i="1"/>
  <c r="O580" i="1"/>
  <c r="N568" i="1"/>
  <c r="O568" i="1"/>
  <c r="N556" i="1"/>
  <c r="O556" i="1"/>
  <c r="N544" i="1"/>
  <c r="O544" i="1"/>
  <c r="N532" i="1"/>
  <c r="O532" i="1"/>
  <c r="N520" i="1"/>
  <c r="O520" i="1"/>
  <c r="N508" i="1"/>
  <c r="O508" i="1"/>
  <c r="N496" i="1"/>
  <c r="O496" i="1"/>
  <c r="N484" i="1"/>
  <c r="O484" i="1"/>
  <c r="N472" i="1"/>
  <c r="O472" i="1"/>
  <c r="N460" i="1"/>
  <c r="O460" i="1"/>
  <c r="N448" i="1"/>
  <c r="O448" i="1"/>
  <c r="N436" i="1"/>
  <c r="O436" i="1"/>
  <c r="N424" i="1"/>
  <c r="O424" i="1"/>
  <c r="N412" i="1"/>
  <c r="O412" i="1"/>
  <c r="N400" i="1"/>
  <c r="O400" i="1"/>
  <c r="N388" i="1"/>
  <c r="O388" i="1"/>
  <c r="N376" i="1"/>
  <c r="O376" i="1"/>
  <c r="N364" i="1"/>
  <c r="O364" i="1"/>
  <c r="N352" i="1"/>
  <c r="O352" i="1"/>
  <c r="N340" i="1"/>
  <c r="O340" i="1"/>
  <c r="N328" i="1"/>
  <c r="O328" i="1"/>
  <c r="N316" i="1"/>
  <c r="O316" i="1"/>
  <c r="N304" i="1"/>
  <c r="O304" i="1"/>
  <c r="N292" i="1"/>
  <c r="O292" i="1"/>
  <c r="N280" i="1"/>
  <c r="O280" i="1"/>
  <c r="N268" i="1"/>
  <c r="O268" i="1"/>
  <c r="N256" i="1"/>
  <c r="O256" i="1"/>
  <c r="N244" i="1"/>
  <c r="O244" i="1"/>
  <c r="N232" i="1"/>
  <c r="O232" i="1"/>
  <c r="N220" i="1"/>
  <c r="O220" i="1"/>
  <c r="N208" i="1"/>
  <c r="O208" i="1"/>
  <c r="N196" i="1"/>
  <c r="O196" i="1"/>
  <c r="N184" i="1"/>
  <c r="O184" i="1"/>
  <c r="N172" i="1"/>
  <c r="O172" i="1"/>
  <c r="N160" i="1"/>
  <c r="O160" i="1"/>
  <c r="N148" i="1"/>
  <c r="O148" i="1"/>
  <c r="N136" i="1"/>
  <c r="O136" i="1"/>
  <c r="N124" i="1"/>
  <c r="O124" i="1"/>
  <c r="N112" i="1"/>
  <c r="O112" i="1"/>
  <c r="N100" i="1"/>
  <c r="O100" i="1"/>
  <c r="N88" i="1"/>
  <c r="O88" i="1"/>
  <c r="N76" i="1"/>
  <c r="O76" i="1"/>
  <c r="N64" i="1"/>
  <c r="O64" i="1"/>
  <c r="N52" i="1"/>
  <c r="O52" i="1"/>
  <c r="N40" i="1"/>
  <c r="O40" i="1"/>
  <c r="N28" i="1"/>
  <c r="O28" i="1"/>
  <c r="N16" i="1"/>
  <c r="O16" i="1"/>
  <c r="N4" i="1"/>
  <c r="O4" i="1"/>
  <c r="N915" i="1"/>
  <c r="N691" i="1"/>
  <c r="N559" i="1"/>
  <c r="N369" i="1"/>
  <c r="N211" i="1"/>
  <c r="N996" i="1"/>
  <c r="O996" i="1"/>
  <c r="N948" i="1"/>
  <c r="O948" i="1"/>
  <c r="N924" i="1"/>
  <c r="O924" i="1"/>
  <c r="N840" i="1"/>
  <c r="O840" i="1"/>
  <c r="N816" i="1"/>
  <c r="O816" i="1"/>
  <c r="N768" i="1"/>
  <c r="O768" i="1"/>
  <c r="N732" i="1"/>
  <c r="O732" i="1"/>
  <c r="N684" i="1"/>
  <c r="O684" i="1"/>
  <c r="N660" i="1"/>
  <c r="O660" i="1"/>
  <c r="N612" i="1"/>
  <c r="O612" i="1"/>
  <c r="N588" i="1"/>
  <c r="O588" i="1"/>
  <c r="N540" i="1"/>
  <c r="O540" i="1"/>
  <c r="N504" i="1"/>
  <c r="O504" i="1"/>
  <c r="N468" i="1"/>
  <c r="O468" i="1"/>
  <c r="N432" i="1"/>
  <c r="O432" i="1"/>
  <c r="N396" i="1"/>
  <c r="O396" i="1"/>
  <c r="N360" i="1"/>
  <c r="O360" i="1"/>
  <c r="N324" i="1"/>
  <c r="O324" i="1"/>
  <c r="N288" i="1"/>
  <c r="O288" i="1"/>
  <c r="N264" i="1"/>
  <c r="O264" i="1"/>
  <c r="N192" i="1"/>
  <c r="O192" i="1"/>
  <c r="N168" i="1"/>
  <c r="O168" i="1"/>
  <c r="N144" i="1"/>
  <c r="O144" i="1"/>
  <c r="N120" i="1"/>
  <c r="O120" i="1"/>
  <c r="N96" i="1"/>
  <c r="O96" i="1"/>
  <c r="N84" i="1"/>
  <c r="O84" i="1"/>
  <c r="N995" i="1"/>
  <c r="O995" i="1"/>
  <c r="N947" i="1"/>
  <c r="O947" i="1"/>
  <c r="N911" i="1"/>
  <c r="O911" i="1"/>
  <c r="N887" i="1"/>
  <c r="O887" i="1"/>
  <c r="N827" i="1"/>
  <c r="O827" i="1"/>
  <c r="N791" i="1"/>
  <c r="O791" i="1"/>
  <c r="N767" i="1"/>
  <c r="O767" i="1"/>
  <c r="N731" i="1"/>
  <c r="O731" i="1"/>
  <c r="N683" i="1"/>
  <c r="O683" i="1"/>
  <c r="N659" i="1"/>
  <c r="O659" i="1"/>
  <c r="N623" i="1"/>
  <c r="O623" i="1"/>
  <c r="N575" i="1"/>
  <c r="O575" i="1"/>
  <c r="N551" i="1"/>
  <c r="O551" i="1"/>
  <c r="N515" i="1"/>
  <c r="O515" i="1"/>
  <c r="N479" i="1"/>
  <c r="O479" i="1"/>
  <c r="N443" i="1"/>
  <c r="O443" i="1"/>
  <c r="N407" i="1"/>
  <c r="O407" i="1"/>
  <c r="N371" i="1"/>
  <c r="O371" i="1"/>
  <c r="N335" i="1"/>
  <c r="O335" i="1"/>
  <c r="N299" i="1"/>
  <c r="O299" i="1"/>
  <c r="N287" i="1"/>
  <c r="O287" i="1"/>
  <c r="N251" i="1"/>
  <c r="O251" i="1"/>
  <c r="N227" i="1"/>
  <c r="O227" i="1"/>
  <c r="N191" i="1"/>
  <c r="O191" i="1"/>
  <c r="N155" i="1"/>
  <c r="O155" i="1"/>
  <c r="N131" i="1"/>
  <c r="O131" i="1"/>
  <c r="N107" i="1"/>
  <c r="O107" i="1"/>
  <c r="N83" i="1"/>
  <c r="O83" i="1"/>
  <c r="N23" i="1"/>
  <c r="O23" i="1"/>
  <c r="N979" i="1"/>
  <c r="O979" i="1"/>
  <c r="N943" i="1"/>
  <c r="O943" i="1"/>
  <c r="N823" i="1"/>
  <c r="O823" i="1"/>
  <c r="N799" i="1"/>
  <c r="O799" i="1"/>
  <c r="N763" i="1"/>
  <c r="O763" i="1"/>
  <c r="N703" i="1"/>
  <c r="O703" i="1"/>
  <c r="N667" i="1"/>
  <c r="O667" i="1"/>
  <c r="N427" i="1"/>
  <c r="O427" i="1"/>
  <c r="N391" i="1"/>
  <c r="O391" i="1"/>
  <c r="N319" i="1"/>
  <c r="O319" i="1"/>
  <c r="N295" i="1"/>
  <c r="O295" i="1"/>
  <c r="N235" i="1"/>
  <c r="O235" i="1"/>
  <c r="N187" i="1"/>
  <c r="O187" i="1"/>
  <c r="N151" i="1"/>
  <c r="O151" i="1"/>
  <c r="N115" i="1"/>
  <c r="O115" i="1"/>
  <c r="N91" i="1"/>
  <c r="O91" i="1"/>
  <c r="N67" i="1"/>
  <c r="O67" i="1"/>
  <c r="N55" i="1"/>
  <c r="O55" i="1"/>
  <c r="N954" i="1"/>
  <c r="O954" i="1"/>
  <c r="N930" i="1"/>
  <c r="O930" i="1"/>
  <c r="N882" i="1"/>
  <c r="O882" i="1"/>
  <c r="N858" i="1"/>
  <c r="O858" i="1"/>
  <c r="N810" i="1"/>
  <c r="O810" i="1"/>
  <c r="N774" i="1"/>
  <c r="O774" i="1"/>
  <c r="N738" i="1"/>
  <c r="O738" i="1"/>
  <c r="N642" i="1"/>
  <c r="O642" i="1"/>
  <c r="N618" i="1"/>
  <c r="O618" i="1"/>
  <c r="N546" i="1"/>
  <c r="O546" i="1"/>
  <c r="N522" i="1"/>
  <c r="O522" i="1"/>
  <c r="N486" i="1"/>
  <c r="O486" i="1"/>
  <c r="N450" i="1"/>
  <c r="O450" i="1"/>
  <c r="N378" i="1"/>
  <c r="O378" i="1"/>
  <c r="N306" i="1"/>
  <c r="O306" i="1"/>
  <c r="N18" i="1"/>
  <c r="O18" i="1"/>
  <c r="N1001" i="1"/>
  <c r="O1001" i="1"/>
  <c r="N965" i="1"/>
  <c r="O965" i="1"/>
  <c r="N929" i="1"/>
  <c r="O929" i="1"/>
  <c r="N893" i="1"/>
  <c r="O893" i="1"/>
  <c r="N857" i="1"/>
  <c r="O857" i="1"/>
  <c r="N821" i="1"/>
  <c r="O821" i="1"/>
  <c r="N785" i="1"/>
  <c r="O785" i="1"/>
  <c r="N761" i="1"/>
  <c r="O761" i="1"/>
  <c r="N737" i="1"/>
  <c r="O737" i="1"/>
  <c r="N713" i="1"/>
  <c r="O713" i="1"/>
  <c r="N677" i="1"/>
  <c r="O677" i="1"/>
  <c r="N641" i="1"/>
  <c r="O641" i="1"/>
  <c r="N617" i="1"/>
  <c r="O617" i="1"/>
  <c r="N593" i="1"/>
  <c r="O593" i="1"/>
  <c r="N557" i="1"/>
  <c r="O557" i="1"/>
  <c r="N533" i="1"/>
  <c r="O533" i="1"/>
  <c r="N497" i="1"/>
  <c r="O497" i="1"/>
  <c r="N473" i="1"/>
  <c r="O473" i="1"/>
  <c r="N437" i="1"/>
  <c r="O437" i="1"/>
  <c r="N389" i="1"/>
  <c r="O389" i="1"/>
  <c r="N365" i="1"/>
  <c r="O365" i="1"/>
  <c r="N329" i="1"/>
  <c r="O329" i="1"/>
  <c r="N305" i="1"/>
  <c r="O305" i="1"/>
  <c r="N269" i="1"/>
  <c r="O269" i="1"/>
  <c r="N245" i="1"/>
  <c r="O245" i="1"/>
  <c r="N209" i="1"/>
  <c r="O209" i="1"/>
  <c r="N185" i="1"/>
  <c r="O185" i="1"/>
  <c r="N161" i="1"/>
  <c r="O161" i="1"/>
  <c r="N137" i="1"/>
  <c r="O137" i="1"/>
  <c r="N113" i="1"/>
  <c r="O113" i="1"/>
  <c r="N89" i="1"/>
  <c r="O89" i="1"/>
  <c r="N65" i="1"/>
  <c r="O65" i="1"/>
  <c r="N17" i="1"/>
  <c r="O17" i="1"/>
  <c r="N999" i="1"/>
  <c r="O999" i="1"/>
  <c r="N975" i="1"/>
  <c r="O975" i="1"/>
  <c r="N951" i="1"/>
  <c r="O951" i="1"/>
  <c r="N891" i="1"/>
  <c r="O891" i="1"/>
  <c r="N867" i="1"/>
  <c r="O867" i="1"/>
  <c r="N843" i="1"/>
  <c r="O843" i="1"/>
  <c r="N807" i="1"/>
  <c r="O807" i="1"/>
  <c r="N759" i="1"/>
  <c r="O759" i="1"/>
  <c r="N747" i="1"/>
  <c r="O747" i="1"/>
  <c r="N723" i="1"/>
  <c r="O723" i="1"/>
  <c r="N711" i="1"/>
  <c r="O711" i="1"/>
  <c r="N699" i="1"/>
  <c r="O699" i="1"/>
  <c r="N687" i="1"/>
  <c r="O687" i="1"/>
  <c r="N675" i="1"/>
  <c r="O675" i="1"/>
  <c r="N663" i="1"/>
  <c r="O663" i="1"/>
  <c r="N639" i="1"/>
  <c r="O639" i="1"/>
  <c r="N627" i="1"/>
  <c r="O627" i="1"/>
  <c r="N615" i="1"/>
  <c r="O615" i="1"/>
  <c r="N603" i="1"/>
  <c r="O603" i="1"/>
  <c r="N591" i="1"/>
  <c r="O591" i="1"/>
  <c r="N579" i="1"/>
  <c r="O579" i="1"/>
  <c r="N555" i="1"/>
  <c r="O555" i="1"/>
  <c r="N543" i="1"/>
  <c r="O543" i="1"/>
  <c r="N531" i="1"/>
  <c r="O531" i="1"/>
  <c r="N519" i="1"/>
  <c r="O519" i="1"/>
  <c r="N507" i="1"/>
  <c r="O507" i="1"/>
  <c r="N495" i="1"/>
  <c r="O495" i="1"/>
  <c r="N483" i="1"/>
  <c r="O483" i="1"/>
  <c r="N471" i="1"/>
  <c r="O471" i="1"/>
  <c r="N459" i="1"/>
  <c r="O459" i="1"/>
  <c r="N447" i="1"/>
  <c r="O447" i="1"/>
  <c r="N435" i="1"/>
  <c r="O435" i="1"/>
  <c r="N423" i="1"/>
  <c r="O423" i="1"/>
  <c r="N411" i="1"/>
  <c r="O411" i="1"/>
  <c r="N399" i="1"/>
  <c r="O399" i="1"/>
  <c r="N387" i="1"/>
  <c r="O387" i="1"/>
  <c r="N375" i="1"/>
  <c r="O375" i="1"/>
  <c r="N351" i="1"/>
  <c r="O351" i="1"/>
  <c r="N339" i="1"/>
  <c r="O339" i="1"/>
  <c r="N327" i="1"/>
  <c r="O327" i="1"/>
  <c r="N315" i="1"/>
  <c r="O315" i="1"/>
  <c r="N303" i="1"/>
  <c r="O303" i="1"/>
  <c r="N291" i="1"/>
  <c r="O291" i="1"/>
  <c r="N279" i="1"/>
  <c r="O279" i="1"/>
  <c r="N267" i="1"/>
  <c r="O267" i="1"/>
  <c r="N255" i="1"/>
  <c r="O255" i="1"/>
  <c r="N243" i="1"/>
  <c r="O243" i="1"/>
  <c r="N231" i="1"/>
  <c r="O231" i="1"/>
  <c r="N219" i="1"/>
  <c r="O219" i="1"/>
  <c r="N207" i="1"/>
  <c r="O207" i="1"/>
  <c r="N195" i="1"/>
  <c r="O195" i="1"/>
  <c r="N183" i="1"/>
  <c r="O183" i="1"/>
  <c r="N171" i="1"/>
  <c r="O171" i="1"/>
  <c r="N159" i="1"/>
  <c r="O159" i="1"/>
  <c r="N147" i="1"/>
  <c r="O147" i="1"/>
  <c r="N135" i="1"/>
  <c r="O135" i="1"/>
  <c r="N123" i="1"/>
  <c r="O123" i="1"/>
  <c r="N99" i="1"/>
  <c r="O99" i="1"/>
  <c r="N87" i="1"/>
  <c r="O87" i="1"/>
  <c r="N63" i="1"/>
  <c r="O63" i="1"/>
  <c r="N51" i="1"/>
  <c r="O51" i="1"/>
  <c r="N39" i="1"/>
  <c r="O39" i="1"/>
  <c r="N27" i="1"/>
  <c r="O27" i="1"/>
  <c r="N15" i="1"/>
  <c r="O15" i="1"/>
  <c r="N3" i="1"/>
  <c r="O3" i="1"/>
  <c r="N912" i="1"/>
  <c r="N690" i="1"/>
  <c r="N535" i="1"/>
  <c r="N367" i="1"/>
  <c r="N199" i="1"/>
  <c r="N972" i="1"/>
  <c r="O972" i="1"/>
  <c r="N936" i="1"/>
  <c r="O936" i="1"/>
  <c r="N900" i="1"/>
  <c r="O900" i="1"/>
  <c r="N876" i="1"/>
  <c r="O876" i="1"/>
  <c r="N828" i="1"/>
  <c r="O828" i="1"/>
  <c r="N780" i="1"/>
  <c r="O780" i="1"/>
  <c r="N756" i="1"/>
  <c r="O756" i="1"/>
  <c r="N708" i="1"/>
  <c r="O708" i="1"/>
  <c r="N672" i="1"/>
  <c r="O672" i="1"/>
  <c r="N624" i="1"/>
  <c r="O624" i="1"/>
  <c r="N576" i="1"/>
  <c r="O576" i="1"/>
  <c r="N528" i="1"/>
  <c r="O528" i="1"/>
  <c r="N492" i="1"/>
  <c r="O492" i="1"/>
  <c r="N456" i="1"/>
  <c r="O456" i="1"/>
  <c r="N408" i="1"/>
  <c r="O408" i="1"/>
  <c r="N384" i="1"/>
  <c r="O384" i="1"/>
  <c r="N336" i="1"/>
  <c r="O336" i="1"/>
  <c r="N312" i="1"/>
  <c r="O312" i="1"/>
  <c r="N276" i="1"/>
  <c r="O276" i="1"/>
  <c r="N240" i="1"/>
  <c r="O240" i="1"/>
  <c r="N204" i="1"/>
  <c r="O204" i="1"/>
  <c r="N180" i="1"/>
  <c r="O180" i="1"/>
  <c r="N156" i="1"/>
  <c r="O156" i="1"/>
  <c r="N132" i="1"/>
  <c r="O132" i="1"/>
  <c r="N108" i="1"/>
  <c r="O108" i="1"/>
  <c r="N24" i="1"/>
  <c r="O24" i="1"/>
  <c r="N971" i="1"/>
  <c r="O971" i="1"/>
  <c r="N935" i="1"/>
  <c r="O935" i="1"/>
  <c r="N899" i="1"/>
  <c r="O899" i="1"/>
  <c r="N863" i="1"/>
  <c r="O863" i="1"/>
  <c r="N839" i="1"/>
  <c r="O839" i="1"/>
  <c r="N803" i="1"/>
  <c r="O803" i="1"/>
  <c r="N755" i="1"/>
  <c r="O755" i="1"/>
  <c r="N719" i="1"/>
  <c r="O719" i="1"/>
  <c r="N671" i="1"/>
  <c r="O671" i="1"/>
  <c r="N635" i="1"/>
  <c r="O635" i="1"/>
  <c r="N587" i="1"/>
  <c r="O587" i="1"/>
  <c r="N539" i="1"/>
  <c r="O539" i="1"/>
  <c r="N503" i="1"/>
  <c r="O503" i="1"/>
  <c r="N467" i="1"/>
  <c r="O467" i="1"/>
  <c r="N419" i="1"/>
  <c r="O419" i="1"/>
  <c r="N383" i="1"/>
  <c r="O383" i="1"/>
  <c r="N347" i="1"/>
  <c r="O347" i="1"/>
  <c r="N323" i="1"/>
  <c r="O323" i="1"/>
  <c r="N275" i="1"/>
  <c r="O275" i="1"/>
  <c r="N239" i="1"/>
  <c r="O239" i="1"/>
  <c r="N203" i="1"/>
  <c r="O203" i="1"/>
  <c r="N179" i="1"/>
  <c r="O179" i="1"/>
  <c r="N143" i="1"/>
  <c r="O143" i="1"/>
  <c r="N119" i="1"/>
  <c r="O119" i="1"/>
  <c r="N95" i="1"/>
  <c r="O95" i="1"/>
  <c r="N71" i="1"/>
  <c r="O71" i="1"/>
  <c r="N35" i="1"/>
  <c r="O35" i="1"/>
  <c r="N991" i="1"/>
  <c r="O991" i="1"/>
  <c r="N919" i="1"/>
  <c r="O919" i="1"/>
  <c r="N895" i="1"/>
  <c r="O895" i="1"/>
  <c r="N871" i="1"/>
  <c r="O871" i="1"/>
  <c r="N847" i="1"/>
  <c r="O847" i="1"/>
  <c r="N811" i="1"/>
  <c r="O811" i="1"/>
  <c r="N775" i="1"/>
  <c r="O775" i="1"/>
  <c r="N751" i="1"/>
  <c r="O751" i="1"/>
  <c r="N715" i="1"/>
  <c r="O715" i="1"/>
  <c r="N679" i="1"/>
  <c r="O679" i="1"/>
  <c r="N631" i="1"/>
  <c r="O631" i="1"/>
  <c r="N595" i="1"/>
  <c r="O595" i="1"/>
  <c r="N583" i="1"/>
  <c r="O583" i="1"/>
  <c r="N547" i="1"/>
  <c r="O547" i="1"/>
  <c r="N511" i="1"/>
  <c r="O511" i="1"/>
  <c r="N415" i="1"/>
  <c r="O415" i="1"/>
  <c r="N379" i="1"/>
  <c r="O379" i="1"/>
  <c r="N139" i="1"/>
  <c r="O139" i="1"/>
  <c r="N103" i="1"/>
  <c r="O103" i="1"/>
  <c r="N79" i="1"/>
  <c r="O79" i="1"/>
  <c r="N990" i="1"/>
  <c r="O990" i="1"/>
  <c r="N966" i="1"/>
  <c r="O966" i="1"/>
  <c r="N918" i="1"/>
  <c r="O918" i="1"/>
  <c r="N894" i="1"/>
  <c r="O894" i="1"/>
  <c r="N870" i="1"/>
  <c r="O870" i="1"/>
  <c r="N786" i="1"/>
  <c r="O786" i="1"/>
  <c r="N762" i="1"/>
  <c r="O762" i="1"/>
  <c r="N726" i="1"/>
  <c r="O726" i="1"/>
  <c r="N702" i="1"/>
  <c r="O702" i="1"/>
  <c r="N630" i="1"/>
  <c r="O630" i="1"/>
  <c r="N594" i="1"/>
  <c r="O594" i="1"/>
  <c r="N534" i="1"/>
  <c r="O534" i="1"/>
  <c r="N498" i="1"/>
  <c r="O498" i="1"/>
  <c r="N462" i="1"/>
  <c r="O462" i="1"/>
  <c r="N414" i="1"/>
  <c r="O414" i="1"/>
  <c r="N390" i="1"/>
  <c r="O390" i="1"/>
  <c r="N354" i="1"/>
  <c r="O354" i="1"/>
  <c r="N330" i="1"/>
  <c r="O330" i="1"/>
  <c r="N294" i="1"/>
  <c r="O294" i="1"/>
  <c r="N258" i="1"/>
  <c r="O258" i="1"/>
  <c r="N210" i="1"/>
  <c r="O210" i="1"/>
  <c r="N186" i="1"/>
  <c r="O186" i="1"/>
  <c r="N162" i="1"/>
  <c r="O162" i="1"/>
  <c r="N138" i="1"/>
  <c r="O138" i="1"/>
  <c r="N126" i="1"/>
  <c r="O126" i="1"/>
  <c r="N102" i="1"/>
  <c r="O102" i="1"/>
  <c r="N90" i="1"/>
  <c r="O90" i="1"/>
  <c r="N78" i="1"/>
  <c r="O78" i="1"/>
  <c r="N66" i="1"/>
  <c r="O66" i="1"/>
  <c r="N54" i="1"/>
  <c r="O54" i="1"/>
  <c r="N30" i="1"/>
  <c r="O30" i="1"/>
  <c r="N977" i="1"/>
  <c r="O977" i="1"/>
  <c r="N941" i="1"/>
  <c r="O941" i="1"/>
  <c r="N905" i="1"/>
  <c r="O905" i="1"/>
  <c r="N869" i="1"/>
  <c r="O869" i="1"/>
  <c r="N833" i="1"/>
  <c r="O833" i="1"/>
  <c r="N809" i="1"/>
  <c r="O809" i="1"/>
  <c r="N773" i="1"/>
  <c r="O773" i="1"/>
  <c r="N725" i="1"/>
  <c r="O725" i="1"/>
  <c r="N689" i="1"/>
  <c r="O689" i="1"/>
  <c r="N665" i="1"/>
  <c r="O665" i="1"/>
  <c r="N629" i="1"/>
  <c r="O629" i="1"/>
  <c r="N581" i="1"/>
  <c r="O581" i="1"/>
  <c r="N545" i="1"/>
  <c r="O545" i="1"/>
  <c r="N521" i="1"/>
  <c r="O521" i="1"/>
  <c r="N485" i="1"/>
  <c r="O485" i="1"/>
  <c r="N449" i="1"/>
  <c r="O449" i="1"/>
  <c r="N425" i="1"/>
  <c r="O425" i="1"/>
  <c r="N401" i="1"/>
  <c r="O401" i="1"/>
  <c r="N353" i="1"/>
  <c r="O353" i="1"/>
  <c r="N317" i="1"/>
  <c r="O317" i="1"/>
  <c r="N281" i="1"/>
  <c r="O281" i="1"/>
  <c r="N257" i="1"/>
  <c r="O257" i="1"/>
  <c r="N233" i="1"/>
  <c r="O233" i="1"/>
  <c r="N197" i="1"/>
  <c r="O197" i="1"/>
  <c r="N173" i="1"/>
  <c r="O173" i="1"/>
  <c r="N149" i="1"/>
  <c r="O149" i="1"/>
  <c r="N125" i="1"/>
  <c r="O125" i="1"/>
  <c r="N101" i="1"/>
  <c r="O101" i="1"/>
  <c r="N77" i="1"/>
  <c r="O77" i="1"/>
  <c r="N53" i="1"/>
  <c r="O53" i="1"/>
  <c r="N29" i="1"/>
  <c r="O29" i="1"/>
  <c r="N987" i="1"/>
  <c r="O987" i="1"/>
  <c r="N963" i="1"/>
  <c r="O963" i="1"/>
  <c r="N939" i="1"/>
  <c r="O939" i="1"/>
  <c r="N927" i="1"/>
  <c r="O927" i="1"/>
  <c r="N903" i="1"/>
  <c r="O903" i="1"/>
  <c r="N879" i="1"/>
  <c r="O879" i="1"/>
  <c r="N855" i="1"/>
  <c r="O855" i="1"/>
  <c r="N831" i="1"/>
  <c r="O831" i="1"/>
  <c r="N819" i="1"/>
  <c r="O819" i="1"/>
  <c r="N795" i="1"/>
  <c r="O795" i="1"/>
  <c r="N771" i="1"/>
  <c r="O771" i="1"/>
  <c r="N735" i="1"/>
  <c r="O735" i="1"/>
  <c r="N567" i="1"/>
  <c r="O567" i="1"/>
  <c r="N998" i="1"/>
  <c r="O998" i="1"/>
  <c r="N986" i="1"/>
  <c r="O986" i="1"/>
  <c r="N974" i="1"/>
  <c r="O974" i="1"/>
  <c r="N962" i="1"/>
  <c r="O962" i="1"/>
  <c r="N950" i="1"/>
  <c r="O950" i="1"/>
  <c r="N926" i="1"/>
  <c r="O926" i="1"/>
  <c r="N914" i="1"/>
  <c r="O914" i="1"/>
  <c r="N902" i="1"/>
  <c r="O902" i="1"/>
  <c r="N890" i="1"/>
  <c r="O890" i="1"/>
  <c r="N878" i="1"/>
  <c r="O878" i="1"/>
  <c r="N866" i="1"/>
  <c r="O866" i="1"/>
  <c r="N854" i="1"/>
  <c r="O854" i="1"/>
  <c r="N842" i="1"/>
  <c r="O842" i="1"/>
  <c r="N830" i="1"/>
  <c r="O830" i="1"/>
  <c r="N818" i="1"/>
  <c r="O818" i="1"/>
  <c r="N806" i="1"/>
  <c r="O806" i="1"/>
  <c r="N794" i="1"/>
  <c r="O794" i="1"/>
  <c r="N782" i="1"/>
  <c r="O782" i="1"/>
  <c r="N770" i="1"/>
  <c r="O770" i="1"/>
  <c r="N758" i="1"/>
  <c r="O758" i="1"/>
  <c r="N746" i="1"/>
  <c r="O746" i="1"/>
  <c r="N734" i="1"/>
  <c r="O734" i="1"/>
  <c r="N722" i="1"/>
  <c r="O722" i="1"/>
  <c r="N710" i="1"/>
  <c r="O710" i="1"/>
  <c r="N698" i="1"/>
  <c r="O698" i="1"/>
  <c r="N686" i="1"/>
  <c r="O686" i="1"/>
  <c r="N674" i="1"/>
  <c r="O674" i="1"/>
  <c r="N662" i="1"/>
  <c r="O662" i="1"/>
  <c r="N650" i="1"/>
  <c r="O650" i="1"/>
  <c r="N638" i="1"/>
  <c r="O638" i="1"/>
  <c r="N626" i="1"/>
  <c r="O626" i="1"/>
  <c r="N614" i="1"/>
  <c r="O614" i="1"/>
  <c r="N602" i="1"/>
  <c r="O602" i="1"/>
  <c r="N590" i="1"/>
  <c r="O590" i="1"/>
  <c r="N578" i="1"/>
  <c r="O578" i="1"/>
  <c r="N566" i="1"/>
  <c r="O566" i="1"/>
  <c r="N554" i="1"/>
  <c r="O554" i="1"/>
  <c r="N542" i="1"/>
  <c r="O542" i="1"/>
  <c r="N530" i="1"/>
  <c r="O530" i="1"/>
  <c r="N518" i="1"/>
  <c r="O518" i="1"/>
  <c r="N506" i="1"/>
  <c r="O506" i="1"/>
  <c r="N494" i="1"/>
  <c r="O494" i="1"/>
  <c r="N482" i="1"/>
  <c r="O482" i="1"/>
  <c r="N470" i="1"/>
  <c r="O470" i="1"/>
  <c r="N458" i="1"/>
  <c r="O458" i="1"/>
  <c r="N446" i="1"/>
  <c r="O446" i="1"/>
  <c r="N422" i="1"/>
  <c r="O422" i="1"/>
  <c r="N410" i="1"/>
  <c r="O410" i="1"/>
  <c r="N398" i="1"/>
  <c r="O398" i="1"/>
  <c r="N386" i="1"/>
  <c r="O386" i="1"/>
  <c r="N374" i="1"/>
  <c r="O374" i="1"/>
  <c r="N350" i="1"/>
  <c r="O350" i="1"/>
  <c r="N338" i="1"/>
  <c r="O338" i="1"/>
  <c r="N326" i="1"/>
  <c r="O326" i="1"/>
  <c r="N314" i="1"/>
  <c r="O314" i="1"/>
  <c r="N302" i="1"/>
  <c r="O302" i="1"/>
  <c r="N290" i="1"/>
  <c r="O290" i="1"/>
  <c r="N278" i="1"/>
  <c r="O278" i="1"/>
  <c r="N266" i="1"/>
  <c r="O266" i="1"/>
  <c r="N254" i="1"/>
  <c r="O254" i="1"/>
  <c r="N242" i="1"/>
  <c r="O242" i="1"/>
  <c r="N230" i="1"/>
  <c r="O230" i="1"/>
  <c r="N218" i="1"/>
  <c r="O218" i="1"/>
  <c r="N206" i="1"/>
  <c r="O206" i="1"/>
  <c r="N194" i="1"/>
  <c r="O194" i="1"/>
  <c r="N182" i="1"/>
  <c r="O182" i="1"/>
  <c r="N170" i="1"/>
  <c r="O170" i="1"/>
  <c r="N158" i="1"/>
  <c r="O158" i="1"/>
  <c r="N146" i="1"/>
  <c r="O146" i="1"/>
  <c r="N134" i="1"/>
  <c r="O134" i="1"/>
  <c r="N122" i="1"/>
  <c r="O122" i="1"/>
  <c r="N110" i="1"/>
  <c r="O110" i="1"/>
  <c r="N98" i="1"/>
  <c r="O98" i="1"/>
  <c r="N86" i="1"/>
  <c r="O86" i="1"/>
  <c r="N74" i="1"/>
  <c r="O74" i="1"/>
  <c r="N62" i="1"/>
  <c r="O62" i="1"/>
  <c r="N50" i="1"/>
  <c r="O50" i="1"/>
  <c r="N38" i="1"/>
  <c r="O38" i="1"/>
  <c r="N26" i="1"/>
  <c r="O26" i="1"/>
  <c r="N2" i="1"/>
  <c r="O2" i="1"/>
  <c r="N907" i="1"/>
  <c r="N658" i="1"/>
  <c r="N499" i="1"/>
  <c r="N363" i="1"/>
  <c r="N175" i="1"/>
  <c r="N997" i="1"/>
  <c r="O997" i="1"/>
  <c r="N985" i="1"/>
  <c r="O985" i="1"/>
  <c r="N973" i="1"/>
  <c r="O973" i="1"/>
  <c r="N949" i="1"/>
  <c r="O949" i="1"/>
  <c r="N937" i="1"/>
  <c r="O937" i="1"/>
  <c r="N925" i="1"/>
  <c r="O925" i="1"/>
  <c r="N913" i="1"/>
  <c r="O913" i="1"/>
  <c r="N901" i="1"/>
  <c r="O901" i="1"/>
  <c r="N889" i="1"/>
  <c r="O889" i="1"/>
  <c r="N877" i="1"/>
  <c r="O877" i="1"/>
  <c r="N865" i="1"/>
  <c r="O865" i="1"/>
  <c r="N853" i="1"/>
  <c r="O853" i="1"/>
  <c r="N841" i="1"/>
  <c r="O841" i="1"/>
  <c r="N829" i="1"/>
  <c r="O829" i="1"/>
  <c r="N817" i="1"/>
  <c r="O817" i="1"/>
  <c r="N805" i="1"/>
  <c r="O805" i="1"/>
  <c r="N793" i="1"/>
  <c r="O793" i="1"/>
  <c r="N769" i="1"/>
  <c r="O769" i="1"/>
  <c r="N757" i="1"/>
  <c r="O757" i="1"/>
  <c r="N745" i="1"/>
  <c r="O745" i="1"/>
  <c r="N733" i="1"/>
  <c r="O733" i="1"/>
  <c r="N721" i="1"/>
  <c r="O721" i="1"/>
  <c r="N709" i="1"/>
  <c r="O709" i="1"/>
  <c r="N697" i="1"/>
  <c r="O697" i="1"/>
  <c r="N685" i="1"/>
  <c r="O685" i="1"/>
  <c r="N673" i="1"/>
  <c r="O673" i="1"/>
  <c r="N661" i="1"/>
  <c r="O661" i="1"/>
  <c r="N649" i="1"/>
  <c r="O649" i="1"/>
  <c r="N637" i="1"/>
  <c r="O637" i="1"/>
  <c r="N625" i="1"/>
  <c r="O625" i="1"/>
  <c r="N613" i="1"/>
  <c r="O613" i="1"/>
  <c r="N601" i="1"/>
  <c r="O601" i="1"/>
  <c r="N589" i="1"/>
  <c r="O589" i="1"/>
  <c r="N565" i="1"/>
  <c r="O565" i="1"/>
  <c r="N553" i="1"/>
  <c r="O553" i="1"/>
  <c r="N541" i="1"/>
  <c r="O541" i="1"/>
  <c r="N529" i="1"/>
  <c r="O529" i="1"/>
  <c r="N517" i="1"/>
  <c r="O517" i="1"/>
  <c r="N505" i="1"/>
  <c r="O505" i="1"/>
  <c r="N469" i="1"/>
  <c r="O469" i="1"/>
  <c r="N457" i="1"/>
  <c r="O457" i="1"/>
  <c r="N445" i="1"/>
  <c r="O445" i="1"/>
  <c r="N433" i="1"/>
  <c r="O433" i="1"/>
  <c r="N421" i="1"/>
  <c r="O421" i="1"/>
  <c r="N409" i="1"/>
  <c r="O409" i="1"/>
  <c r="N397" i="1"/>
  <c r="O397" i="1"/>
  <c r="N385" i="1"/>
  <c r="O385" i="1"/>
  <c r="N373" i="1"/>
  <c r="O373" i="1"/>
  <c r="N361" i="1"/>
  <c r="O361" i="1"/>
  <c r="N349" i="1"/>
  <c r="O349" i="1"/>
  <c r="N337" i="1"/>
  <c r="O337" i="1"/>
  <c r="N325" i="1"/>
  <c r="O325" i="1"/>
  <c r="N313" i="1"/>
  <c r="O313" i="1"/>
  <c r="N301" i="1"/>
  <c r="O301" i="1"/>
  <c r="N289" i="1"/>
  <c r="O289" i="1"/>
  <c r="N277" i="1"/>
  <c r="O277" i="1"/>
  <c r="N265" i="1"/>
  <c r="O265" i="1"/>
  <c r="N253" i="1"/>
  <c r="O253" i="1"/>
  <c r="N229" i="1"/>
  <c r="O229" i="1"/>
  <c r="N217" i="1"/>
  <c r="O217" i="1"/>
  <c r="N205" i="1"/>
  <c r="O205" i="1"/>
  <c r="N193" i="1"/>
  <c r="O193" i="1"/>
  <c r="N181" i="1"/>
  <c r="O181" i="1"/>
  <c r="N169" i="1"/>
  <c r="O169" i="1"/>
  <c r="N157" i="1"/>
  <c r="O157" i="1"/>
  <c r="N133" i="1"/>
  <c r="O133" i="1"/>
  <c r="N121" i="1"/>
  <c r="O121" i="1"/>
  <c r="N109" i="1"/>
  <c r="O109" i="1"/>
  <c r="N85" i="1"/>
  <c r="O85" i="1"/>
  <c r="N61" i="1"/>
  <c r="O61" i="1"/>
  <c r="N49" i="1"/>
  <c r="O49" i="1"/>
  <c r="N37" i="1"/>
  <c r="O37" i="1"/>
  <c r="N883" i="1"/>
  <c r="N657" i="1"/>
  <c r="N493" i="1"/>
  <c r="N355" i="1"/>
  <c r="N16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5A307E-AA36-43C1-945A-7CA52CAB0FC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980E652-6D13-4FCA-BBA4-B96A006E78C4}" name="WorksheetConnection_marketing_campaigns.csv.xlsx!Table2" type="102" refreshedVersion="8" minRefreshableVersion="5">
    <extLst>
      <ext xmlns:x15="http://schemas.microsoft.com/office/spreadsheetml/2010/11/main" uri="{DE250136-89BD-433C-8126-D09CA5730AF9}">
        <x15:connection id="Table2">
          <x15:rangePr sourceName="_xlcn.WorksheetConnection_marketing_campaigns.csv.xlsxTable21"/>
        </x15:connection>
      </ext>
    </extLst>
  </connection>
</connections>
</file>

<file path=xl/sharedStrings.xml><?xml version="1.0" encoding="utf-8"?>
<sst xmlns="http://schemas.openxmlformats.org/spreadsheetml/2006/main" count="4999" uniqueCount="1037">
  <si>
    <t>campaign_name</t>
  </si>
  <si>
    <t>start_date</t>
  </si>
  <si>
    <t>end_date</t>
  </si>
  <si>
    <t>budget</t>
  </si>
  <si>
    <t>roi</t>
  </si>
  <si>
    <t>type</t>
  </si>
  <si>
    <t>target_audience</t>
  </si>
  <si>
    <t>channel</t>
  </si>
  <si>
    <t>conversion_rate</t>
  </si>
  <si>
    <t>revenue</t>
  </si>
  <si>
    <t>Public-key multi-tasking throughput</t>
  </si>
  <si>
    <t>email</t>
  </si>
  <si>
    <t>B2B</t>
  </si>
  <si>
    <t>organic</t>
  </si>
  <si>
    <t>De-engineered analyzing task-force</t>
  </si>
  <si>
    <t>B2C</t>
  </si>
  <si>
    <t>promotion</t>
  </si>
  <si>
    <t>Balanced solution-oriented Local Area Network</t>
  </si>
  <si>
    <t>podcast</t>
  </si>
  <si>
    <t>paid</t>
  </si>
  <si>
    <t>Distributed real-time methodology</t>
  </si>
  <si>
    <t>webinar</t>
  </si>
  <si>
    <t>Front-line executive infrastructure</t>
  </si>
  <si>
    <t>social media</t>
  </si>
  <si>
    <t>Upgradable transitional data-warehouse</t>
  </si>
  <si>
    <t>referral</t>
  </si>
  <si>
    <t>Innovative context-sensitive framework</t>
  </si>
  <si>
    <t>User-friendly client-driven service-desk</t>
  </si>
  <si>
    <t>Proactive neutral methodology</t>
  </si>
  <si>
    <t>Intuitive responsive support</t>
  </si>
  <si>
    <t>Multi-lateral dedicated workforce</t>
  </si>
  <si>
    <t>Cross-platform demand-driven encoding</t>
  </si>
  <si>
    <t>Networked even-keeled toolset</t>
  </si>
  <si>
    <t>Optional actuating standardization</t>
  </si>
  <si>
    <t>Innovative web-enabled function</t>
  </si>
  <si>
    <t>Configurable methodical service-desk</t>
  </si>
  <si>
    <t>Cross-group empowering attitude</t>
  </si>
  <si>
    <t>Intuitive didactic installation</t>
  </si>
  <si>
    <t>Fundamental dedicated encryption</t>
  </si>
  <si>
    <t>De-engineered 4thgeneration moratorium</t>
  </si>
  <si>
    <t>Managed upward-trending website</t>
  </si>
  <si>
    <t>Self-enabling human-resource infrastructure</t>
  </si>
  <si>
    <t>Cross-platform 24/7 archive</t>
  </si>
  <si>
    <t>Future-proofed local forecast</t>
  </si>
  <si>
    <t>Horizontal hybrid instruction set</t>
  </si>
  <si>
    <t>Inverse contextually-based neural-net</t>
  </si>
  <si>
    <t>Polarized hybrid system engine</t>
  </si>
  <si>
    <t>Managed analyzing service-desk</t>
  </si>
  <si>
    <t>Seamless clear-thinking product</t>
  </si>
  <si>
    <t>Networked local adapter</t>
  </si>
  <si>
    <t>Open-architected neutral open system</t>
  </si>
  <si>
    <t>Secured optimal website</t>
  </si>
  <si>
    <t>Seamless zero-defect portal</t>
  </si>
  <si>
    <t>Configurable eco-centric capability</t>
  </si>
  <si>
    <t>Customizable directional paradigm</t>
  </si>
  <si>
    <t>Cross-platform holistic encryption</t>
  </si>
  <si>
    <t>Vision-oriented encompassing system engine</t>
  </si>
  <si>
    <t>Ergonomic next generation throughput</t>
  </si>
  <si>
    <t>Vision-oriented 4thgeneration conglomeration</t>
  </si>
  <si>
    <t>Ameliorated secondary data-warehouse</t>
  </si>
  <si>
    <t>Programmable executive workforce</t>
  </si>
  <si>
    <t>Cross-group user-facing application</t>
  </si>
  <si>
    <t>Secured systematic architecture</t>
  </si>
  <si>
    <t>Seamless bifurcated firmware</t>
  </si>
  <si>
    <t>Intuitive directional website</t>
  </si>
  <si>
    <t>Mandatory incremental throughput</t>
  </si>
  <si>
    <t>Organic 24/7 secured line</t>
  </si>
  <si>
    <t>User-friendly analyzing moratorium</t>
  </si>
  <si>
    <t>Programmable discrete intranet</t>
  </si>
  <si>
    <t>Future-proofed empowering forecast</t>
  </si>
  <si>
    <t>Re-engineered solution-oriented core</t>
  </si>
  <si>
    <t>Diverse grid-enabled forecast</t>
  </si>
  <si>
    <t>Function-based motivating functionalities</t>
  </si>
  <si>
    <t>User-centric holistic firmware</t>
  </si>
  <si>
    <t>Virtual real-time architecture</t>
  </si>
  <si>
    <t>Open-source 6thgeneration secured line</t>
  </si>
  <si>
    <t>Reduced leadingedge architecture</t>
  </si>
  <si>
    <t>Fully-configurable 24/7 knowledgebase</t>
  </si>
  <si>
    <t>Organic 4thgeneration neural-net</t>
  </si>
  <si>
    <t>Centralized 3rdgeneration budgetary management</t>
  </si>
  <si>
    <t>Persevering web-enabled workforce</t>
  </si>
  <si>
    <t>Multi-channeled high-level interface</t>
  </si>
  <si>
    <t>Re-contextualized high-level project</t>
  </si>
  <si>
    <t>Right-sized tangible product</t>
  </si>
  <si>
    <t>Diverse leadingedge initiative</t>
  </si>
  <si>
    <t>Intuitive transitional hardware</t>
  </si>
  <si>
    <t>Diverse 6thgeneration superstructure</t>
  </si>
  <si>
    <t>Enhanced 4thgeneration hierarchy</t>
  </si>
  <si>
    <t>Function-based systematic emulation</t>
  </si>
  <si>
    <t>Managed asymmetric array</t>
  </si>
  <si>
    <t>Enterprise-wide mission-critical utilization</t>
  </si>
  <si>
    <t>Adaptive clear-thinking methodology</t>
  </si>
  <si>
    <t>Networked zero administration model</t>
  </si>
  <si>
    <t>Seamless well-modulated open architecture</t>
  </si>
  <si>
    <t>Exclusive radical installation</t>
  </si>
  <si>
    <t>Intuitive bottom-line algorithm</t>
  </si>
  <si>
    <t>Compatible stable extranet</t>
  </si>
  <si>
    <t>Progressive secondary synergy</t>
  </si>
  <si>
    <t>Sharable next generation ability</t>
  </si>
  <si>
    <t>Devolved value-added support</t>
  </si>
  <si>
    <t>Front-line full-range matrices</t>
  </si>
  <si>
    <t>Grass-roots foreground firmware</t>
  </si>
  <si>
    <t>Implemented reciprocal monitoring</t>
  </si>
  <si>
    <t>Reverse-engineered foreground approach</t>
  </si>
  <si>
    <t>Open-source maximized projection</t>
  </si>
  <si>
    <t>Intuitive object-oriented moratorium</t>
  </si>
  <si>
    <t>Virtual 4thgeneration Graphical User Interface</t>
  </si>
  <si>
    <t>Reactive multi-tasking extranet</t>
  </si>
  <si>
    <t>Enhanced heuristic archive</t>
  </si>
  <si>
    <t>Stand-alone bandwidth-monitored capability</t>
  </si>
  <si>
    <t>Open-source coherent archive</t>
  </si>
  <si>
    <t>Future-proofed coherent core</t>
  </si>
  <si>
    <t>Decentralized radical emulation</t>
  </si>
  <si>
    <t>Team-oriented content-based data-warehouse</t>
  </si>
  <si>
    <t>Expanded tangible capacity</t>
  </si>
  <si>
    <t>Secured methodical system engine</t>
  </si>
  <si>
    <t>Synergistic well-modulated conglomeration</t>
  </si>
  <si>
    <t>Programmable dedicated ability</t>
  </si>
  <si>
    <t>Public-key dynamic synergy</t>
  </si>
  <si>
    <t>Synergistic actuating benchmark</t>
  </si>
  <si>
    <t>Optional client-driven approach</t>
  </si>
  <si>
    <t>Cloned exuding matrices</t>
  </si>
  <si>
    <t>Expanded zero tolerance adapter</t>
  </si>
  <si>
    <t>Persistent incremental installation</t>
  </si>
  <si>
    <t>Integrated full-range encoding</t>
  </si>
  <si>
    <t>Total system-worthy framework</t>
  </si>
  <si>
    <t>Persistent disintermediate artificial intelligence</t>
  </si>
  <si>
    <t>Self-enabling explicit interface</t>
  </si>
  <si>
    <t>User-centric responsive software</t>
  </si>
  <si>
    <t>Enterprise-wide bottom-line forecast</t>
  </si>
  <si>
    <t>Upgradable transitional productivity</t>
  </si>
  <si>
    <t>Assimilated asynchronous project</t>
  </si>
  <si>
    <t>Reverse-engineered 4thgeneration alliance</t>
  </si>
  <si>
    <t>Networked bi-directional help-desk</t>
  </si>
  <si>
    <t>Diverse exuding superstructure</t>
  </si>
  <si>
    <t>Organized directional service-desk</t>
  </si>
  <si>
    <t>Balanced 24hour intranet</t>
  </si>
  <si>
    <t>Reactive well-modulated portal</t>
  </si>
  <si>
    <t>Realigned intangible application</t>
  </si>
  <si>
    <t>Front-line web-enabled orchestration</t>
  </si>
  <si>
    <t>Polarized upward-trending frame</t>
  </si>
  <si>
    <t>Persevering content-based archive</t>
  </si>
  <si>
    <t>De-engineered content-based budgetary management</t>
  </si>
  <si>
    <t>Inverse well-modulated forecast</t>
  </si>
  <si>
    <t>Progressive web-enabled concept</t>
  </si>
  <si>
    <t>Visionary 4thgeneration help-desk</t>
  </si>
  <si>
    <t>Up-sized attitude-oriented task-force</t>
  </si>
  <si>
    <t>Sharable secondary migration</t>
  </si>
  <si>
    <t>Quality-focused methodical policy</t>
  </si>
  <si>
    <t>Distributed multimedia encryption</t>
  </si>
  <si>
    <t>Switchable user-facing archive</t>
  </si>
  <si>
    <t>Virtual bottom-line parallelism</t>
  </si>
  <si>
    <t>Customer-focused mobile Graphic Interface</t>
  </si>
  <si>
    <t>Networked asynchronous standardization</t>
  </si>
  <si>
    <t>Persevering coherent concept</t>
  </si>
  <si>
    <t>Secured systemic groupware</t>
  </si>
  <si>
    <t>Team-oriented motivating productivity</t>
  </si>
  <si>
    <t>Seamless exuding model</t>
  </si>
  <si>
    <t>Cross-platform bandwidth-monitored model</t>
  </si>
  <si>
    <t>Face-to-face high-level synergy</t>
  </si>
  <si>
    <t>Compatible eco-centric access</t>
  </si>
  <si>
    <t>Down-sized web-enabled data-warehouse</t>
  </si>
  <si>
    <t>Streamlined non-volatile projection</t>
  </si>
  <si>
    <t>Synergized client-driven algorithm</t>
  </si>
  <si>
    <t>Cross-platform composite matrix</t>
  </si>
  <si>
    <t>Networked background utilization</t>
  </si>
  <si>
    <t>Quality-focused composite challenge</t>
  </si>
  <si>
    <t>Enhanced asymmetric open system</t>
  </si>
  <si>
    <t>Innovative hybrid time-frame</t>
  </si>
  <si>
    <t>Re-engineered intangible intranet</t>
  </si>
  <si>
    <t>Multi-channeled zero administration software</t>
  </si>
  <si>
    <t>Universal national adapter</t>
  </si>
  <si>
    <t>Centralized system-worthy knowledgebase</t>
  </si>
  <si>
    <t>Open-architected asymmetric time-frame</t>
  </si>
  <si>
    <t>Centralized leadingedge Local Area Network</t>
  </si>
  <si>
    <t>Organized needs-based conglomeration</t>
  </si>
  <si>
    <t>Optional secondary collaboration</t>
  </si>
  <si>
    <t>Synchronized client-driven challenge</t>
  </si>
  <si>
    <t>Enterprise-wide zero administration Graphic Interface</t>
  </si>
  <si>
    <t>Programmable local moratorium</t>
  </si>
  <si>
    <t>Networked systematic attitude</t>
  </si>
  <si>
    <t>Pre-emptive solution-oriented standardization</t>
  </si>
  <si>
    <t>Down-sized contextually-based strategy</t>
  </si>
  <si>
    <t>Reverse-engineered zero administration workforce</t>
  </si>
  <si>
    <t>Pre-emptive real-time database</t>
  </si>
  <si>
    <t>Business-focused foreground budgetary management</t>
  </si>
  <si>
    <t>Stand-alone multi-tasking methodology</t>
  </si>
  <si>
    <t>Proactive eco-centric process improvement</t>
  </si>
  <si>
    <t>Digitized human-resource knowledge user</t>
  </si>
  <si>
    <t>Ergonomic next generation hub</t>
  </si>
  <si>
    <t>Realigned radical hardware</t>
  </si>
  <si>
    <t>Grass-roots national approach</t>
  </si>
  <si>
    <t>Synergistic mobile task-force</t>
  </si>
  <si>
    <t>Customer-focused fault-tolerant help-desk</t>
  </si>
  <si>
    <t>Face-to-face 6thgeneration portal</t>
  </si>
  <si>
    <t>Ameliorated encompassing capacity</t>
  </si>
  <si>
    <t>Digitized optimizing capability</t>
  </si>
  <si>
    <t>Triple-buffered zero tolerance circuit</t>
  </si>
  <si>
    <t>Open-source background firmware</t>
  </si>
  <si>
    <t>Expanded global matrices</t>
  </si>
  <si>
    <t>Organized regional implementation</t>
  </si>
  <si>
    <t>Realigned stable parallelism</t>
  </si>
  <si>
    <t>Networked executive knowledgebase</t>
  </si>
  <si>
    <t>Multi-tiered neutral standardization</t>
  </si>
  <si>
    <t>Virtual cohesive orchestration</t>
  </si>
  <si>
    <t>Progressive 4thgeneration policy</t>
  </si>
  <si>
    <t>Monitored impactful installation</t>
  </si>
  <si>
    <t>Automated responsive initiative</t>
  </si>
  <si>
    <t>Function-based grid-enabled conglomeration</t>
  </si>
  <si>
    <t>Polarized dynamic analyzer</t>
  </si>
  <si>
    <t>Centralized methodical alliance</t>
  </si>
  <si>
    <t>Visionary directional open architecture</t>
  </si>
  <si>
    <t>Reduced static functionalities</t>
  </si>
  <si>
    <t>Sharable upward-trending initiative</t>
  </si>
  <si>
    <t>Front-line eco-centric open system</t>
  </si>
  <si>
    <t>Managed bandwidth-monitored complexity</t>
  </si>
  <si>
    <t>Re-engineered non-volatile algorithm</t>
  </si>
  <si>
    <t>Integrated secondary migration</t>
  </si>
  <si>
    <t>Horizontal 6thgeneration model</t>
  </si>
  <si>
    <t>Robust optimizing projection</t>
  </si>
  <si>
    <t>Right-sized scalable open architecture</t>
  </si>
  <si>
    <t>Optional mission-critical project</t>
  </si>
  <si>
    <t>Focused responsive open architecture</t>
  </si>
  <si>
    <t>Reverse-engineered static infrastructure</t>
  </si>
  <si>
    <t>Monitored grid-enabled productivity</t>
  </si>
  <si>
    <t>Cross-group foreground ability</t>
  </si>
  <si>
    <t>Switchable mobile toolset</t>
  </si>
  <si>
    <t>Front-line mobile ability</t>
  </si>
  <si>
    <t>Optional systemic adapter</t>
  </si>
  <si>
    <t>User-friendly responsive parallelism</t>
  </si>
  <si>
    <t>Mandatory grid-enabled throughput</t>
  </si>
  <si>
    <t>Phased dynamic throughput</t>
  </si>
  <si>
    <t>Pre-emptive mobile Local Area Network</t>
  </si>
  <si>
    <t>Decentralized zero-defect superstructure</t>
  </si>
  <si>
    <t>Distributed grid-enabled focus group</t>
  </si>
  <si>
    <t>Monitored global leverage</t>
  </si>
  <si>
    <t>Secured exuding hardware</t>
  </si>
  <si>
    <t>Re-engineered content-based projection</t>
  </si>
  <si>
    <t>Compatible explicit hierarchy</t>
  </si>
  <si>
    <t>Reduced holistic groupware</t>
  </si>
  <si>
    <t>Organic national application</t>
  </si>
  <si>
    <t>Configurable multi-tasking projection</t>
  </si>
  <si>
    <t>Open-source zero-defect groupware</t>
  </si>
  <si>
    <t>Extended multi-tasking focus group</t>
  </si>
  <si>
    <t>Reverse-engineered 4thgeneration adapter</t>
  </si>
  <si>
    <t>Open-source heuristic methodology</t>
  </si>
  <si>
    <t>Diverse interactive functionalities</t>
  </si>
  <si>
    <t>Ameliorated leadingedge moratorium</t>
  </si>
  <si>
    <t>Distributed web-enabled matrix</t>
  </si>
  <si>
    <t>Horizontal full-range complexity</t>
  </si>
  <si>
    <t>Re-engineered optimizing definition</t>
  </si>
  <si>
    <t>Horizontal regional implementation</t>
  </si>
  <si>
    <t>Robust eco-centric service-desk</t>
  </si>
  <si>
    <t>Expanded radical array</t>
  </si>
  <si>
    <t>Cross-group interactive matrix</t>
  </si>
  <si>
    <t>Digitized full-range moderator</t>
  </si>
  <si>
    <t>Programmable dedicated Graphical User Interface</t>
  </si>
  <si>
    <t>Total secondary attitude</t>
  </si>
  <si>
    <t>User-friendly coherent software</t>
  </si>
  <si>
    <t>Grass-roots global attitude</t>
  </si>
  <si>
    <t>Decentralized incremental synergy</t>
  </si>
  <si>
    <t>Virtual executive alliance</t>
  </si>
  <si>
    <t>Distributed content-based service-desk</t>
  </si>
  <si>
    <t>Customizable real-time toolset</t>
  </si>
  <si>
    <t>Cross-group discrete implementation</t>
  </si>
  <si>
    <t>Secured object-oriented contingency</t>
  </si>
  <si>
    <t>Re-contextualized needs-based function</t>
  </si>
  <si>
    <t>Face-to-face optimal capacity</t>
  </si>
  <si>
    <t>Assimilated analyzing definition</t>
  </si>
  <si>
    <t>Diverse homogeneous approach</t>
  </si>
  <si>
    <t>Persevering non-volatile utilization</t>
  </si>
  <si>
    <t>Down-sized exuding website</t>
  </si>
  <si>
    <t>Persevering zero administration interface</t>
  </si>
  <si>
    <t>Re-contextualized global projection</t>
  </si>
  <si>
    <t>Advanced optimizing portal</t>
  </si>
  <si>
    <t>Total client-driven functionalities</t>
  </si>
  <si>
    <t>Grass-roots reciprocal core</t>
  </si>
  <si>
    <t>Self-enabling reciprocal algorithm</t>
  </si>
  <si>
    <t>Fundamental holistic policy</t>
  </si>
  <si>
    <t>Automated background intranet</t>
  </si>
  <si>
    <t>Diverse modular productivity</t>
  </si>
  <si>
    <t>Down-sized attitude-oriented conglomeration</t>
  </si>
  <si>
    <t>Universal 24hour process improvement</t>
  </si>
  <si>
    <t>Fundamental optimal secured line</t>
  </si>
  <si>
    <t>Reverse-engineered responsive migration</t>
  </si>
  <si>
    <t>Organized hybrid intranet</t>
  </si>
  <si>
    <t>Streamlined intermediate core</t>
  </si>
  <si>
    <t>Re-contextualized regional pricing structure</t>
  </si>
  <si>
    <t>Stand-alone client-driven challenge</t>
  </si>
  <si>
    <t>Reactive client-driven paradigm</t>
  </si>
  <si>
    <t>Object-based composite info-mediaries</t>
  </si>
  <si>
    <t>User-centric discrete algorithm</t>
  </si>
  <si>
    <t>Cloned discrete customer loyalty</t>
  </si>
  <si>
    <t>Function-based motivating algorithm</t>
  </si>
  <si>
    <t>Devolved local Graphic Interface</t>
  </si>
  <si>
    <t>Synergized 24hour strategy</t>
  </si>
  <si>
    <t>Function-based exuding strategy</t>
  </si>
  <si>
    <t>Synergistic intermediate middleware</t>
  </si>
  <si>
    <t>Grass-roots 24/7 orchestration</t>
  </si>
  <si>
    <t>Adaptive needs-based initiative</t>
  </si>
  <si>
    <t>Automated 5thgeneration attitude</t>
  </si>
  <si>
    <t>Mandatory secondary access</t>
  </si>
  <si>
    <t>Digitized analyzing paradigm</t>
  </si>
  <si>
    <t>Object-based intangible artificial intelligence</t>
  </si>
  <si>
    <t>Proactive mission-critical structure</t>
  </si>
  <si>
    <t>Object-based grid-enabled model</t>
  </si>
  <si>
    <t>Seamless executive standardization</t>
  </si>
  <si>
    <t>De-engineered homogeneous array</t>
  </si>
  <si>
    <t>Inverse heuristic projection</t>
  </si>
  <si>
    <t>Diverse asymmetric orchestration</t>
  </si>
  <si>
    <t>Reactive zero tolerance core</t>
  </si>
  <si>
    <t>Reverse-engineered 24/7 help-desk</t>
  </si>
  <si>
    <t>Optimized 24hour budgetary management</t>
  </si>
  <si>
    <t>Inverse heuristic encryption</t>
  </si>
  <si>
    <t>Realigned empowering initiative</t>
  </si>
  <si>
    <t>Reduced mobile matrices</t>
  </si>
  <si>
    <t>Virtual motivating portal</t>
  </si>
  <si>
    <t>Customizable executive task-force</t>
  </si>
  <si>
    <t>Optional 3rdgeneration open architecture</t>
  </si>
  <si>
    <t>Networked 6thgeneration neural-net</t>
  </si>
  <si>
    <t>Open-architected empowering database</t>
  </si>
  <si>
    <t>Multi-channeled human-resource infrastructure</t>
  </si>
  <si>
    <t>Distributed intangible software</t>
  </si>
  <si>
    <t>Switchable clear-thinking challenge</t>
  </si>
  <si>
    <t>Customizable 4thgeneration Internet solution</t>
  </si>
  <si>
    <t>Reduced zero tolerance policy</t>
  </si>
  <si>
    <t>Profound real-time archive</t>
  </si>
  <si>
    <t>Inverse static support</t>
  </si>
  <si>
    <t>Total attitude-oriented support</t>
  </si>
  <si>
    <t>Persistent tangible methodology</t>
  </si>
  <si>
    <t>Robust bi-directional hub</t>
  </si>
  <si>
    <t>Virtual content-based standardization</t>
  </si>
  <si>
    <t>Programmable modular architecture</t>
  </si>
  <si>
    <t>Open-source zero administration extranet</t>
  </si>
  <si>
    <t>Total asymmetric emulation</t>
  </si>
  <si>
    <t>Streamlined attitude-oriented adapter</t>
  </si>
  <si>
    <t>Operative demand-driven open system</t>
  </si>
  <si>
    <t>Organic impactful approach</t>
  </si>
  <si>
    <t>Cloned leadingedge moderator</t>
  </si>
  <si>
    <t>Versatile well-modulated ability</t>
  </si>
  <si>
    <t>Self-enabling zero tolerance synergy</t>
  </si>
  <si>
    <t>Polarized systematic parallelism</t>
  </si>
  <si>
    <t>Sharable object-oriented algorithm</t>
  </si>
  <si>
    <t>Progressive systematic architecture</t>
  </si>
  <si>
    <t>Decentralized bi-directional forecast</t>
  </si>
  <si>
    <t>Multi-lateral coherent hardware</t>
  </si>
  <si>
    <t>Digitized fresh-thinking toolset</t>
  </si>
  <si>
    <t>Persistent fresh-thinking parallelism</t>
  </si>
  <si>
    <t>Up-sized discrete superstructure</t>
  </si>
  <si>
    <t>Implemented next generation productivity</t>
  </si>
  <si>
    <t>Persistent radical approach</t>
  </si>
  <si>
    <t>Robust dynamic circuit</t>
  </si>
  <si>
    <t>Assimilated cohesive contingency</t>
  </si>
  <si>
    <t>Distributed heuristic extranet</t>
  </si>
  <si>
    <t>Public-key optimizing open architecture</t>
  </si>
  <si>
    <t>Self-enabling secondary methodology</t>
  </si>
  <si>
    <t>Multi-channeled intermediate project</t>
  </si>
  <si>
    <t>Re-engineered 24/7 benchmark</t>
  </si>
  <si>
    <t>Automated 6thgeneration solution</t>
  </si>
  <si>
    <t>Persevering asymmetric orchestration</t>
  </si>
  <si>
    <t>Enhanced web-enabled knowledge user</t>
  </si>
  <si>
    <t>Multi-tiered fresh-thinking monitoring</t>
  </si>
  <si>
    <t>Cloned background ability</t>
  </si>
  <si>
    <t>Up-sized bifurcated budgetary management</t>
  </si>
  <si>
    <t>Virtual methodical projection</t>
  </si>
  <si>
    <t>Configurable 6thgeneration approach</t>
  </si>
  <si>
    <t>Networked zero administration hardware</t>
  </si>
  <si>
    <t>Integrated dedicated solution</t>
  </si>
  <si>
    <t>Managed coherent Local Area Network</t>
  </si>
  <si>
    <t>Assimilated bifurcated policy</t>
  </si>
  <si>
    <t>Intuitive secondary initiative</t>
  </si>
  <si>
    <t>Reverse-engineered bandwidth-monitored encoding</t>
  </si>
  <si>
    <t>Adaptive 24/7 open architecture</t>
  </si>
  <si>
    <t>Grass-roots holistic migration</t>
  </si>
  <si>
    <t>Face-to-face background methodology</t>
  </si>
  <si>
    <t>Visionary neutral attitude</t>
  </si>
  <si>
    <t>Grass-roots tertiary adapter</t>
  </si>
  <si>
    <t>Function-based dynamic focus group</t>
  </si>
  <si>
    <t>Multi-tiered stable installation</t>
  </si>
  <si>
    <t>Proactive explicit migration</t>
  </si>
  <si>
    <t>Reactive eco-centric synergy</t>
  </si>
  <si>
    <t>Automated dedicated budgetary management</t>
  </si>
  <si>
    <t>Multi-channeled coherent moderator</t>
  </si>
  <si>
    <t>Synergized bottom-line paradigm</t>
  </si>
  <si>
    <t>Phased attitude-oriented standardization</t>
  </si>
  <si>
    <t>Open-architected bottom-line algorithm</t>
  </si>
  <si>
    <t>Open-source homogeneous product</t>
  </si>
  <si>
    <t>Reduced tertiary implementation</t>
  </si>
  <si>
    <t>Proactive incremental framework</t>
  </si>
  <si>
    <t>Quality-focused hybrid policy</t>
  </si>
  <si>
    <t>Progressive 24hour utilization</t>
  </si>
  <si>
    <t>Organized coherent utilization</t>
  </si>
  <si>
    <t>Versatile user-facing benchmark</t>
  </si>
  <si>
    <t>Configurable client-driven migration</t>
  </si>
  <si>
    <t>Public-key fresh-thinking intranet</t>
  </si>
  <si>
    <t>Self-enabling bandwidth-monitored array</t>
  </si>
  <si>
    <t>Profound disintermediate analyzer</t>
  </si>
  <si>
    <t>Multi-tiered multi-tasking support</t>
  </si>
  <si>
    <t>Triple-buffered next generation moderator</t>
  </si>
  <si>
    <t>Synergistic needs-based framework</t>
  </si>
  <si>
    <t>Horizontal national alliance</t>
  </si>
  <si>
    <t>Team-oriented mobile contingency</t>
  </si>
  <si>
    <t>Persistent grid-enabled contingency</t>
  </si>
  <si>
    <t>Reactive real-time array</t>
  </si>
  <si>
    <t>Programmable asynchronous encryption</t>
  </si>
  <si>
    <t>Object-based web-enabled intranet</t>
  </si>
  <si>
    <t>Universal exuding artificial intelligence</t>
  </si>
  <si>
    <t>Cross-group bandwidth-monitored time-frame</t>
  </si>
  <si>
    <t>Customer-focused web-enabled framework</t>
  </si>
  <si>
    <t>Synergized local emulation</t>
  </si>
  <si>
    <t>Multi-tiered object-oriented knowledge user</t>
  </si>
  <si>
    <t>Multi-lateral mission-critical productivity</t>
  </si>
  <si>
    <t>Re-contextualized reciprocal secured line</t>
  </si>
  <si>
    <t>Compatible actuating utilization</t>
  </si>
  <si>
    <t>Compatible full-range open system</t>
  </si>
  <si>
    <t>Switchable incremental collaboration</t>
  </si>
  <si>
    <t>Monitored maximized project</t>
  </si>
  <si>
    <t>Compatible grid-enabled info-mediaries</t>
  </si>
  <si>
    <t>Cloned foreground portal</t>
  </si>
  <si>
    <t>Devolved homogeneous projection</t>
  </si>
  <si>
    <t>Profound non-volatile complexity</t>
  </si>
  <si>
    <t>Focused holistic collaboration</t>
  </si>
  <si>
    <t>Optimized zero administration task-force</t>
  </si>
  <si>
    <t>Customizable zero administration application</t>
  </si>
  <si>
    <t>Balanced multi-tasking adapter</t>
  </si>
  <si>
    <t>Ameliorated grid-enabled capability</t>
  </si>
  <si>
    <t>Monitored full-range matrix</t>
  </si>
  <si>
    <t>Multi-tiered empowering adapter</t>
  </si>
  <si>
    <t>Re-contextualized mission-critical help-desk</t>
  </si>
  <si>
    <t>Face-to-face foreground service-desk</t>
  </si>
  <si>
    <t>Re-contextualized solution-oriented circuit</t>
  </si>
  <si>
    <t>Managed didactic system engine</t>
  </si>
  <si>
    <t>Expanded 4thgeneration groupware</t>
  </si>
  <si>
    <t>Total well-modulated knowledge user</t>
  </si>
  <si>
    <t>Polarized high-level ability</t>
  </si>
  <si>
    <t>Reduced high-level methodology</t>
  </si>
  <si>
    <t>Robust executive migration</t>
  </si>
  <si>
    <t>Inverse background firmware</t>
  </si>
  <si>
    <t>Vision-oriented client-server conglomeration</t>
  </si>
  <si>
    <t>Reduced motivating analyzer</t>
  </si>
  <si>
    <t>Focused empowering capacity</t>
  </si>
  <si>
    <t>Front-line multi-tasking moderator</t>
  </si>
  <si>
    <t>Realigned 24/7 hub</t>
  </si>
  <si>
    <t>De-engineered 6thgeneration parallelism</t>
  </si>
  <si>
    <t>Mandatory 3rdgeneration matrices</t>
  </si>
  <si>
    <t>Compatible full-range toolset</t>
  </si>
  <si>
    <t>Switchable 3rdgeneration projection</t>
  </si>
  <si>
    <t>Programmable homogeneous projection</t>
  </si>
  <si>
    <t>Decentralized contextually-based capability</t>
  </si>
  <si>
    <t>Exclusive next generation info-mediaries</t>
  </si>
  <si>
    <t>Cloned scalable strategy</t>
  </si>
  <si>
    <t>Public-key full-range matrices</t>
  </si>
  <si>
    <t>Multi-layered methodical structure</t>
  </si>
  <si>
    <t>Organic holistic Graphical User Interface</t>
  </si>
  <si>
    <t>Multi-channeled upward-trending instruction set</t>
  </si>
  <si>
    <t>Managed even-keeled Internet solution</t>
  </si>
  <si>
    <t>Customer-focused systemic capability</t>
  </si>
  <si>
    <t>Inverse non-volatile superstructure</t>
  </si>
  <si>
    <t>Multi-lateral needs-based collaboration</t>
  </si>
  <si>
    <t>Ergonomic empowering attitude</t>
  </si>
  <si>
    <t>Switchable secondary hierarchy</t>
  </si>
  <si>
    <t>Ameliorated bi-directional Graphic Interface</t>
  </si>
  <si>
    <t>Secured attitude-oriented info-mediaries</t>
  </si>
  <si>
    <t>Enterprise-wide bandwidth-monitored toolset</t>
  </si>
  <si>
    <t>Compatible mobile open system</t>
  </si>
  <si>
    <t>Vision-oriented object-oriented structure</t>
  </si>
  <si>
    <t>Re-engineered holistic data-warehouse</t>
  </si>
  <si>
    <t>Multi-channeled reciprocal utilization</t>
  </si>
  <si>
    <t>Object-based discrete strategy</t>
  </si>
  <si>
    <t>Customizable human-resource monitoring</t>
  </si>
  <si>
    <t>Synergized actuating policy</t>
  </si>
  <si>
    <t>Versatile object-oriented access</t>
  </si>
  <si>
    <t>De-engineered 24/7 archive</t>
  </si>
  <si>
    <t>Profit-focused multimedia concept</t>
  </si>
  <si>
    <t>Vision-oriented transitional process improvement</t>
  </si>
  <si>
    <t>Pre-emptive mission-critical knowledge user</t>
  </si>
  <si>
    <t>Cross-group object-oriented moderator</t>
  </si>
  <si>
    <t>Grass-roots eco-centric strategy</t>
  </si>
  <si>
    <t>Customizable global hierarchy</t>
  </si>
  <si>
    <t>Future-proofed uniform alliance</t>
  </si>
  <si>
    <t>Balanced asynchronous contingency</t>
  </si>
  <si>
    <t>Robust disintermediate neural-net</t>
  </si>
  <si>
    <t>Multi-lateral dynamic encryption</t>
  </si>
  <si>
    <t>Customer-focused human-resource algorithm</t>
  </si>
  <si>
    <t>Re-contextualized zero-defect artificial intelligence</t>
  </si>
  <si>
    <t>Decentralized system-worthy neural-net</t>
  </si>
  <si>
    <t>Reduced content-based Graphic Interface</t>
  </si>
  <si>
    <t>De-engineered non-volatile hardware</t>
  </si>
  <si>
    <t>Intuitive system-worthy interface</t>
  </si>
  <si>
    <t>Networked systematic budgetary management</t>
  </si>
  <si>
    <t>Open-source radical extranet</t>
  </si>
  <si>
    <t>Monitored high-level contingency</t>
  </si>
  <si>
    <t>Switchable actuating encryption</t>
  </si>
  <si>
    <t>Profit-focused actuating open architecture</t>
  </si>
  <si>
    <t>Compatible 5thgeneration open architecture</t>
  </si>
  <si>
    <t>Business-focused systemic policy</t>
  </si>
  <si>
    <t>Front-line high-level encryption</t>
  </si>
  <si>
    <t>Reduced analyzing moratorium</t>
  </si>
  <si>
    <t>Configurable systematic concept</t>
  </si>
  <si>
    <t>Versatile actuating synergy</t>
  </si>
  <si>
    <t>Mandatory neutral ability</t>
  </si>
  <si>
    <t>Re-contextualized clear-thinking matrix</t>
  </si>
  <si>
    <t>Front-line neutral concept</t>
  </si>
  <si>
    <t>Synergistic optimizing approach</t>
  </si>
  <si>
    <t>Grass-roots content-based synergy</t>
  </si>
  <si>
    <t>Cross-group web-enabled methodology</t>
  </si>
  <si>
    <t>Total impactful budgetary management</t>
  </si>
  <si>
    <t>Phased background toolset</t>
  </si>
  <si>
    <t>Cross-platform web-enabled ability</t>
  </si>
  <si>
    <t>Quality-focused 4thgeneration database</t>
  </si>
  <si>
    <t>Customizable 5thgeneration instruction set</t>
  </si>
  <si>
    <t>Automated real-time productivity</t>
  </si>
  <si>
    <t>Advanced systematic complexity</t>
  </si>
  <si>
    <t>Re-engineered reciprocal infrastructure</t>
  </si>
  <si>
    <t>Customer-focused holistic orchestration</t>
  </si>
  <si>
    <t>Cross-group homogeneous forecast</t>
  </si>
  <si>
    <t>Customizable optimizing benchmark</t>
  </si>
  <si>
    <t>Proactive empowering adapter</t>
  </si>
  <si>
    <t>Persevering bi-directional project</t>
  </si>
  <si>
    <t>Digitized clear-thinking monitoring</t>
  </si>
  <si>
    <t>Multi-layered global complexity</t>
  </si>
  <si>
    <t>Cross-group bottom-line orchestration</t>
  </si>
  <si>
    <t>Expanded methodical instruction set</t>
  </si>
  <si>
    <t>Enhanced upward-trending solution</t>
  </si>
  <si>
    <t>Advanced client-driven matrix</t>
  </si>
  <si>
    <t>Re-engineered 6thgeneration time-frame</t>
  </si>
  <si>
    <t>Quality-focused responsive framework</t>
  </si>
  <si>
    <t>Optimized 3rdgeneration superstructure</t>
  </si>
  <si>
    <t>Robust dedicated solution</t>
  </si>
  <si>
    <t>Right-sized tangible moratorium</t>
  </si>
  <si>
    <t>Integrated real-time archive</t>
  </si>
  <si>
    <t>Organized uniform infrastructure</t>
  </si>
  <si>
    <t>Future-proofed next generation software</t>
  </si>
  <si>
    <t>Cross-group foreground array</t>
  </si>
  <si>
    <t>Advanced multi-state portal</t>
  </si>
  <si>
    <t>Visionary tangible Graphic Interface</t>
  </si>
  <si>
    <t>Business-focused tertiary focus group</t>
  </si>
  <si>
    <t>Down-sized high-level productivity</t>
  </si>
  <si>
    <t>Fundamental didactic algorithm</t>
  </si>
  <si>
    <t>Pre-emptive exuding monitoring</t>
  </si>
  <si>
    <t>Organized client-driven array</t>
  </si>
  <si>
    <t>Fully-configurable global leverage</t>
  </si>
  <si>
    <t>Right-sized stable open architecture</t>
  </si>
  <si>
    <t>Synchronized zero administration structure</t>
  </si>
  <si>
    <t>Visionary user-facing pricing structure</t>
  </si>
  <si>
    <t>Team-oriented bifurcated capability</t>
  </si>
  <si>
    <t>Persevering tangible hardware</t>
  </si>
  <si>
    <t>Triple-buffered cohesive encryption</t>
  </si>
  <si>
    <t>Automated encompassing archive</t>
  </si>
  <si>
    <t>Devolved intermediate middleware</t>
  </si>
  <si>
    <t>Triple-buffered high-level customer loyalty</t>
  </si>
  <si>
    <t>Intuitive exuding concept</t>
  </si>
  <si>
    <t>Extended optimizing infrastructure</t>
  </si>
  <si>
    <t>Stand-alone tertiary methodology</t>
  </si>
  <si>
    <t>Extended context-sensitive Graphical User Interface</t>
  </si>
  <si>
    <t>Integrated user-facing encoding</t>
  </si>
  <si>
    <t>Cross-group reciprocal hub</t>
  </si>
  <si>
    <t>Down-sized uniform productivity</t>
  </si>
  <si>
    <t>Versatile asymmetric protocol</t>
  </si>
  <si>
    <t>Polarized empowering neural-net</t>
  </si>
  <si>
    <t>Versatile bandwidth-monitored time-frame</t>
  </si>
  <si>
    <t>Seamless explicit policy</t>
  </si>
  <si>
    <t>Sharable neutral implementation</t>
  </si>
  <si>
    <t>Progressive composite access</t>
  </si>
  <si>
    <t>Assimilated intangible pricing structure</t>
  </si>
  <si>
    <t>Public-key optimizing protocol</t>
  </si>
  <si>
    <t>Compatible bottom-line core</t>
  </si>
  <si>
    <t>Face-to-face mobile knowledge user</t>
  </si>
  <si>
    <t>Seamless reciprocal complexity</t>
  </si>
  <si>
    <t>Mandatory exuding model</t>
  </si>
  <si>
    <t>Digitized intangible Graphical User Interface</t>
  </si>
  <si>
    <t>Profound demand-driven secured line</t>
  </si>
  <si>
    <t>Right-sized needs-based solution</t>
  </si>
  <si>
    <t>Seamless dynamic framework</t>
  </si>
  <si>
    <t>Re-contextualized upward-trending architecture</t>
  </si>
  <si>
    <t>Cloned logistical analyzer</t>
  </si>
  <si>
    <t>Centralized value-added superstructure</t>
  </si>
  <si>
    <t>Proactive bifurcated architecture</t>
  </si>
  <si>
    <t>Triple-buffered client-server portal</t>
  </si>
  <si>
    <t>Organic demand-driven support</t>
  </si>
  <si>
    <t>Realigned methodical artificial intelligence</t>
  </si>
  <si>
    <t>Object-based demand-driven installation</t>
  </si>
  <si>
    <t>Ameliorated actuating policy</t>
  </si>
  <si>
    <t>Public-key disintermediate neural-net</t>
  </si>
  <si>
    <t>Upgradable contextually-based Graphic Interface</t>
  </si>
  <si>
    <t>Integrated client-server software</t>
  </si>
  <si>
    <t>Innovative intangible emulation</t>
  </si>
  <si>
    <t>Fundamental incremental service-desk</t>
  </si>
  <si>
    <t>Proactive motivating open architecture</t>
  </si>
  <si>
    <t>Business-focused attitude-oriented middleware</t>
  </si>
  <si>
    <t>Balanced empowering info-mediaries</t>
  </si>
  <si>
    <t>User-friendly dynamic monitoring</t>
  </si>
  <si>
    <t>Multi-channeled zero administration standardization</t>
  </si>
  <si>
    <t>Optimized methodical installation</t>
  </si>
  <si>
    <t>Proactive regional conglomeration</t>
  </si>
  <si>
    <t>Multi-lateral user-facing solution</t>
  </si>
  <si>
    <t>Integrated analyzing focus group</t>
  </si>
  <si>
    <t>Centralized contextually-based middleware</t>
  </si>
  <si>
    <t>Switchable modular solution</t>
  </si>
  <si>
    <t>Reverse-engineered next generation emulation</t>
  </si>
  <si>
    <t>Quality-focused mission-critical analyzer</t>
  </si>
  <si>
    <t>Innovative local workforce</t>
  </si>
  <si>
    <t>Expanded scalable process improvement</t>
  </si>
  <si>
    <t>Devolved responsive software</t>
  </si>
  <si>
    <t>Object-based bandwidth-monitored moderator</t>
  </si>
  <si>
    <t>Realigned responsive Graphical User Interface</t>
  </si>
  <si>
    <t>User-friendly directional ability</t>
  </si>
  <si>
    <t>Open-source intermediate benchmark</t>
  </si>
  <si>
    <t>Function-based zero-defect policy</t>
  </si>
  <si>
    <t>Face-to-face grid-enabled workforce</t>
  </si>
  <si>
    <t>Cross-platform secondary functionalities</t>
  </si>
  <si>
    <t>Implemented multi-tasking emulation</t>
  </si>
  <si>
    <t>Self-enabling incremental success</t>
  </si>
  <si>
    <t>Cloned contextually-based contingency</t>
  </si>
  <si>
    <t>Self-enabling intermediate time-frame</t>
  </si>
  <si>
    <t>Organic 3rdgeneration conglomeration</t>
  </si>
  <si>
    <t>Managed bandwidth-monitored time-frame</t>
  </si>
  <si>
    <t>Extended executive budgetary management</t>
  </si>
  <si>
    <t>Fully-configurable human-resource encryption</t>
  </si>
  <si>
    <t>Organic directional utilization</t>
  </si>
  <si>
    <t>Enhanced empowering conglomeration</t>
  </si>
  <si>
    <t>Open-architected asymmetric extranet</t>
  </si>
  <si>
    <t>Multi-lateral 6thgeneration benchmark</t>
  </si>
  <si>
    <t>Fully-configurable asymmetric moderator</t>
  </si>
  <si>
    <t>Balanced mission-critical budgetary management</t>
  </si>
  <si>
    <t>Robust contextually-based knowledgebase</t>
  </si>
  <si>
    <t>Extended solution-oriented capacity</t>
  </si>
  <si>
    <t>Persistent upward-trending Graphical User Interface</t>
  </si>
  <si>
    <t>Multi-tiered disintermediate parallelism</t>
  </si>
  <si>
    <t>Intuitive well-modulated support</t>
  </si>
  <si>
    <t>Function-based zero-defect capability</t>
  </si>
  <si>
    <t>Integrated national architecture</t>
  </si>
  <si>
    <t>Horizontal tangible focus group</t>
  </si>
  <si>
    <t>Reduced needs-based approach</t>
  </si>
  <si>
    <t>Robust human-resource instruction set</t>
  </si>
  <si>
    <t>Grass-roots asynchronous knowledgebase</t>
  </si>
  <si>
    <t>Synergized 24/7 interface</t>
  </si>
  <si>
    <t>Re-contextualized uniform interface</t>
  </si>
  <si>
    <t>Automated executive moderator</t>
  </si>
  <si>
    <t>Front-line national Graphic Interface</t>
  </si>
  <si>
    <t>Function-based 3rdgeneration Graphical User Interface</t>
  </si>
  <si>
    <t>Customizable bi-directional functionalities</t>
  </si>
  <si>
    <t>Innovative uniform adapter</t>
  </si>
  <si>
    <t>Switchable neutral algorithm</t>
  </si>
  <si>
    <t>Operative 5thgeneration superstructure</t>
  </si>
  <si>
    <t>Triple-buffered didactic monitoring</t>
  </si>
  <si>
    <t>Realigned scalable moderator</t>
  </si>
  <si>
    <t>Multi-lateral responsive info-mediaries</t>
  </si>
  <si>
    <t>Grass-roots directional help-desk</t>
  </si>
  <si>
    <t>Reduced didactic leverage</t>
  </si>
  <si>
    <t>Total methodical array</t>
  </si>
  <si>
    <t>Balanced optimizing challenge</t>
  </si>
  <si>
    <t>Persevering disintermediate parallelism</t>
  </si>
  <si>
    <t>Horizontal system-worthy neural-net</t>
  </si>
  <si>
    <t>Grass-roots multi-tasking throughput</t>
  </si>
  <si>
    <t>Intuitive didactic interface</t>
  </si>
  <si>
    <t>Enterprise-wide non-volatile hardware</t>
  </si>
  <si>
    <t>Reduced actuating toolset</t>
  </si>
  <si>
    <t>Front-line value-added alliance</t>
  </si>
  <si>
    <t>Organic regional open architecture</t>
  </si>
  <si>
    <t>Function-based dedicated database</t>
  </si>
  <si>
    <t>Monitored even-keeled encryption</t>
  </si>
  <si>
    <t>Stand-alone zero-defect contingency</t>
  </si>
  <si>
    <t>Exclusive bi-directional architecture</t>
  </si>
  <si>
    <t>Optional real-time installation</t>
  </si>
  <si>
    <t>Proactive 6thgeneration interface</t>
  </si>
  <si>
    <t>Synchronized fresh-thinking functionalities</t>
  </si>
  <si>
    <t>Multi-layered coherent instruction set</t>
  </si>
  <si>
    <t>Reduced attitude-oriented model</t>
  </si>
  <si>
    <t>Exclusive 3rdgeneration definition</t>
  </si>
  <si>
    <t>Multi-lateral value-added encryption</t>
  </si>
  <si>
    <t>Synchronized client-server concept</t>
  </si>
  <si>
    <t>Total regional open system</t>
  </si>
  <si>
    <t>Optional uniform projection</t>
  </si>
  <si>
    <t>Universal regional open architecture</t>
  </si>
  <si>
    <t>Quality-focused regional database</t>
  </si>
  <si>
    <t>Enhanced neutral encryption</t>
  </si>
  <si>
    <t>Secured stable process improvement</t>
  </si>
  <si>
    <t>Multi-channeled 24/7 implementation</t>
  </si>
  <si>
    <t>Operative intermediate alliance</t>
  </si>
  <si>
    <t>Synergistic asymmetric task-force</t>
  </si>
  <si>
    <t>Self-enabling 3rdgeneration migration</t>
  </si>
  <si>
    <t>Decentralized multimedia open architecture</t>
  </si>
  <si>
    <t>Optional responsive approach</t>
  </si>
  <si>
    <t>Programmable fault-tolerant intranet</t>
  </si>
  <si>
    <t>Multi-tiered stable focus group</t>
  </si>
  <si>
    <t>Diverse even-keeled customer loyalty</t>
  </si>
  <si>
    <t>Inverse neutral strategy</t>
  </si>
  <si>
    <t>Intuitive foreground access</t>
  </si>
  <si>
    <t>Universal 24/7 strategy</t>
  </si>
  <si>
    <t>Managed well-modulated artificial intelligence</t>
  </si>
  <si>
    <t>Inverse dynamic flexibility</t>
  </si>
  <si>
    <t>Optional context-sensitive standardization</t>
  </si>
  <si>
    <t>Organized fault-tolerant forecast</t>
  </si>
  <si>
    <t>Multi-layered neutral capacity</t>
  </si>
  <si>
    <t>Re-engineered 6thgeneration access</t>
  </si>
  <si>
    <t>Inverse context-sensitive middleware</t>
  </si>
  <si>
    <t>Multi-lateral cohesive access</t>
  </si>
  <si>
    <t>Seamless asymmetric core</t>
  </si>
  <si>
    <t>Automated tangible frame</t>
  </si>
  <si>
    <t>Centralized modular Graphical User Interface</t>
  </si>
  <si>
    <t>Organic actuating firmware</t>
  </si>
  <si>
    <t>Organized demand-driven parallelism</t>
  </si>
  <si>
    <t>Enterprise-wide intangible concept</t>
  </si>
  <si>
    <t>Re-contextualized 24/7 policy</t>
  </si>
  <si>
    <t>Virtual client-driven benchmark</t>
  </si>
  <si>
    <t>Digitized value-added access</t>
  </si>
  <si>
    <t>Streamlined bifurcated extranet</t>
  </si>
  <si>
    <t>Re-engineered heuristic conglomeration</t>
  </si>
  <si>
    <t>Adaptive empowering contingency</t>
  </si>
  <si>
    <t>Balanced national firmware</t>
  </si>
  <si>
    <t>Re-engineered neutral concept</t>
  </si>
  <si>
    <t>User-friendly encompassing functionalities</t>
  </si>
  <si>
    <t>Enhanced bifurcated solution</t>
  </si>
  <si>
    <t>Monitored regional complexity</t>
  </si>
  <si>
    <t>Persistent incremental neural-net</t>
  </si>
  <si>
    <t>Cross-platform client-server circuit</t>
  </si>
  <si>
    <t>Customizable clear-thinking adapter</t>
  </si>
  <si>
    <t>Up-sized multi-state database</t>
  </si>
  <si>
    <t>Object-based didactic intranet</t>
  </si>
  <si>
    <t>Multi-lateral tangible framework</t>
  </si>
  <si>
    <t>Profound multimedia framework</t>
  </si>
  <si>
    <t>Object-based intermediate attitude</t>
  </si>
  <si>
    <t>Horizontal maximized moderator</t>
  </si>
  <si>
    <t>Innovative intangible complexity</t>
  </si>
  <si>
    <t>Compatible 6thgeneration portal</t>
  </si>
  <si>
    <t>De-engineered foreground attitude</t>
  </si>
  <si>
    <t>Public-key directional orchestration</t>
  </si>
  <si>
    <t>Optimized content-based matrix</t>
  </si>
  <si>
    <t>De-engineered bandwidth-monitored solution</t>
  </si>
  <si>
    <t>Horizontal asymmetric contingency</t>
  </si>
  <si>
    <t>Grass-roots non-volatile hub</t>
  </si>
  <si>
    <t>Reverse-engineered attitude-oriented task-force</t>
  </si>
  <si>
    <t>Synergized mission-critical conglomeration</t>
  </si>
  <si>
    <t>Configurable transitional data-warehouse</t>
  </si>
  <si>
    <t>Ergonomic global project</t>
  </si>
  <si>
    <t>Sharable 24/7 Graphic Interface</t>
  </si>
  <si>
    <t>Progressive directional secured line</t>
  </si>
  <si>
    <t>Compatible tertiary alliance</t>
  </si>
  <si>
    <t>Face-to-face 6thgeneration methodology</t>
  </si>
  <si>
    <t>Customer-focused asymmetric workforce</t>
  </si>
  <si>
    <t>Profound reciprocal forecast</t>
  </si>
  <si>
    <t>De-engineered high-level functionalities</t>
  </si>
  <si>
    <t>Reverse-engineered upward-trending core</t>
  </si>
  <si>
    <t>Future-proofed zero administration attitude</t>
  </si>
  <si>
    <t>Mandatory intermediate neural-net</t>
  </si>
  <si>
    <t>Team-oriented discrete benchmark</t>
  </si>
  <si>
    <t>Cloned scalable frame</t>
  </si>
  <si>
    <t>Profit-focused 5thgeneration standardization</t>
  </si>
  <si>
    <t>Distributed asymmetric frame</t>
  </si>
  <si>
    <t>Vision-oriented 4thgeneration groupware</t>
  </si>
  <si>
    <t>Persistent methodical Graphical User Interface</t>
  </si>
  <si>
    <t>Integrated didactic circuit</t>
  </si>
  <si>
    <t>Expanded system-worthy collaboration</t>
  </si>
  <si>
    <t>Grass-roots client-server middleware</t>
  </si>
  <si>
    <t>Universal systemic utilization</t>
  </si>
  <si>
    <t>Expanded system-worthy flexibility</t>
  </si>
  <si>
    <t>Customizable homogeneous policy</t>
  </si>
  <si>
    <t>Visionary local paradigm</t>
  </si>
  <si>
    <t>Persevering 24/7 complexity</t>
  </si>
  <si>
    <t>Visionary multimedia synergy</t>
  </si>
  <si>
    <t>Automated radical access</t>
  </si>
  <si>
    <t>Inverse transitional artificial intelligence</t>
  </si>
  <si>
    <t>Down-sized modular conglomeration</t>
  </si>
  <si>
    <t>Robust next generation protocol</t>
  </si>
  <si>
    <t>Innovative exuding toolset</t>
  </si>
  <si>
    <t>Streamlined holistic toolset</t>
  </si>
  <si>
    <t>Managed global capacity</t>
  </si>
  <si>
    <t>Phased systematic interface</t>
  </si>
  <si>
    <t>Persistent methodical info-mediaries</t>
  </si>
  <si>
    <t>Up-sized maximized capability</t>
  </si>
  <si>
    <t>Distributed scalable moratorium</t>
  </si>
  <si>
    <t>Inverse stable process improvement</t>
  </si>
  <si>
    <t>Multi-tiered high-level protocol</t>
  </si>
  <si>
    <t>Synergized 6thgeneration interface</t>
  </si>
  <si>
    <t>Seamless attitude-oriented architecture</t>
  </si>
  <si>
    <t>Centralized zero tolerance infrastructure</t>
  </si>
  <si>
    <t>Focused motivating strategy</t>
  </si>
  <si>
    <t>Function-based leadingedge budgetary management</t>
  </si>
  <si>
    <t>Right-sized next generation solution</t>
  </si>
  <si>
    <t>Assimilated local framework</t>
  </si>
  <si>
    <t>Enterprise-wide bottom-line superstructure</t>
  </si>
  <si>
    <t>Triple-buffered bi-directional extranet</t>
  </si>
  <si>
    <t>Down-sized systemic open architecture</t>
  </si>
  <si>
    <t>Optional composite secured line</t>
  </si>
  <si>
    <t>Self-enabling non-volatile core</t>
  </si>
  <si>
    <t>Multi-tiered context-sensitive hub</t>
  </si>
  <si>
    <t>Optimized 4thgeneration hub</t>
  </si>
  <si>
    <t>Re-engineered methodical methodology</t>
  </si>
  <si>
    <t>Sharable cohesive focus group</t>
  </si>
  <si>
    <t>Mandatory multi-tasking hardware</t>
  </si>
  <si>
    <t>User-friendly radical conglomeration</t>
  </si>
  <si>
    <t>Ameliorated attitude-oriented flexibility</t>
  </si>
  <si>
    <t>Visionary methodical workforce</t>
  </si>
  <si>
    <t>Future-proofed 4thgeneration core</t>
  </si>
  <si>
    <t>Networked system-worthy solution</t>
  </si>
  <si>
    <t>Cross-group zero administration model</t>
  </si>
  <si>
    <t>Organized static alliance</t>
  </si>
  <si>
    <t>Face-to-face scalable definition</t>
  </si>
  <si>
    <t>Programmable tertiary installation</t>
  </si>
  <si>
    <t>Reverse-engineered multi-state standardization</t>
  </si>
  <si>
    <t>Versatile systemic matrices</t>
  </si>
  <si>
    <t>Polarized client-driven moratorium</t>
  </si>
  <si>
    <t>Implemented neutral algorithm</t>
  </si>
  <si>
    <t>Enterprise-wide impactful installation</t>
  </si>
  <si>
    <t>Managed regional process improvement</t>
  </si>
  <si>
    <t>Vision-oriented incremental website</t>
  </si>
  <si>
    <t>Compatible global Graphical User Interface</t>
  </si>
  <si>
    <t>Up-sized web-enabled flexibility</t>
  </si>
  <si>
    <t>User-centric intermediate website</t>
  </si>
  <si>
    <t>Multi-tiered asynchronous model</t>
  </si>
  <si>
    <t>Function-based homogeneous productivity</t>
  </si>
  <si>
    <t>Persevering tertiary solution</t>
  </si>
  <si>
    <t>Expanded 3rdgeneration synergy</t>
  </si>
  <si>
    <t>Stand-alone web-enabled array</t>
  </si>
  <si>
    <t>Reverse-engineered stable approach</t>
  </si>
  <si>
    <t>Streamlined homogeneous emulation</t>
  </si>
  <si>
    <t>Face-to-face multi-tasking flexibility</t>
  </si>
  <si>
    <t>Cross-group bandwidth-monitored algorithm</t>
  </si>
  <si>
    <t>Cross-platform empowering protocol</t>
  </si>
  <si>
    <t>Robust maximized Graphic Interface</t>
  </si>
  <si>
    <t>Reduced solution-oriented Local Area Network</t>
  </si>
  <si>
    <t>Grass-roots multimedia hub</t>
  </si>
  <si>
    <t>Inverse dedicated process improvement</t>
  </si>
  <si>
    <t>Networked impactful complexity</t>
  </si>
  <si>
    <t>Re-contextualized 3rdgeneration moderator</t>
  </si>
  <si>
    <t>Operative heuristic middleware</t>
  </si>
  <si>
    <t>Seamless didactic algorithm</t>
  </si>
  <si>
    <t>Multi-layered neutral productivity</t>
  </si>
  <si>
    <t>Enhanced systematic conglomeration</t>
  </si>
  <si>
    <t>Customizable mission-critical projection</t>
  </si>
  <si>
    <t>Future-proofed dynamic Internet solution</t>
  </si>
  <si>
    <t>Realigned homogeneous support</t>
  </si>
  <si>
    <t>Enterprise-wide non-volatile projection</t>
  </si>
  <si>
    <t>Up-sized next generation portal</t>
  </si>
  <si>
    <t>Stand-alone modular Internet solution</t>
  </si>
  <si>
    <t>Stand-alone composite matrix</t>
  </si>
  <si>
    <t>Robust national process improvement</t>
  </si>
  <si>
    <t>Intuitive analyzing contingency</t>
  </si>
  <si>
    <t>Networked systemic toolset</t>
  </si>
  <si>
    <t>Compatible content-based architecture</t>
  </si>
  <si>
    <t>Universal uniform service-desk</t>
  </si>
  <si>
    <t>Programmable non-volatile encoding</t>
  </si>
  <si>
    <t>Public-key logistical knowledgebase</t>
  </si>
  <si>
    <t>Profit-focused next generation installation</t>
  </si>
  <si>
    <t>Right-sized transitional standardization</t>
  </si>
  <si>
    <t>Quality-focused local methodology</t>
  </si>
  <si>
    <t>Intuitive mobile focus group</t>
  </si>
  <si>
    <t>Extended web-enabled approach</t>
  </si>
  <si>
    <t>Configurable context-sensitive orchestration</t>
  </si>
  <si>
    <t>Organized multi-state definition</t>
  </si>
  <si>
    <t>Horizontal systematic moderator</t>
  </si>
  <si>
    <t>Reverse-engineered non-volatile intranet</t>
  </si>
  <si>
    <t>Versatile systematic flexibility</t>
  </si>
  <si>
    <t>Sharable tangible structure</t>
  </si>
  <si>
    <t>Enhanced optimizing time-frame</t>
  </si>
  <si>
    <t>Stand-alone zero-defect Graphic Interface</t>
  </si>
  <si>
    <t>Intuitive 24hour flexibility</t>
  </si>
  <si>
    <t>Profound heuristic solution</t>
  </si>
  <si>
    <t>Organized explicit pricing structure</t>
  </si>
  <si>
    <t>Compatible local concept</t>
  </si>
  <si>
    <t>Business-focused directional instruction set</t>
  </si>
  <si>
    <t>Up-sized foreground open system</t>
  </si>
  <si>
    <t>Operative exuding process improvement</t>
  </si>
  <si>
    <t>Ergonomic full-range workforce</t>
  </si>
  <si>
    <t>Down-sized object-oriented website</t>
  </si>
  <si>
    <t>Fully-configurable web-enabled info-mediaries</t>
  </si>
  <si>
    <t>User-centric intangible success</t>
  </si>
  <si>
    <t>Realigned zero administration intranet</t>
  </si>
  <si>
    <t>Secured grid-enabled policy</t>
  </si>
  <si>
    <t>Sharable neutral array</t>
  </si>
  <si>
    <t>Universal global benchmark</t>
  </si>
  <si>
    <t>Adaptive well-modulated extranet</t>
  </si>
  <si>
    <t>Robust tangible strategy</t>
  </si>
  <si>
    <t>Versatile context-sensitive interface</t>
  </si>
  <si>
    <t>Synergistic value-added help-desk</t>
  </si>
  <si>
    <t>Multi-channeled didactic process improvement</t>
  </si>
  <si>
    <t>Distributed stable emulation</t>
  </si>
  <si>
    <t>Operative context-sensitive Local Area Network</t>
  </si>
  <si>
    <t>Seamless motivating infrastructure</t>
  </si>
  <si>
    <t>Switchable leadingedge alliance</t>
  </si>
  <si>
    <t>Multi-lateral grid-enabled middleware</t>
  </si>
  <si>
    <t>Inverse system-worthy utilization</t>
  </si>
  <si>
    <t>Extended next generation paradigm</t>
  </si>
  <si>
    <t>Customer-focused bifurcated service-desk</t>
  </si>
  <si>
    <t>Extended tangible hierarchy</t>
  </si>
  <si>
    <t>Down-sized systematic contingency</t>
  </si>
  <si>
    <t>Focused holistic installation</t>
  </si>
  <si>
    <t>Profound 24/7 parallelism</t>
  </si>
  <si>
    <t>Ergonomic incremental utilization</t>
  </si>
  <si>
    <t>Implemented actuating structure</t>
  </si>
  <si>
    <t>Optimized high-level ability</t>
  </si>
  <si>
    <t>Up-sized eco-centric open architecture</t>
  </si>
  <si>
    <t>Business-focused systematic Graphical User Interface</t>
  </si>
  <si>
    <t>Up-sized maximized time-frame</t>
  </si>
  <si>
    <t>Versatile explicit standardization</t>
  </si>
  <si>
    <t>Extended regional paradigm</t>
  </si>
  <si>
    <t>Multi-channeled real-time info-mediaries</t>
  </si>
  <si>
    <t>Function-based 4thgeneration flexibility</t>
  </si>
  <si>
    <t>Stand-alone client-driven approach</t>
  </si>
  <si>
    <t>Balanced optimizing software</t>
  </si>
  <si>
    <t>De-engineered object-oriented framework</t>
  </si>
  <si>
    <t>Multi-layered full-range throughput</t>
  </si>
  <si>
    <t>Self-enabling multi-tasking help-desk</t>
  </si>
  <si>
    <t>Object-based national standardization</t>
  </si>
  <si>
    <t>Object-based leadingedge initiative</t>
  </si>
  <si>
    <t>Sharable background circuit</t>
  </si>
  <si>
    <t>Synchronized national system engine</t>
  </si>
  <si>
    <t>Front-line attitude-oriented adapter</t>
  </si>
  <si>
    <t>Grass-roots scalable framework</t>
  </si>
  <si>
    <t>Networked zero administration array</t>
  </si>
  <si>
    <t>Visionary client-driven instruction set</t>
  </si>
  <si>
    <t>Seamless directional Graphic Interface</t>
  </si>
  <si>
    <t>Innovative 4thgeneration protocol</t>
  </si>
  <si>
    <t>Cross-group radical definition</t>
  </si>
  <si>
    <t>Automated client-server contingency</t>
  </si>
  <si>
    <t>Enterprise-wide tangible secured line</t>
  </si>
  <si>
    <t>Open-architected transitional framework</t>
  </si>
  <si>
    <t>Networked motivating Graphic Interface</t>
  </si>
  <si>
    <t>Balanced impactful collaboration</t>
  </si>
  <si>
    <t>Phased clear-thinking matrix</t>
  </si>
  <si>
    <t>Multi-channeled hybrid workforce</t>
  </si>
  <si>
    <t>Up-sized dedicated workforce</t>
  </si>
  <si>
    <t>Focused tangible array</t>
  </si>
  <si>
    <t>Organized heuristic customer loyalty</t>
  </si>
  <si>
    <t>Implemented radical array</t>
  </si>
  <si>
    <t>Reactive even-keeled hardware</t>
  </si>
  <si>
    <t>Implemented logistical architecture</t>
  </si>
  <si>
    <t>Team-oriented intermediate matrices</t>
  </si>
  <si>
    <t>Operative optimizing firmware</t>
  </si>
  <si>
    <t>Cloned system-worthy project</t>
  </si>
  <si>
    <t>Versatile regional capability</t>
  </si>
  <si>
    <t>De-engineered static standardization</t>
  </si>
  <si>
    <t>Total bi-directional attitude</t>
  </si>
  <si>
    <t>Progressive non-volatile service-desk</t>
  </si>
  <si>
    <t>Business-focused needs-based synergy</t>
  </si>
  <si>
    <t>Optional holistic Graphical User Interface</t>
  </si>
  <si>
    <t>Grass-roots bottom-line strategy</t>
  </si>
  <si>
    <t>Quality-focused fault-tolerant secured line</t>
  </si>
  <si>
    <t>Secured solution-oriented application</t>
  </si>
  <si>
    <t>Multi-tiered executive task-force</t>
  </si>
  <si>
    <t>Focused empowering superstructure</t>
  </si>
  <si>
    <t>Reverse-engineered motivating algorithm</t>
  </si>
  <si>
    <t>Configurable attitude-oriented throughput</t>
  </si>
  <si>
    <t>Expanded neutral extranet</t>
  </si>
  <si>
    <t>Reduced attitude-oriented task-force</t>
  </si>
  <si>
    <t>Focused logistical projection</t>
  </si>
  <si>
    <t>Proactive asymmetric time-frame</t>
  </si>
  <si>
    <t>Inverse systematic productivity</t>
  </si>
  <si>
    <t>Optional coherent moratorium</t>
  </si>
  <si>
    <t>Expanded upward-trending conglomeration</t>
  </si>
  <si>
    <t>Compatible clear-thinking array</t>
  </si>
  <si>
    <t>Universal 4thgeneration framework</t>
  </si>
  <si>
    <t>Persevering motivating benchmark</t>
  </si>
  <si>
    <t>Object-based content-based ability</t>
  </si>
  <si>
    <t>Innovative logistical interface</t>
  </si>
  <si>
    <t>De-engineered impactful policy</t>
  </si>
  <si>
    <t>Integrated contextually-based parallelism</t>
  </si>
  <si>
    <t>Innovative mission-critical firmware</t>
  </si>
  <si>
    <t>Advanced clear-thinking Graphical User Interface</t>
  </si>
  <si>
    <t>Reactive tangible access</t>
  </si>
  <si>
    <t>Versatile systemic challenge</t>
  </si>
  <si>
    <t>Switchable value-added portal</t>
  </si>
  <si>
    <t>Up-sized well-modulated support</t>
  </si>
  <si>
    <t>Secured asymmetric focus group</t>
  </si>
  <si>
    <t>Down-sized 6thgeneration methodology</t>
  </si>
  <si>
    <t>Upgradable next generation knowledge user</t>
  </si>
  <si>
    <t>Reverse-engineered regional data-warehouse</t>
  </si>
  <si>
    <t>Implemented 4thgeneration open system</t>
  </si>
  <si>
    <t>Progressive motivating array</t>
  </si>
  <si>
    <t>Visionary client-driven pricing structure</t>
  </si>
  <si>
    <t>Pre-emptive mission-critical matrices</t>
  </si>
  <si>
    <t>Triple-buffered high-level neural-net</t>
  </si>
  <si>
    <t>Managed actuating open architecture</t>
  </si>
  <si>
    <t>Visionary composite task-force</t>
  </si>
  <si>
    <t>Ergonomic fresh-thinking customer loyalty</t>
  </si>
  <si>
    <t>Enterprise-wide didactic instruction set</t>
  </si>
  <si>
    <t>Decentralized client-driven adapter</t>
  </si>
  <si>
    <t>Cross-platform transitional interface</t>
  </si>
  <si>
    <t>Universal transitional moderator</t>
  </si>
  <si>
    <t>Universal composite open system</t>
  </si>
  <si>
    <t>Public-key human-resource product</t>
  </si>
  <si>
    <t>Secured background encryption</t>
  </si>
  <si>
    <t>Implemented content-based contingency</t>
  </si>
  <si>
    <t>Open-architected responsive array</t>
  </si>
  <si>
    <t>Reverse-engineered client-server neural-net</t>
  </si>
  <si>
    <t>Networked upward-trending forecast</t>
  </si>
  <si>
    <t>Multi-layered optimal pricing structure</t>
  </si>
  <si>
    <t>Persistent stable leverage</t>
  </si>
  <si>
    <t>Focused stable analyzer</t>
  </si>
  <si>
    <t>Networked exuding instruction set</t>
  </si>
  <si>
    <t>Multi-layered intermediate conglomeration</t>
  </si>
  <si>
    <t>Visionary 24hour circuit</t>
  </si>
  <si>
    <t>Optional even-keeled functionalities</t>
  </si>
  <si>
    <t>De-engineered systematic conglomeration</t>
  </si>
  <si>
    <t>Extended 24hour contingency</t>
  </si>
  <si>
    <t>User-centric clear-thinking interface</t>
  </si>
  <si>
    <t>Programmable optimal capability</t>
  </si>
  <si>
    <t>Optimized zero administration approach</t>
  </si>
  <si>
    <t>Robust directional complexity</t>
  </si>
  <si>
    <t>Reverse-engineered 4thgeneration analyzer</t>
  </si>
  <si>
    <t>Secured incremental moratorium</t>
  </si>
  <si>
    <t>Universal asymmetric extranet</t>
  </si>
  <si>
    <t>User-friendly next generation challenge</t>
  </si>
  <si>
    <t>Vision-oriented zero tolerance hardware</t>
  </si>
  <si>
    <t>Managed leadingedge knowledge user</t>
  </si>
  <si>
    <t>Multi-channeled full-range framework</t>
  </si>
  <si>
    <t>Optional secondary website</t>
  </si>
  <si>
    <t>Open-source fault-tolerant open architecture</t>
  </si>
  <si>
    <t>Distributed dynamic process improvement</t>
  </si>
  <si>
    <t>Triple-buffered exuding Local Area Network</t>
  </si>
  <si>
    <t>Vision-oriented 24hour migration</t>
  </si>
  <si>
    <t>Intuitive 4thgeneration access</t>
  </si>
  <si>
    <t>Organic multi-tasking hardware</t>
  </si>
  <si>
    <t>Switchable solution-oriented success</t>
  </si>
  <si>
    <t>Multi-channeled 5thgeneration methodology</t>
  </si>
  <si>
    <t>Object-based scalable utilization</t>
  </si>
  <si>
    <t>Operative tangible firmware</t>
  </si>
  <si>
    <t>Up-sized user-facing secured line</t>
  </si>
  <si>
    <t>Ratio</t>
  </si>
  <si>
    <t>Adjusted revenue</t>
  </si>
  <si>
    <t>Adjusted ROI</t>
  </si>
  <si>
    <t>ROI status</t>
  </si>
  <si>
    <t>normalized ROI</t>
  </si>
  <si>
    <t>Row Labels</t>
  </si>
  <si>
    <t>Grand Total</t>
  </si>
  <si>
    <t>Sum of budget</t>
  </si>
  <si>
    <t>Sum of Adjusted revenue</t>
  </si>
  <si>
    <t>Sum of Adjusted ROI</t>
  </si>
  <si>
    <t>Average of Adjusted ROI</t>
  </si>
  <si>
    <t>Column Labels</t>
  </si>
  <si>
    <t>Count of campaign_name</t>
  </si>
  <si>
    <t>Total Sum of budget</t>
  </si>
  <si>
    <t>Total Sum of Adjusted revenue</t>
  </si>
  <si>
    <t>2022</t>
  </si>
  <si>
    <t>OK</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</si>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</sst>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751C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2" formatCode="0.00"/>
    </dxf>
    <dxf>
      <numFmt numFmtId="0" formatCode="General"/>
    </dxf>
    <dxf>
      <numFmt numFmtId="2" formatCode="0.00"/>
    </dxf>
    <dxf>
      <numFmt numFmtId="2" formatCode="0.00"/>
    </dxf>
    <dxf>
      <numFmt numFmtId="0" formatCode="General"/>
    </dxf>
    <dxf>
      <numFmt numFmtId="2" formatCode="0.00"/>
    </dxf>
    <dxf>
      <numFmt numFmtId="19" formatCode="m/d/yyyy"/>
    </dxf>
    <dxf>
      <numFmt numFmtId="19" formatCode="m/d/yyyy"/>
    </dxf>
  </dxfs>
  <tableStyles count="0" defaultTableStyle="TableStyleMedium2" defaultPivotStyle="PivotStyleLight16"/>
  <colors>
    <mruColors>
      <color rgb="FF9751CB"/>
      <color rgb="FFB381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8.xml"/><Relationship Id="rId18" Type="http://schemas.microsoft.com/office/2007/relationships/slicerCache" Target="slicerCaches/slicerCache1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microsoft.com/office/2007/relationships/slicerCache" Target="slicerCaches/slicerCache5.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microsoft.com/office/2007/relationships/slicerCache" Target="slicerCaches/slicerCache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[marketing_campaigns.xlsx]Sheet1!PivotTable7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Adjusted ROI by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Sheet1!$B$27:$B$31</c:f>
              <c:strCache>
                <c:ptCount val="4"/>
                <c:pt idx="0">
                  <c:v>organic</c:v>
                </c:pt>
                <c:pt idx="1">
                  <c:v>paid</c:v>
                </c:pt>
                <c:pt idx="2">
                  <c:v>promotion</c:v>
                </c:pt>
                <c:pt idx="3">
                  <c:v>referral</c:v>
                </c:pt>
              </c:strCache>
            </c:strRef>
          </c:cat>
          <c:val>
            <c:numRef>
              <c:f>Sheet1!$C$27:$C$31</c:f>
              <c:numCache>
                <c:formatCode>General</c:formatCode>
                <c:ptCount val="4"/>
                <c:pt idx="0">
                  <c:v>7.2147853792246108</c:v>
                </c:pt>
                <c:pt idx="1">
                  <c:v>7.3244184059657087</c:v>
                </c:pt>
                <c:pt idx="2">
                  <c:v>6.9050942273056579</c:v>
                </c:pt>
                <c:pt idx="3">
                  <c:v>7.079782290791889</c:v>
                </c:pt>
              </c:numCache>
            </c:numRef>
          </c:val>
          <c:extLst>
            <c:ext xmlns:c16="http://schemas.microsoft.com/office/drawing/2014/chart" uri="{C3380CC4-5D6E-409C-BE32-E72D297353CC}">
              <c16:uniqueId val="{00000000-4D9B-45B7-A30A-AA2D88A19841}"/>
            </c:ext>
          </c:extLst>
        </c:ser>
        <c:dLbls>
          <c:showLegendKey val="0"/>
          <c:showVal val="0"/>
          <c:showCatName val="0"/>
          <c:showSerName val="0"/>
          <c:showPercent val="0"/>
          <c:showBubbleSize val="0"/>
        </c:dLbls>
        <c:gapWidth val="115"/>
        <c:overlap val="-20"/>
        <c:axId val="1731517823"/>
        <c:axId val="1731511103"/>
      </c:barChart>
      <c:catAx>
        <c:axId val="1731517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1511103"/>
        <c:crosses val="autoZero"/>
        <c:auto val="1"/>
        <c:lblAlgn val="ctr"/>
        <c:lblOffset val="100"/>
        <c:noMultiLvlLbl val="0"/>
      </c:catAx>
      <c:valAx>
        <c:axId val="17315111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151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[marketing_campaigns.xlsx]Sheet1!PivotTable4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ROI Status vs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Sheet1!$D$5:$D$6</c:f>
              <c:strCache>
                <c:ptCount val="1"/>
                <c:pt idx="0">
                  <c:v>OK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326-427B-85DF-94E8A327D1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326-427B-85DF-94E8A327D1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326-427B-85DF-94E8A327D16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326-427B-85DF-94E8A327D16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737-477C-BCB4-11CF774135B4}"/>
              </c:ext>
            </c:extLst>
          </c:dPt>
          <c:cat>
            <c:strRef>
              <c:f>Sheet1!$C$7:$C$11</c:f>
              <c:strCache>
                <c:ptCount val="4"/>
                <c:pt idx="0">
                  <c:v>organic</c:v>
                </c:pt>
                <c:pt idx="1">
                  <c:v>paid</c:v>
                </c:pt>
                <c:pt idx="2">
                  <c:v>promotion</c:v>
                </c:pt>
                <c:pt idx="3">
                  <c:v>referral</c:v>
                </c:pt>
              </c:strCache>
            </c:strRef>
          </c:cat>
          <c:val>
            <c:numRef>
              <c:f>Sheet1!$D$7:$D$11</c:f>
              <c:numCache>
                <c:formatCode>General</c:formatCode>
                <c:ptCount val="4"/>
                <c:pt idx="0">
                  <c:v>229</c:v>
                </c:pt>
                <c:pt idx="1">
                  <c:v>223</c:v>
                </c:pt>
                <c:pt idx="2">
                  <c:v>251</c:v>
                </c:pt>
                <c:pt idx="3">
                  <c:v>228</c:v>
                </c:pt>
              </c:numCache>
            </c:numRef>
          </c:val>
          <c:extLst>
            <c:ext xmlns:c16="http://schemas.microsoft.com/office/drawing/2014/chart" uri="{C3380CC4-5D6E-409C-BE32-E72D297353CC}">
              <c16:uniqueId val="{00000008-8326-427B-85DF-94E8A327D1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[marketing_campaigns.xlsx]Sheet1!PivotTable5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Budget vs Adjusted Revenue by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Sheet1!$C$15:$C$17</c:f>
              <c:strCache>
                <c:ptCount val="1"/>
                <c:pt idx="0">
                  <c:v>OK - Sum of budget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Sheet1!$B$18:$B$22</c:f>
              <c:strCache>
                <c:ptCount val="4"/>
                <c:pt idx="0">
                  <c:v>email</c:v>
                </c:pt>
                <c:pt idx="1">
                  <c:v>podcast</c:v>
                </c:pt>
                <c:pt idx="2">
                  <c:v>social media</c:v>
                </c:pt>
                <c:pt idx="3">
                  <c:v>webinar</c:v>
                </c:pt>
              </c:strCache>
            </c:strRef>
          </c:cat>
          <c:val>
            <c:numRef>
              <c:f>Sheet1!$C$18:$C$22</c:f>
              <c:numCache>
                <c:formatCode>General</c:formatCode>
                <c:ptCount val="4"/>
                <c:pt idx="0">
                  <c:v>12251287.380000005</c:v>
                </c:pt>
                <c:pt idx="1">
                  <c:v>10567516.699999997</c:v>
                </c:pt>
                <c:pt idx="2">
                  <c:v>10068864.869999999</c:v>
                </c:pt>
                <c:pt idx="3">
                  <c:v>12023685.300000006</c:v>
                </c:pt>
              </c:numCache>
            </c:numRef>
          </c:val>
          <c:extLst>
            <c:ext xmlns:c16="http://schemas.microsoft.com/office/drawing/2014/chart" uri="{C3380CC4-5D6E-409C-BE32-E72D297353CC}">
              <c16:uniqueId val="{00000000-53F5-49D5-A3BC-60F7C8B7066F}"/>
            </c:ext>
          </c:extLst>
        </c:ser>
        <c:ser>
          <c:idx val="1"/>
          <c:order val="1"/>
          <c:tx>
            <c:strRef>
              <c:f>Sheet1!$D$15:$D$17</c:f>
              <c:strCache>
                <c:ptCount val="1"/>
                <c:pt idx="0">
                  <c:v>OK - Sum of Adjusted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Sheet1!$B$18:$B$22</c:f>
              <c:strCache>
                <c:ptCount val="4"/>
                <c:pt idx="0">
                  <c:v>email</c:v>
                </c:pt>
                <c:pt idx="1">
                  <c:v>podcast</c:v>
                </c:pt>
                <c:pt idx="2">
                  <c:v>social media</c:v>
                </c:pt>
                <c:pt idx="3">
                  <c:v>webinar</c:v>
                </c:pt>
              </c:strCache>
            </c:strRef>
          </c:cat>
          <c:val>
            <c:numRef>
              <c:f>Sheet1!$D$18:$D$22</c:f>
              <c:numCache>
                <c:formatCode>General</c:formatCode>
                <c:ptCount val="4"/>
                <c:pt idx="0">
                  <c:v>92535964.280000031</c:v>
                </c:pt>
                <c:pt idx="1">
                  <c:v>77631637.239999995</c:v>
                </c:pt>
                <c:pt idx="2">
                  <c:v>75487230</c:v>
                </c:pt>
                <c:pt idx="3">
                  <c:v>87311370.139999986</c:v>
                </c:pt>
              </c:numCache>
            </c:numRef>
          </c:val>
          <c:extLst>
            <c:ext xmlns:c16="http://schemas.microsoft.com/office/drawing/2014/chart" uri="{C3380CC4-5D6E-409C-BE32-E72D297353CC}">
              <c16:uniqueId val="{00000001-53F5-49D5-A3BC-60F7C8B7066F}"/>
            </c:ext>
          </c:extLst>
        </c:ser>
        <c:dLbls>
          <c:showLegendKey val="0"/>
          <c:showVal val="0"/>
          <c:showCatName val="0"/>
          <c:showSerName val="0"/>
          <c:showPercent val="0"/>
          <c:showBubbleSize val="0"/>
        </c:dLbls>
        <c:gapWidth val="100"/>
        <c:overlap val="-24"/>
        <c:axId val="1731519743"/>
        <c:axId val="1731523583"/>
      </c:barChart>
      <c:catAx>
        <c:axId val="1731519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1523583"/>
        <c:crosses val="autoZero"/>
        <c:auto val="1"/>
        <c:lblAlgn val="ctr"/>
        <c:lblOffset val="100"/>
        <c:noMultiLvlLbl val="0"/>
      </c:catAx>
      <c:valAx>
        <c:axId val="1731523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151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[marketing_campaigns.xlsx]Sheet1!PivotTable8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 of Average Adjusted ROI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Sheet1!$P$12:$P$13</c:f>
              <c:strCache>
                <c:ptCount val="1"/>
                <c:pt idx="0">
                  <c:v>organic</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Sheet1!$O$14:$O$16</c:f>
              <c:strCache>
                <c:ptCount val="2"/>
                <c:pt idx="0">
                  <c:v>2022</c:v>
                </c:pt>
                <c:pt idx="1">
                  <c:v>2023</c:v>
                </c:pt>
              </c:strCache>
            </c:strRef>
          </c:cat>
          <c:val>
            <c:numRef>
              <c:f>Sheet1!$P$14:$P$16</c:f>
              <c:numCache>
                <c:formatCode>General</c:formatCode>
                <c:ptCount val="2"/>
                <c:pt idx="0">
                  <c:v>7.03473197463238</c:v>
                </c:pt>
                <c:pt idx="1">
                  <c:v>7.3401558979777137</c:v>
                </c:pt>
              </c:numCache>
            </c:numRef>
          </c:val>
          <c:smooth val="0"/>
          <c:extLst>
            <c:ext xmlns:c16="http://schemas.microsoft.com/office/drawing/2014/chart" uri="{C3380CC4-5D6E-409C-BE32-E72D297353CC}">
              <c16:uniqueId val="{00000000-BF4A-4083-A5B8-3BF9B7D26C48}"/>
            </c:ext>
          </c:extLst>
        </c:ser>
        <c:ser>
          <c:idx val="1"/>
          <c:order val="1"/>
          <c:tx>
            <c:strRef>
              <c:f>Sheet1!$Q$12:$Q$13</c:f>
              <c:strCache>
                <c:ptCount val="1"/>
                <c:pt idx="0">
                  <c:v>paid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Sheet1!$O$14:$O$16</c:f>
              <c:strCache>
                <c:ptCount val="2"/>
                <c:pt idx="0">
                  <c:v>2022</c:v>
                </c:pt>
                <c:pt idx="1">
                  <c:v>2023</c:v>
                </c:pt>
              </c:strCache>
            </c:strRef>
          </c:cat>
          <c:val>
            <c:numRef>
              <c:f>Sheet1!$Q$14:$Q$16</c:f>
              <c:numCache>
                <c:formatCode>General</c:formatCode>
                <c:ptCount val="2"/>
                <c:pt idx="0">
                  <c:v>7.4107994536907267</c:v>
                </c:pt>
                <c:pt idx="1">
                  <c:v>7.272216909498793</c:v>
                </c:pt>
              </c:numCache>
            </c:numRef>
          </c:val>
          <c:smooth val="0"/>
          <c:extLst>
            <c:ext xmlns:c16="http://schemas.microsoft.com/office/drawing/2014/chart" uri="{C3380CC4-5D6E-409C-BE32-E72D297353CC}">
              <c16:uniqueId val="{00000007-E77D-49B8-B14F-76FA31B25A35}"/>
            </c:ext>
          </c:extLst>
        </c:ser>
        <c:ser>
          <c:idx val="2"/>
          <c:order val="2"/>
          <c:tx>
            <c:strRef>
              <c:f>Sheet1!$R$12:$R$13</c:f>
              <c:strCache>
                <c:ptCount val="1"/>
                <c:pt idx="0">
                  <c:v>promotion</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Sheet1!$O$14:$O$16</c:f>
              <c:strCache>
                <c:ptCount val="2"/>
                <c:pt idx="0">
                  <c:v>2022</c:v>
                </c:pt>
                <c:pt idx="1">
                  <c:v>2023</c:v>
                </c:pt>
              </c:strCache>
            </c:strRef>
          </c:cat>
          <c:val>
            <c:numRef>
              <c:f>Sheet1!$R$14:$R$16</c:f>
              <c:numCache>
                <c:formatCode>General</c:formatCode>
                <c:ptCount val="2"/>
                <c:pt idx="0">
                  <c:v>6.9768350796996277</c:v>
                </c:pt>
                <c:pt idx="1">
                  <c:v>6.8543387943194505</c:v>
                </c:pt>
              </c:numCache>
            </c:numRef>
          </c:val>
          <c:smooth val="0"/>
          <c:extLst>
            <c:ext xmlns:c16="http://schemas.microsoft.com/office/drawing/2014/chart" uri="{C3380CC4-5D6E-409C-BE32-E72D297353CC}">
              <c16:uniqueId val="{00000008-E77D-49B8-B14F-76FA31B25A35}"/>
            </c:ext>
          </c:extLst>
        </c:ser>
        <c:ser>
          <c:idx val="3"/>
          <c:order val="3"/>
          <c:tx>
            <c:strRef>
              <c:f>Sheet1!$S$12:$S$13</c:f>
              <c:strCache>
                <c:ptCount val="1"/>
                <c:pt idx="0">
                  <c:v>referral</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Sheet1!$O$14:$O$16</c:f>
              <c:strCache>
                <c:ptCount val="2"/>
                <c:pt idx="0">
                  <c:v>2022</c:v>
                </c:pt>
                <c:pt idx="1">
                  <c:v>2023</c:v>
                </c:pt>
              </c:strCache>
            </c:strRef>
          </c:cat>
          <c:val>
            <c:numRef>
              <c:f>Sheet1!$S$14:$S$16</c:f>
              <c:numCache>
                <c:formatCode>General</c:formatCode>
                <c:ptCount val="2"/>
                <c:pt idx="0">
                  <c:v>7.1069359574874795</c:v>
                </c:pt>
                <c:pt idx="1">
                  <c:v>7.0540211198242799</c:v>
                </c:pt>
              </c:numCache>
            </c:numRef>
          </c:val>
          <c:smooth val="0"/>
          <c:extLst>
            <c:ext xmlns:c16="http://schemas.microsoft.com/office/drawing/2014/chart" uri="{C3380CC4-5D6E-409C-BE32-E72D297353CC}">
              <c16:uniqueId val="{00000009-E77D-49B8-B14F-76FA31B25A35}"/>
            </c:ext>
          </c:extLst>
        </c:ser>
        <c:dLbls>
          <c:showLegendKey val="0"/>
          <c:showVal val="0"/>
          <c:showCatName val="0"/>
          <c:showSerName val="0"/>
          <c:showPercent val="0"/>
          <c:showBubbleSize val="0"/>
        </c:dLbls>
        <c:smooth val="0"/>
        <c:axId val="2046492927"/>
        <c:axId val="2046482367"/>
      </c:lineChart>
      <c:catAx>
        <c:axId val="20464929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482367"/>
        <c:crosses val="autoZero"/>
        <c:auto val="1"/>
        <c:lblAlgn val="ctr"/>
        <c:lblOffset val="100"/>
        <c:noMultiLvlLbl val="0"/>
      </c:catAx>
      <c:valAx>
        <c:axId val="2046482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4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Budget vs Adjusted Revenue by Campaign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Lit>
              <c:formatCode>General</c:formatCode>
              <c:ptCount val="6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numLit>
          </c:cat>
          <c:val>
            <c:numLit>
              <c:formatCode>General</c:formatCode>
              <c:ptCount val="69"/>
              <c:pt idx="0">
                <c:v>11646.16</c:v>
              </c:pt>
              <c:pt idx="1">
                <c:v>31145.23</c:v>
              </c:pt>
              <c:pt idx="2">
                <c:v>97448.7</c:v>
              </c:pt>
              <c:pt idx="3">
                <c:v>81474.69</c:v>
              </c:pt>
              <c:pt idx="4">
                <c:v>96380.65</c:v>
              </c:pt>
              <c:pt idx="5">
                <c:v>80358.87</c:v>
              </c:pt>
              <c:pt idx="6">
                <c:v>79189.2</c:v>
              </c:pt>
              <c:pt idx="7">
                <c:v>21510.43</c:v>
              </c:pt>
              <c:pt idx="8">
                <c:v>46645.57</c:v>
              </c:pt>
              <c:pt idx="9">
                <c:v>86716.38</c:v>
              </c:pt>
              <c:pt idx="10">
                <c:v>86492.2</c:v>
              </c:pt>
              <c:pt idx="11">
                <c:v>96168.8</c:v>
              </c:pt>
              <c:pt idx="12">
                <c:v>78742.39</c:v>
              </c:pt>
              <c:pt idx="13">
                <c:v>49206.43</c:v>
              </c:pt>
              <c:pt idx="14">
                <c:v>80176.5</c:v>
              </c:pt>
              <c:pt idx="15">
                <c:v>23030.51</c:v>
              </c:pt>
              <c:pt idx="16">
                <c:v>54503.83</c:v>
              </c:pt>
              <c:pt idx="17">
                <c:v>82065.39</c:v>
              </c:pt>
              <c:pt idx="18">
                <c:v>32993.61</c:v>
              </c:pt>
              <c:pt idx="19">
                <c:v>69815.820000000007</c:v>
              </c:pt>
              <c:pt idx="20">
                <c:v>99535.21</c:v>
              </c:pt>
              <c:pt idx="21">
                <c:v>76484.11</c:v>
              </c:pt>
              <c:pt idx="22">
                <c:v>91490.92</c:v>
              </c:pt>
              <c:pt idx="23">
                <c:v>39291.9</c:v>
              </c:pt>
              <c:pt idx="24">
                <c:v>87156.45</c:v>
              </c:pt>
              <c:pt idx="25">
                <c:v>56570.94</c:v>
              </c:pt>
              <c:pt idx="26">
                <c:v>69474.960000000006</c:v>
              </c:pt>
              <c:pt idx="27">
                <c:v>17355.98</c:v>
              </c:pt>
              <c:pt idx="28">
                <c:v>85249.47</c:v>
              </c:pt>
              <c:pt idx="29">
                <c:v>61978.1</c:v>
              </c:pt>
              <c:pt idx="30">
                <c:v>99714.19</c:v>
              </c:pt>
              <c:pt idx="31">
                <c:v>48366.5</c:v>
              </c:pt>
              <c:pt idx="32">
                <c:v>36848.300000000003</c:v>
              </c:pt>
              <c:pt idx="33">
                <c:v>63656.18</c:v>
              </c:pt>
              <c:pt idx="34">
                <c:v>90612.4</c:v>
              </c:pt>
              <c:pt idx="35">
                <c:v>87665.600000000006</c:v>
              </c:pt>
              <c:pt idx="36">
                <c:v>84718.25</c:v>
              </c:pt>
              <c:pt idx="37">
                <c:v>30544.22</c:v>
              </c:pt>
              <c:pt idx="38">
                <c:v>80612.13</c:v>
              </c:pt>
              <c:pt idx="39">
                <c:v>63786.13</c:v>
              </c:pt>
              <c:pt idx="40">
                <c:v>94235.4</c:v>
              </c:pt>
              <c:pt idx="41">
                <c:v>67475.350000000006</c:v>
              </c:pt>
              <c:pt idx="42">
                <c:v>79220.800000000003</c:v>
              </c:pt>
              <c:pt idx="43">
                <c:v>99891.35</c:v>
              </c:pt>
              <c:pt idx="44">
                <c:v>70220.820000000007</c:v>
              </c:pt>
              <c:pt idx="45">
                <c:v>50624.24</c:v>
              </c:pt>
              <c:pt idx="46">
                <c:v>74431.67</c:v>
              </c:pt>
              <c:pt idx="47">
                <c:v>16485.72</c:v>
              </c:pt>
              <c:pt idx="48">
                <c:v>11006.3</c:v>
              </c:pt>
              <c:pt idx="49">
                <c:v>48046.33</c:v>
              </c:pt>
              <c:pt idx="50">
                <c:v>63250.91</c:v>
              </c:pt>
              <c:pt idx="51">
                <c:v>24132.55</c:v>
              </c:pt>
              <c:pt idx="52">
                <c:v>58942.77</c:v>
              </c:pt>
              <c:pt idx="53">
                <c:v>93497.4</c:v>
              </c:pt>
              <c:pt idx="54">
                <c:v>92072.41</c:v>
              </c:pt>
              <c:pt idx="55">
                <c:v>73723.399999999994</c:v>
              </c:pt>
              <c:pt idx="56">
                <c:v>52125.2</c:v>
              </c:pt>
              <c:pt idx="57">
                <c:v>72633.75</c:v>
              </c:pt>
              <c:pt idx="58">
                <c:v>95256.19</c:v>
              </c:pt>
              <c:pt idx="59">
                <c:v>99838.63</c:v>
              </c:pt>
              <c:pt idx="60">
                <c:v>72529.72</c:v>
              </c:pt>
              <c:pt idx="61">
                <c:v>36751.1</c:v>
              </c:pt>
              <c:pt idx="62">
                <c:v>84628.79</c:v>
              </c:pt>
              <c:pt idx="63">
                <c:v>85026.27</c:v>
              </c:pt>
              <c:pt idx="64">
                <c:v>80292.7</c:v>
              </c:pt>
              <c:pt idx="65">
                <c:v>37054.160000000003</c:v>
              </c:pt>
              <c:pt idx="66">
                <c:v>81083.98</c:v>
              </c:pt>
              <c:pt idx="67">
                <c:v>80301.86</c:v>
              </c:pt>
              <c:pt idx="68">
                <c:v>86623.59</c:v>
              </c:pt>
            </c:numLit>
          </c:val>
          <c:extLst>
            <c:ext xmlns:c16="http://schemas.microsoft.com/office/drawing/2014/chart" uri="{C3380CC4-5D6E-409C-BE32-E72D297353CC}">
              <c16:uniqueId val="{00000000-ECF3-4A5E-9BEC-27DD44514A5A}"/>
            </c:ext>
          </c:extLst>
        </c:ser>
        <c:ser>
          <c:idx val="1"/>
          <c:order val="1"/>
          <c:tx>
            <c:v>Series2</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Lit>
              <c:formatCode>General</c:formatCode>
              <c:ptCount val="6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numLit>
          </c:cat>
          <c:val>
            <c:numLit>
              <c:formatCode>General</c:formatCode>
              <c:ptCount val="69"/>
              <c:pt idx="0">
                <c:v>0.14408526072113048</c:v>
              </c:pt>
              <c:pt idx="1">
                <c:v>9.704953214344543E-2</c:v>
              </c:pt>
              <c:pt idx="2">
                <c:v>0.32255104480613911</c:v>
              </c:pt>
              <c:pt idx="3">
                <c:v>0.43049860024014808</c:v>
              </c:pt>
              <c:pt idx="4">
                <c:v>-0.5</c:v>
              </c:pt>
              <c:pt idx="5">
                <c:v>0.40268672269781808</c:v>
              </c:pt>
              <c:pt idx="6">
                <c:v>-0.5</c:v>
              </c:pt>
              <c:pt idx="7">
                <c:v>7.7470324861009202E-2</c:v>
              </c:pt>
              <c:pt idx="8">
                <c:v>0.45265241693905772</c:v>
              </c:pt>
              <c:pt idx="9">
                <c:v>-0.20014119593091875</c:v>
              </c:pt>
              <c:pt idx="10">
                <c:v>0.41514148096591369</c:v>
              </c:pt>
              <c:pt idx="11">
                <c:v>0.43500501202053043</c:v>
              </c:pt>
              <c:pt idx="12">
                <c:v>-0.5</c:v>
              </c:pt>
              <c:pt idx="13">
                <c:v>-0.32837314147764834</c:v>
              </c:pt>
              <c:pt idx="14">
                <c:v>-0.5</c:v>
              </c:pt>
              <c:pt idx="15">
                <c:v>-0.38522030124387163</c:v>
              </c:pt>
              <c:pt idx="16">
                <c:v>0.45107784168562098</c:v>
              </c:pt>
              <c:pt idx="17">
                <c:v>-0.35485592647521691</c:v>
              </c:pt>
              <c:pt idx="18">
                <c:v>-0.5</c:v>
              </c:pt>
              <c:pt idx="19">
                <c:v>-0.5</c:v>
              </c:pt>
              <c:pt idx="20">
                <c:v>0.43345133847610301</c:v>
              </c:pt>
              <c:pt idx="21">
                <c:v>-0.5</c:v>
              </c:pt>
              <c:pt idx="22">
                <c:v>-0.5</c:v>
              </c:pt>
              <c:pt idx="23">
                <c:v>0.20918942581040867</c:v>
              </c:pt>
              <c:pt idx="24">
                <c:v>9.314571669681361E-2</c:v>
              </c:pt>
              <c:pt idx="25">
                <c:v>0.47509763846950398</c:v>
              </c:pt>
              <c:pt idx="26">
                <c:v>0.24039193401478728</c:v>
              </c:pt>
              <c:pt idx="27">
                <c:v>-0.44134874550443126</c:v>
              </c:pt>
              <c:pt idx="28">
                <c:v>-0.5</c:v>
              </c:pt>
              <c:pt idx="29">
                <c:v>-0.5</c:v>
              </c:pt>
              <c:pt idx="30">
                <c:v>-0.5</c:v>
              </c:pt>
              <c:pt idx="31">
                <c:v>-0.15220348795137137</c:v>
              </c:pt>
              <c:pt idx="32">
                <c:v>-0.5</c:v>
              </c:pt>
              <c:pt idx="33">
                <c:v>0.21749278703183261</c:v>
              </c:pt>
              <c:pt idx="34">
                <c:v>0.36374215890981815</c:v>
              </c:pt>
              <c:pt idx="35">
                <c:v>-0.5</c:v>
              </c:pt>
              <c:pt idx="36">
                <c:v>-9.1438267433522361E-2</c:v>
              </c:pt>
              <c:pt idx="37">
                <c:v>0.31767876213568391</c:v>
              </c:pt>
              <c:pt idx="38">
                <c:v>0.39882335325961488</c:v>
              </c:pt>
              <c:pt idx="39">
                <c:v>0.43415378860576742</c:v>
              </c:pt>
              <c:pt idx="40">
                <c:v>0.4670220532835857</c:v>
              </c:pt>
              <c:pt idx="41">
                <c:v>-0.20628866689835632</c:v>
              </c:pt>
              <c:pt idx="42">
                <c:v>-0.5</c:v>
              </c:pt>
              <c:pt idx="43">
                <c:v>-0.5</c:v>
              </c:pt>
              <c:pt idx="44">
                <c:v>0.27773899535778701</c:v>
              </c:pt>
              <c:pt idx="45">
                <c:v>-0.5</c:v>
              </c:pt>
              <c:pt idx="46">
                <c:v>-0.5</c:v>
              </c:pt>
              <c:pt idx="47">
                <c:v>-0.41075245727817777</c:v>
              </c:pt>
              <c:pt idx="48">
                <c:v>-0.5</c:v>
              </c:pt>
              <c:pt idx="49">
                <c:v>5.1794174497823177E-2</c:v>
              </c:pt>
              <c:pt idx="50">
                <c:v>-0.49335653826956799</c:v>
              </c:pt>
              <c:pt idx="51">
                <c:v>0.3899571325864859</c:v>
              </c:pt>
              <c:pt idx="52">
                <c:v>-0.5</c:v>
              </c:pt>
              <c:pt idx="53">
                <c:v>-0.37615377539910194</c:v>
              </c:pt>
              <c:pt idx="54">
                <c:v>-0.5</c:v>
              </c:pt>
              <c:pt idx="55">
                <c:v>-0.15144431754368343</c:v>
              </c:pt>
              <c:pt idx="56">
                <c:v>-0.46753662336067775</c:v>
              </c:pt>
              <c:pt idx="57">
                <c:v>-0.36646200974065091</c:v>
              </c:pt>
              <c:pt idx="58">
                <c:v>-0.1122577965799388</c:v>
              </c:pt>
              <c:pt idx="59">
                <c:v>-0.5</c:v>
              </c:pt>
              <c:pt idx="60">
                <c:v>0.33981931820500616</c:v>
              </c:pt>
              <c:pt idx="61">
                <c:v>0.39052871886827878</c:v>
              </c:pt>
              <c:pt idx="62">
                <c:v>-0.5</c:v>
              </c:pt>
              <c:pt idx="63">
                <c:v>-0.5</c:v>
              </c:pt>
              <c:pt idx="64">
                <c:v>-0.5</c:v>
              </c:pt>
              <c:pt idx="65">
                <c:v>-0.5</c:v>
              </c:pt>
              <c:pt idx="66">
                <c:v>0.18297399806965581</c:v>
              </c:pt>
              <c:pt idx="67">
                <c:v>-3.6319706666819343E-2</c:v>
              </c:pt>
              <c:pt idx="68">
                <c:v>0.23677580206500343</c:v>
              </c:pt>
            </c:numLit>
          </c:val>
          <c:extLst>
            <c:ext xmlns:c16="http://schemas.microsoft.com/office/drawing/2014/chart" uri="{C3380CC4-5D6E-409C-BE32-E72D297353CC}">
              <c16:uniqueId val="{00000001-ECF3-4A5E-9BEC-27DD44514A5A}"/>
            </c:ext>
          </c:extLst>
        </c:ser>
        <c:dLbls>
          <c:showLegendKey val="0"/>
          <c:showVal val="0"/>
          <c:showCatName val="0"/>
          <c:showSerName val="0"/>
          <c:showPercent val="0"/>
          <c:showBubbleSize val="0"/>
        </c:dLbls>
        <c:gapWidth val="100"/>
        <c:overlap val="-24"/>
        <c:axId val="2046506847"/>
        <c:axId val="2046501087"/>
      </c:barChart>
      <c:catAx>
        <c:axId val="2046506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501087"/>
        <c:crosses val="autoZero"/>
        <c:auto val="1"/>
        <c:lblAlgn val="ctr"/>
        <c:lblOffset val="100"/>
        <c:noMultiLvlLbl val="0"/>
      </c:catAx>
      <c:valAx>
        <c:axId val="20465010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50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433227</xdr:colOff>
      <xdr:row>37</xdr:row>
      <xdr:rowOff>80053</xdr:rowOff>
    </xdr:from>
    <xdr:to>
      <xdr:col>9</xdr:col>
      <xdr:colOff>2249801</xdr:colOff>
      <xdr:row>51</xdr:row>
      <xdr:rowOff>144160</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B7ADDB52-55D2-6771-606C-F986511058C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2839272" y="673257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91355</xdr:colOff>
      <xdr:row>23</xdr:row>
      <xdr:rowOff>157709</xdr:rowOff>
    </xdr:from>
    <xdr:to>
      <xdr:col>14</xdr:col>
      <xdr:colOff>96493</xdr:colOff>
      <xdr:row>38</xdr:row>
      <xdr:rowOff>42017</xdr:rowOff>
    </xdr:to>
    <mc:AlternateContent xmlns:mc="http://schemas.openxmlformats.org/markup-compatibility/2006" xmlns:a14="http://schemas.microsoft.com/office/drawing/2010/main">
      <mc:Choice Requires="a14">
        <xdr:graphicFrame macro="">
          <xdr:nvGraphicFramePr>
            <xdr:cNvPr id="9" name="type">
              <a:extLst>
                <a:ext uri="{FF2B5EF4-FFF2-40B4-BE49-F238E27FC236}">
                  <a16:creationId xmlns:a16="http://schemas.microsoft.com/office/drawing/2014/main" id="{E2DD2385-7EDF-4A2E-33AF-CB561E42E31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5065939" y="4293057"/>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434426</xdr:colOff>
      <xdr:row>22</xdr:row>
      <xdr:rowOff>98375</xdr:rowOff>
    </xdr:from>
    <xdr:to>
      <xdr:col>9</xdr:col>
      <xdr:colOff>2251000</xdr:colOff>
      <xdr:row>36</xdr:row>
      <xdr:rowOff>162482</xdr:rowOff>
    </xdr:to>
    <mc:AlternateContent xmlns:mc="http://schemas.openxmlformats.org/markup-compatibility/2006" xmlns:a14="http://schemas.microsoft.com/office/drawing/2010/main">
      <mc:Choice Requires="a14">
        <xdr:graphicFrame macro="">
          <xdr:nvGraphicFramePr>
            <xdr:cNvPr id="10" name="ROI status">
              <a:extLst>
                <a:ext uri="{FF2B5EF4-FFF2-40B4-BE49-F238E27FC236}">
                  <a16:creationId xmlns:a16="http://schemas.microsoft.com/office/drawing/2014/main" id="{1A0D72A9-1D9F-50F4-6293-8A4A236F8FD5}"/>
                </a:ext>
              </a:extLst>
            </xdr:cNvPr>
            <xdr:cNvGraphicFramePr/>
          </xdr:nvGraphicFramePr>
          <xdr:xfrm>
            <a:off x="0" y="0"/>
            <a:ext cx="0" cy="0"/>
          </xdr:xfrm>
          <a:graphic>
            <a:graphicData uri="http://schemas.microsoft.com/office/drawing/2010/slicer">
              <sle:slicer xmlns:sle="http://schemas.microsoft.com/office/drawing/2010/slicer" name="ROI status"/>
            </a:graphicData>
          </a:graphic>
        </xdr:graphicFrame>
      </mc:Choice>
      <mc:Fallback xmlns="">
        <xdr:sp macro="" textlink="">
          <xdr:nvSpPr>
            <xdr:cNvPr id="0" name=""/>
            <xdr:cNvSpPr>
              <a:spLocks noTextEdit="1"/>
            </xdr:cNvSpPr>
          </xdr:nvSpPr>
          <xdr:spPr>
            <a:xfrm>
              <a:off x="12840471" y="405392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83991</xdr:colOff>
      <xdr:row>39</xdr:row>
      <xdr:rowOff>21918</xdr:rowOff>
    </xdr:from>
    <xdr:to>
      <xdr:col>14</xdr:col>
      <xdr:colOff>697015</xdr:colOff>
      <xdr:row>53</xdr:row>
      <xdr:rowOff>86024</xdr:rowOff>
    </xdr:to>
    <mc:AlternateContent xmlns:mc="http://schemas.openxmlformats.org/markup-compatibility/2006" xmlns:a14="http://schemas.microsoft.com/office/drawing/2010/main">
      <mc:Choice Requires="a14">
        <xdr:graphicFrame macro="">
          <xdr:nvGraphicFramePr>
            <xdr:cNvPr id="11" name="start_date">
              <a:extLst>
                <a:ext uri="{FF2B5EF4-FFF2-40B4-BE49-F238E27FC236}">
                  <a16:creationId xmlns:a16="http://schemas.microsoft.com/office/drawing/2014/main" id="{43626570-D38D-DD5D-161D-9FDC91760437}"/>
                </a:ext>
              </a:extLst>
            </xdr:cNvPr>
            <xdr:cNvGraphicFramePr/>
          </xdr:nvGraphicFramePr>
          <xdr:xfrm>
            <a:off x="0" y="0"/>
            <a:ext cx="0" cy="0"/>
          </xdr:xfrm>
          <a:graphic>
            <a:graphicData uri="http://schemas.microsoft.com/office/drawing/2010/slicer">
              <sle:slicer xmlns:sle="http://schemas.microsoft.com/office/drawing/2010/slicer" name="start_date"/>
            </a:graphicData>
          </a:graphic>
        </xdr:graphicFrame>
      </mc:Choice>
      <mc:Fallback xmlns="">
        <xdr:sp macro="" textlink="">
          <xdr:nvSpPr>
            <xdr:cNvPr id="0" name=""/>
            <xdr:cNvSpPr>
              <a:spLocks noTextEdit="1"/>
            </xdr:cNvSpPr>
          </xdr:nvSpPr>
          <xdr:spPr>
            <a:xfrm>
              <a:off x="15666463" y="703403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76292</xdr:colOff>
      <xdr:row>25</xdr:row>
      <xdr:rowOff>15240</xdr:rowOff>
    </xdr:from>
    <xdr:to>
      <xdr:col>5</xdr:col>
      <xdr:colOff>51915</xdr:colOff>
      <xdr:row>39</xdr:row>
      <xdr:rowOff>25912</xdr:rowOff>
    </xdr:to>
    <mc:AlternateContent xmlns:mc="http://schemas.openxmlformats.org/markup-compatibility/2006" xmlns:a14="http://schemas.microsoft.com/office/drawing/2010/main">
      <mc:Choice Requires="a14">
        <xdr:graphicFrame macro="">
          <xdr:nvGraphicFramePr>
            <xdr:cNvPr id="16" name="channel 3">
              <a:extLst>
                <a:ext uri="{FF2B5EF4-FFF2-40B4-BE49-F238E27FC236}">
                  <a16:creationId xmlns:a16="http://schemas.microsoft.com/office/drawing/2014/main" id="{FC7A9381-4C23-42BE-AE82-FBBBF14D8F59}"/>
                </a:ext>
              </a:extLst>
            </xdr:cNvPr>
            <xdr:cNvGraphicFramePr/>
          </xdr:nvGraphicFramePr>
          <xdr:xfrm>
            <a:off x="0" y="0"/>
            <a:ext cx="0" cy="0"/>
          </xdr:xfrm>
          <a:graphic>
            <a:graphicData uri="http://schemas.microsoft.com/office/drawing/2010/slicer">
              <sle:slicer xmlns:sle="http://schemas.microsoft.com/office/drawing/2010/slicer" name="channel 3"/>
            </a:graphicData>
          </a:graphic>
        </xdr:graphicFrame>
      </mc:Choice>
      <mc:Fallback xmlns="">
        <xdr:sp macro="" textlink="">
          <xdr:nvSpPr>
            <xdr:cNvPr id="0" name=""/>
            <xdr:cNvSpPr>
              <a:spLocks noTextEdit="1"/>
            </xdr:cNvSpPr>
          </xdr:nvSpPr>
          <xdr:spPr>
            <a:xfrm>
              <a:off x="4970677" y="4655625"/>
              <a:ext cx="1829506" cy="2609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718942</xdr:colOff>
      <xdr:row>21</xdr:row>
      <xdr:rowOff>78403</xdr:rowOff>
    </xdr:from>
    <xdr:to>
      <xdr:col>7</xdr:col>
      <xdr:colOff>1211401</xdr:colOff>
      <xdr:row>35</xdr:row>
      <xdr:rowOff>89076</xdr:rowOff>
    </xdr:to>
    <mc:AlternateContent xmlns:mc="http://schemas.openxmlformats.org/markup-compatibility/2006" xmlns:a14="http://schemas.microsoft.com/office/drawing/2010/main">
      <mc:Choice Requires="a14">
        <xdr:graphicFrame macro="">
          <xdr:nvGraphicFramePr>
            <xdr:cNvPr id="18" name="type 1">
              <a:extLst>
                <a:ext uri="{FF2B5EF4-FFF2-40B4-BE49-F238E27FC236}">
                  <a16:creationId xmlns:a16="http://schemas.microsoft.com/office/drawing/2014/main" id="{2EC4B86D-F6F3-FA93-C782-7F7790504393}"/>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8602711" y="3976326"/>
              <a:ext cx="1828800" cy="2609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965785</xdr:colOff>
      <xdr:row>0</xdr:row>
      <xdr:rowOff>15630</xdr:rowOff>
    </xdr:from>
    <xdr:to>
      <xdr:col>13</xdr:col>
      <xdr:colOff>303431</xdr:colOff>
      <xdr:row>14</xdr:row>
      <xdr:rowOff>566</xdr:rowOff>
    </xdr:to>
    <mc:AlternateContent xmlns:mc="http://schemas.openxmlformats.org/markup-compatibility/2006" xmlns:a14="http://schemas.microsoft.com/office/drawing/2010/main">
      <mc:Choice Requires="a14">
        <xdr:graphicFrame macro="">
          <xdr:nvGraphicFramePr>
            <xdr:cNvPr id="25" name="start_date 2">
              <a:extLst>
                <a:ext uri="{FF2B5EF4-FFF2-40B4-BE49-F238E27FC236}">
                  <a16:creationId xmlns:a16="http://schemas.microsoft.com/office/drawing/2014/main" id="{BF89010A-3435-D792-FB16-3A8DA1119F1B}"/>
                </a:ext>
              </a:extLst>
            </xdr:cNvPr>
            <xdr:cNvGraphicFramePr/>
          </xdr:nvGraphicFramePr>
          <xdr:xfrm>
            <a:off x="0" y="0"/>
            <a:ext cx="0" cy="0"/>
          </xdr:xfrm>
          <a:graphic>
            <a:graphicData uri="http://schemas.microsoft.com/office/drawing/2010/slicer">
              <sle:slicer xmlns:sle="http://schemas.microsoft.com/office/drawing/2010/slicer" name="start_date 2"/>
            </a:graphicData>
          </a:graphic>
        </xdr:graphicFrame>
      </mc:Choice>
      <mc:Fallback xmlns="">
        <xdr:sp macro="" textlink="">
          <xdr:nvSpPr>
            <xdr:cNvPr id="0" name=""/>
            <xdr:cNvSpPr>
              <a:spLocks noTextEdit="1"/>
            </xdr:cNvSpPr>
          </xdr:nvSpPr>
          <xdr:spPr>
            <a:xfrm>
              <a:off x="19820855" y="15630"/>
              <a:ext cx="1818576" cy="2465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747152</xdr:colOff>
      <xdr:row>22</xdr:row>
      <xdr:rowOff>45915</xdr:rowOff>
    </xdr:from>
    <xdr:to>
      <xdr:col>5</xdr:col>
      <xdr:colOff>2568682</xdr:colOff>
      <xdr:row>36</xdr:row>
      <xdr:rowOff>28574</xdr:rowOff>
    </xdr:to>
    <mc:AlternateContent xmlns:mc="http://schemas.openxmlformats.org/markup-compatibility/2006" xmlns:a14="http://schemas.microsoft.com/office/drawing/2010/main">
      <mc:Choice Requires="a14">
        <xdr:graphicFrame macro="">
          <xdr:nvGraphicFramePr>
            <xdr:cNvPr id="29" name="campaign_name">
              <a:extLst>
                <a:ext uri="{FF2B5EF4-FFF2-40B4-BE49-F238E27FC236}">
                  <a16:creationId xmlns:a16="http://schemas.microsoft.com/office/drawing/2014/main" id="{6A566C39-FE5A-CE03-A1C2-27AD3B1EB1C3}"/>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9377245" y="3944520"/>
              <a:ext cx="1821530" cy="2463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826477</xdr:colOff>
      <xdr:row>28</xdr:row>
      <xdr:rowOff>113909</xdr:rowOff>
    </xdr:from>
    <xdr:to>
      <xdr:col>16</xdr:col>
      <xdr:colOff>961110</xdr:colOff>
      <xdr:row>42</xdr:row>
      <xdr:rowOff>96569</xdr:rowOff>
    </xdr:to>
    <mc:AlternateContent xmlns:mc="http://schemas.openxmlformats.org/markup-compatibility/2006" xmlns:a14="http://schemas.microsoft.com/office/drawing/2010/main">
      <mc:Choice Requires="a14">
        <xdr:graphicFrame macro="">
          <xdr:nvGraphicFramePr>
            <xdr:cNvPr id="4" name="ROI status 1">
              <a:extLst>
                <a:ext uri="{FF2B5EF4-FFF2-40B4-BE49-F238E27FC236}">
                  <a16:creationId xmlns:a16="http://schemas.microsoft.com/office/drawing/2014/main" id="{E3914C88-45E1-0311-8BA9-9219B1A1FF0D}"/>
                </a:ext>
              </a:extLst>
            </xdr:cNvPr>
            <xdr:cNvGraphicFramePr/>
          </xdr:nvGraphicFramePr>
          <xdr:xfrm>
            <a:off x="0" y="0"/>
            <a:ext cx="0" cy="0"/>
          </xdr:xfrm>
          <a:graphic>
            <a:graphicData uri="http://schemas.microsoft.com/office/drawing/2010/slicer">
              <sle:slicer xmlns:sle="http://schemas.microsoft.com/office/drawing/2010/slicer" name="ROI status 1"/>
            </a:graphicData>
          </a:graphic>
        </xdr:graphicFrame>
      </mc:Choice>
      <mc:Fallback xmlns="">
        <xdr:sp macro="" textlink="">
          <xdr:nvSpPr>
            <xdr:cNvPr id="0" name=""/>
            <xdr:cNvSpPr>
              <a:spLocks noTextEdit="1"/>
            </xdr:cNvSpPr>
          </xdr:nvSpPr>
          <xdr:spPr>
            <a:xfrm>
              <a:off x="24997826" y="5075769"/>
              <a:ext cx="1818121" cy="2463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293784</xdr:colOff>
      <xdr:row>3</xdr:row>
      <xdr:rowOff>103253</xdr:rowOff>
    </xdr:from>
    <xdr:ext cx="4351174" cy="701377"/>
    <xdr:sp macro="" textlink="">
      <xdr:nvSpPr>
        <xdr:cNvPr id="2" name="TextBox 1">
          <a:extLst>
            <a:ext uri="{FF2B5EF4-FFF2-40B4-BE49-F238E27FC236}">
              <a16:creationId xmlns:a16="http://schemas.microsoft.com/office/drawing/2014/main" id="{8E5FDB14-FBF8-140C-73EC-FC0642D0D8B8}"/>
            </a:ext>
          </a:extLst>
        </xdr:cNvPr>
        <xdr:cNvSpPr txBox="1"/>
      </xdr:nvSpPr>
      <xdr:spPr>
        <a:xfrm>
          <a:off x="293784" y="654096"/>
          <a:ext cx="4351174" cy="701377"/>
        </a:xfrm>
        <a:prstGeom prst="rect">
          <a:avLst/>
        </a:prstGeom>
        <a:solidFill>
          <a:schemeClr val="tx2">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i="0" u="none" strike="noStrike" cap="none" spc="0">
              <a:ln w="10160">
                <a:solidFill>
                  <a:schemeClr val="tx1">
                    <a:lumMod val="75000"/>
                    <a:lumOff val="25000"/>
                  </a:schemeClr>
                </a:solidFill>
                <a:prstDash val="solid"/>
              </a:ln>
              <a:solidFill>
                <a:schemeClr val="tx1"/>
              </a:solidFill>
              <a:effectLst>
                <a:outerShdw blurRad="38100" dist="22860" dir="5400000" algn="tl" rotWithShape="0">
                  <a:srgbClr val="000000">
                    <a:alpha val="30000"/>
                  </a:srgbClr>
                </a:outerShdw>
              </a:effectLst>
              <a:latin typeface="+mn-lt"/>
              <a:ea typeface="+mn-ea"/>
              <a:cs typeface="+mn-cs"/>
            </a:rPr>
            <a:t>Average of Adjusted ROI</a:t>
          </a:r>
          <a:r>
            <a:rPr lang="en-US" sz="1600" b="1" cap="none" spc="0">
              <a:ln w="10160">
                <a:solidFill>
                  <a:schemeClr val="tx1">
                    <a:lumMod val="75000"/>
                    <a:lumOff val="25000"/>
                  </a:schemeClr>
                </a:solidFill>
                <a:prstDash val="solid"/>
              </a:ln>
              <a:solidFill>
                <a:schemeClr val="tx1"/>
              </a:solidFill>
              <a:effectLst>
                <a:outerShdw blurRad="38100" dist="22860" dir="5400000" algn="tl" rotWithShape="0">
                  <a:srgbClr val="000000">
                    <a:alpha val="30000"/>
                  </a:srgbClr>
                </a:outerShdw>
              </a:effectLst>
            </a:rPr>
            <a:t> </a:t>
          </a:r>
          <a:endParaRPr lang="ar-EG" sz="1600" b="1" cap="none" spc="0">
            <a:ln w="10160">
              <a:solidFill>
                <a:schemeClr val="tx1">
                  <a:lumMod val="75000"/>
                  <a:lumOff val="25000"/>
                </a:schemeClr>
              </a:solidFill>
              <a:prstDash val="solid"/>
            </a:ln>
            <a:solidFill>
              <a:schemeClr val="tx1"/>
            </a:solidFill>
            <a:effectLst>
              <a:outerShdw blurRad="38100" dist="22860" dir="5400000" algn="tl" rotWithShape="0">
                <a:srgbClr val="000000">
                  <a:alpha val="30000"/>
                </a:srgbClr>
              </a:outerShdw>
            </a:effectLst>
          </a:endParaRPr>
        </a:p>
        <a:p>
          <a:pPr algn="ctr"/>
          <a:r>
            <a:rPr lang="ar-EG" sz="1400" b="1" i="0" u="none" strike="noStrike" cap="none" spc="0">
              <a:ln w="10160">
                <a:solidFill>
                  <a:schemeClr val="tx1">
                    <a:lumMod val="75000"/>
                    <a:lumOff val="25000"/>
                  </a:schemeClr>
                </a:solidFill>
                <a:prstDash val="solid"/>
              </a:ln>
              <a:solidFill>
                <a:schemeClr val="tx1"/>
              </a:solidFill>
              <a:effectLst>
                <a:outerShdw blurRad="38100" dist="22860" dir="5400000" algn="tl" rotWithShape="0">
                  <a:srgbClr val="000000">
                    <a:alpha val="30000"/>
                  </a:srgbClr>
                </a:outerShdw>
              </a:effectLst>
              <a:latin typeface="+mn-lt"/>
              <a:ea typeface="+mn-ea"/>
              <a:cs typeface="+mn-cs"/>
            </a:rPr>
            <a:t> </a:t>
          </a:r>
          <a:r>
            <a:rPr lang="en-US" sz="1400" b="1" i="0" u="none" strike="noStrike" cap="none" spc="0">
              <a:ln w="10160">
                <a:solidFill>
                  <a:schemeClr val="tx1">
                    <a:lumMod val="75000"/>
                    <a:lumOff val="25000"/>
                  </a:schemeClr>
                </a:solidFill>
                <a:prstDash val="solid"/>
              </a:ln>
              <a:solidFill>
                <a:schemeClr val="tx1"/>
              </a:solidFill>
              <a:effectLst>
                <a:outerShdw blurRad="38100" dist="22860" dir="5400000" algn="tl" rotWithShape="0">
                  <a:srgbClr val="000000">
                    <a:alpha val="30000"/>
                  </a:srgbClr>
                </a:outerShdw>
              </a:effectLst>
              <a:latin typeface="+mn-lt"/>
              <a:ea typeface="+mn-ea"/>
              <a:cs typeface="+mn-cs"/>
            </a:rPr>
            <a:t>6.624574012</a:t>
          </a:r>
          <a:r>
            <a:rPr lang="en-US" sz="1400" b="1" cap="none" spc="0">
              <a:ln w="10160">
                <a:solidFill>
                  <a:schemeClr val="tx1">
                    <a:lumMod val="75000"/>
                    <a:lumOff val="25000"/>
                  </a:schemeClr>
                </a:solidFill>
                <a:prstDash val="solid"/>
              </a:ln>
              <a:solidFill>
                <a:schemeClr val="tx1"/>
              </a:solidFill>
              <a:effectLst>
                <a:outerShdw blurRad="38100" dist="22860" dir="5400000" algn="tl" rotWithShape="0">
                  <a:srgbClr val="000000">
                    <a:alpha val="30000"/>
                  </a:srgbClr>
                </a:outerShdw>
              </a:effectLst>
            </a:rPr>
            <a:t> </a:t>
          </a:r>
        </a:p>
      </xdr:txBody>
    </xdr:sp>
    <xdr:clientData/>
  </xdr:oneCellAnchor>
  <xdr:oneCellAnchor>
    <xdr:from>
      <xdr:col>7</xdr:col>
      <xdr:colOff>425533</xdr:colOff>
      <xdr:row>3</xdr:row>
      <xdr:rowOff>105929</xdr:rowOff>
    </xdr:from>
    <xdr:ext cx="5165766" cy="698702"/>
    <xdr:sp macro="" textlink="">
      <xdr:nvSpPr>
        <xdr:cNvPr id="3" name="TextBox 2">
          <a:extLst>
            <a:ext uri="{FF2B5EF4-FFF2-40B4-BE49-F238E27FC236}">
              <a16:creationId xmlns:a16="http://schemas.microsoft.com/office/drawing/2014/main" id="{967F8DE5-DC72-1E65-98ED-582F88C8970D}"/>
            </a:ext>
          </a:extLst>
        </xdr:cNvPr>
        <xdr:cNvSpPr txBox="1"/>
      </xdr:nvSpPr>
      <xdr:spPr>
        <a:xfrm>
          <a:off x="4720442" y="640319"/>
          <a:ext cx="5165766" cy="698702"/>
        </a:xfrm>
        <a:prstGeom prst="rect">
          <a:avLst/>
        </a:prstGeom>
        <a:solidFill>
          <a:schemeClr val="tx2">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i="0" u="none" strike="noStrike">
              <a:ln>
                <a:solidFill>
                  <a:schemeClr val="tx1">
                    <a:lumMod val="75000"/>
                    <a:lumOff val="25000"/>
                  </a:schemeClr>
                </a:solidFill>
              </a:ln>
              <a:solidFill>
                <a:schemeClr val="tx1"/>
              </a:solidFill>
              <a:effectLst/>
              <a:latin typeface="+mn-lt"/>
              <a:ea typeface="+mn-ea"/>
              <a:cs typeface="+mn-cs"/>
            </a:rPr>
            <a:t>Sum of Adjusted revenue</a:t>
          </a:r>
          <a:r>
            <a:rPr lang="en-US" sz="1600">
              <a:ln>
                <a:solidFill>
                  <a:schemeClr val="tx1">
                    <a:lumMod val="75000"/>
                    <a:lumOff val="25000"/>
                  </a:schemeClr>
                </a:solidFill>
              </a:ln>
              <a:solidFill>
                <a:schemeClr val="tx1"/>
              </a:solidFill>
            </a:rPr>
            <a:t> </a:t>
          </a:r>
          <a:endParaRPr lang="en-US" sz="1600" b="1" i="0" u="none" strike="noStrike">
            <a:ln>
              <a:solidFill>
                <a:schemeClr val="tx1">
                  <a:lumMod val="75000"/>
                  <a:lumOff val="25000"/>
                </a:schemeClr>
              </a:solidFill>
            </a:ln>
            <a:solidFill>
              <a:schemeClr val="tx1"/>
            </a:solidFill>
            <a:effectLst/>
            <a:latin typeface="+mn-lt"/>
            <a:ea typeface="+mn-ea"/>
            <a:cs typeface="+mn-cs"/>
          </a:endParaRPr>
        </a:p>
        <a:p>
          <a:pPr algn="ctr"/>
          <a:r>
            <a:rPr lang="en-US" sz="1400" b="1" i="0" u="none" strike="noStrike">
              <a:ln>
                <a:solidFill>
                  <a:schemeClr val="tx1">
                    <a:lumMod val="75000"/>
                    <a:lumOff val="25000"/>
                  </a:schemeClr>
                </a:solidFill>
              </a:ln>
              <a:solidFill>
                <a:schemeClr val="tx1"/>
              </a:solidFill>
              <a:effectLst/>
              <a:latin typeface="+mn-lt"/>
              <a:ea typeface="+mn-ea"/>
              <a:cs typeface="+mn-cs"/>
            </a:rPr>
            <a:t>337030287.3</a:t>
          </a:r>
          <a:r>
            <a:rPr lang="en-US" sz="1400" b="1">
              <a:ln>
                <a:solidFill>
                  <a:schemeClr val="tx1">
                    <a:lumMod val="75000"/>
                    <a:lumOff val="25000"/>
                  </a:schemeClr>
                </a:solidFill>
              </a:ln>
              <a:solidFill>
                <a:schemeClr val="tx1"/>
              </a:solidFill>
            </a:rPr>
            <a:t> </a:t>
          </a:r>
        </a:p>
      </xdr:txBody>
    </xdr:sp>
    <xdr:clientData/>
  </xdr:oneCellAnchor>
  <xdr:oneCellAnchor>
    <xdr:from>
      <xdr:col>16</xdr:col>
      <xdr:colOff>146537</xdr:colOff>
      <xdr:row>3</xdr:row>
      <xdr:rowOff>98714</xdr:rowOff>
    </xdr:from>
    <xdr:ext cx="5392617" cy="700588"/>
    <xdr:sp macro="" textlink="">
      <xdr:nvSpPr>
        <xdr:cNvPr id="4" name="TextBox 3">
          <a:extLst>
            <a:ext uri="{FF2B5EF4-FFF2-40B4-BE49-F238E27FC236}">
              <a16:creationId xmlns:a16="http://schemas.microsoft.com/office/drawing/2014/main" id="{45D0A7B6-B81A-4FCA-DA62-C14D53F4A2A9}"/>
            </a:ext>
          </a:extLst>
        </xdr:cNvPr>
        <xdr:cNvSpPr txBox="1"/>
      </xdr:nvSpPr>
      <xdr:spPr>
        <a:xfrm>
          <a:off x="9837614" y="655560"/>
          <a:ext cx="5392617" cy="700588"/>
        </a:xfrm>
        <a:prstGeom prst="rect">
          <a:avLst/>
        </a:prstGeom>
        <a:solidFill>
          <a:schemeClr val="tx2">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i="0" u="none" strike="noStrike">
              <a:ln>
                <a:solidFill>
                  <a:schemeClr val="tx1">
                    <a:lumMod val="75000"/>
                    <a:lumOff val="25000"/>
                  </a:schemeClr>
                </a:solidFill>
              </a:ln>
              <a:solidFill>
                <a:schemeClr val="tx1"/>
              </a:solidFill>
              <a:effectLst/>
              <a:latin typeface="+mn-lt"/>
              <a:ea typeface="+mn-ea"/>
              <a:cs typeface="+mn-cs"/>
            </a:rPr>
            <a:t>Sum of budget</a:t>
          </a:r>
          <a:r>
            <a:rPr lang="en-US" sz="1600">
              <a:ln>
                <a:solidFill>
                  <a:schemeClr val="tx1">
                    <a:lumMod val="75000"/>
                    <a:lumOff val="25000"/>
                  </a:schemeClr>
                </a:solidFill>
              </a:ln>
              <a:solidFill>
                <a:schemeClr val="tx1"/>
              </a:solidFill>
            </a:rPr>
            <a:t> </a:t>
          </a:r>
          <a:br>
            <a:rPr lang="en-US">
              <a:ln>
                <a:solidFill>
                  <a:schemeClr val="tx1">
                    <a:lumMod val="75000"/>
                    <a:lumOff val="25000"/>
                  </a:schemeClr>
                </a:solidFill>
              </a:ln>
              <a:solidFill>
                <a:schemeClr val="tx1"/>
              </a:solidFill>
            </a:rPr>
          </a:br>
          <a:r>
            <a:rPr lang="en-US" sz="1400" b="1" i="0" u="none" strike="noStrike">
              <a:ln>
                <a:solidFill>
                  <a:schemeClr val="tx1">
                    <a:lumMod val="75000"/>
                    <a:lumOff val="25000"/>
                  </a:schemeClr>
                </a:solidFill>
              </a:ln>
              <a:solidFill>
                <a:schemeClr val="tx1"/>
              </a:solidFill>
              <a:effectLst/>
              <a:latin typeface="+mn-lt"/>
              <a:ea typeface="+mn-ea"/>
              <a:cs typeface="+mn-cs"/>
            </a:rPr>
            <a:t>49549580.91</a:t>
          </a:r>
          <a:r>
            <a:rPr lang="en-US" sz="1400" b="1">
              <a:ln>
                <a:solidFill>
                  <a:schemeClr val="tx1">
                    <a:lumMod val="75000"/>
                    <a:lumOff val="25000"/>
                  </a:schemeClr>
                </a:solidFill>
              </a:ln>
              <a:solidFill>
                <a:schemeClr val="tx1"/>
              </a:solidFill>
            </a:rPr>
            <a:t> </a:t>
          </a:r>
        </a:p>
      </xdr:txBody>
    </xdr:sp>
    <xdr:clientData/>
  </xdr:oneCellAnchor>
  <xdr:twoCellAnchor>
    <xdr:from>
      <xdr:col>0</xdr:col>
      <xdr:colOff>283807</xdr:colOff>
      <xdr:row>7</xdr:row>
      <xdr:rowOff>87895</xdr:rowOff>
    </xdr:from>
    <xdr:to>
      <xdr:col>6</xdr:col>
      <xdr:colOff>522939</xdr:colOff>
      <xdr:row>19</xdr:row>
      <xdr:rowOff>59421</xdr:rowOff>
    </xdr:to>
    <xdr:graphicFrame macro="">
      <xdr:nvGraphicFramePr>
        <xdr:cNvPr id="5" name="Chart 1">
          <a:extLst>
            <a:ext uri="{FF2B5EF4-FFF2-40B4-BE49-F238E27FC236}">
              <a16:creationId xmlns:a16="http://schemas.microsoft.com/office/drawing/2014/main" id="{CD85CFC4-E3A5-44EB-0E22-EB4F869B1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541664</xdr:colOff>
      <xdr:row>7</xdr:row>
      <xdr:rowOff>91807</xdr:rowOff>
    </xdr:from>
    <xdr:to>
      <xdr:col>13</xdr:col>
      <xdr:colOff>540238</xdr:colOff>
      <xdr:row>19</xdr:row>
      <xdr:rowOff>64264</xdr:rowOff>
    </xdr:to>
    <xdr:graphicFrame macro="">
      <xdr:nvGraphicFramePr>
        <xdr:cNvPr id="6" name="Chart 2">
          <a:extLst>
            <a:ext uri="{FF2B5EF4-FFF2-40B4-BE49-F238E27FC236}">
              <a16:creationId xmlns:a16="http://schemas.microsoft.com/office/drawing/2014/main" id="{BBB386B2-A3CB-FDBD-4ACE-CFD707379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284602</xdr:colOff>
      <xdr:row>19</xdr:row>
      <xdr:rowOff>73445</xdr:rowOff>
    </xdr:from>
    <xdr:to>
      <xdr:col>6</xdr:col>
      <xdr:colOff>532727</xdr:colOff>
      <xdr:row>32</xdr:row>
      <xdr:rowOff>48089</xdr:rowOff>
    </xdr:to>
    <xdr:graphicFrame macro="">
      <xdr:nvGraphicFramePr>
        <xdr:cNvPr id="7" name="Chart 3">
          <a:extLst>
            <a:ext uri="{FF2B5EF4-FFF2-40B4-BE49-F238E27FC236}">
              <a16:creationId xmlns:a16="http://schemas.microsoft.com/office/drawing/2014/main" id="{958B41F6-1BB5-11FB-29E4-A2949557C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541537</xdr:colOff>
      <xdr:row>19</xdr:row>
      <xdr:rowOff>85332</xdr:rowOff>
    </xdr:from>
    <xdr:to>
      <xdr:col>13</xdr:col>
      <xdr:colOff>533114</xdr:colOff>
      <xdr:row>32</xdr:row>
      <xdr:rowOff>44943</xdr:rowOff>
    </xdr:to>
    <xdr:graphicFrame macro="">
      <xdr:nvGraphicFramePr>
        <xdr:cNvPr id="8" name="Chart 5">
          <a:extLst>
            <a:ext uri="{FF2B5EF4-FFF2-40B4-BE49-F238E27FC236}">
              <a16:creationId xmlns:a16="http://schemas.microsoft.com/office/drawing/2014/main" id="{72B9AD6A-CF05-0584-A6E8-F5ACB11D4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557857</xdr:colOff>
      <xdr:row>7</xdr:row>
      <xdr:rowOff>90241</xdr:rowOff>
    </xdr:from>
    <xdr:to>
      <xdr:col>20</xdr:col>
      <xdr:colOff>3395</xdr:colOff>
      <xdr:row>32</xdr:row>
      <xdr:rowOff>42921</xdr:rowOff>
    </xdr:to>
    <xdr:graphicFrame macro="">
      <xdr:nvGraphicFramePr>
        <xdr:cNvPr id="9" name="Chart 6">
          <a:extLst>
            <a:ext uri="{FF2B5EF4-FFF2-40B4-BE49-F238E27FC236}">
              <a16:creationId xmlns:a16="http://schemas.microsoft.com/office/drawing/2014/main" id="{592F4591-F7EE-59C5-EF2C-A7ADD8C22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605527</xdr:colOff>
      <xdr:row>13</xdr:row>
      <xdr:rowOff>77500</xdr:rowOff>
    </xdr:from>
    <xdr:to>
      <xdr:col>22</xdr:col>
      <xdr:colOff>141471</xdr:colOff>
      <xdr:row>19</xdr:row>
      <xdr:rowOff>179607</xdr:rowOff>
    </xdr:to>
    <mc:AlternateContent xmlns:mc="http://schemas.openxmlformats.org/markup-compatibility/2006" xmlns:a14="http://schemas.microsoft.com/office/drawing/2010/main">
      <mc:Choice Requires="a14">
        <xdr:graphicFrame macro="">
          <xdr:nvGraphicFramePr>
            <xdr:cNvPr id="14" name="channel 4">
              <a:extLst>
                <a:ext uri="{FF2B5EF4-FFF2-40B4-BE49-F238E27FC236}">
                  <a16:creationId xmlns:a16="http://schemas.microsoft.com/office/drawing/2014/main" id="{DA2C8DBE-8346-4BD2-BF2D-7E50D469FC14}"/>
                </a:ext>
              </a:extLst>
            </xdr:cNvPr>
            <xdr:cNvGraphicFramePr/>
          </xdr:nvGraphicFramePr>
          <xdr:xfrm>
            <a:off x="0" y="0"/>
            <a:ext cx="0" cy="0"/>
          </xdr:xfrm>
          <a:graphic>
            <a:graphicData uri="http://schemas.microsoft.com/office/drawing/2010/slicer">
              <sle:slicer xmlns:sle="http://schemas.microsoft.com/office/drawing/2010/slicer" name="channel 4"/>
            </a:graphicData>
          </a:graphic>
        </xdr:graphicFrame>
      </mc:Choice>
      <mc:Fallback xmlns="">
        <xdr:sp macro="" textlink="">
          <xdr:nvSpPr>
            <xdr:cNvPr id="0" name=""/>
            <xdr:cNvSpPr>
              <a:spLocks noTextEdit="1"/>
            </xdr:cNvSpPr>
          </xdr:nvSpPr>
          <xdr:spPr>
            <a:xfrm>
              <a:off x="12118154" y="2464488"/>
              <a:ext cx="1353727" cy="1203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3950</xdr:colOff>
      <xdr:row>19</xdr:row>
      <xdr:rowOff>182290</xdr:rowOff>
    </xdr:from>
    <xdr:to>
      <xdr:col>22</xdr:col>
      <xdr:colOff>141787</xdr:colOff>
      <xdr:row>26</xdr:row>
      <xdr:rowOff>184893</xdr:rowOff>
    </xdr:to>
    <mc:AlternateContent xmlns:mc="http://schemas.openxmlformats.org/markup-compatibility/2006" xmlns:a14="http://schemas.microsoft.com/office/drawing/2010/main">
      <mc:Choice Requires="a14">
        <xdr:graphicFrame macro="">
          <xdr:nvGraphicFramePr>
            <xdr:cNvPr id="16" name="type 3">
              <a:extLst>
                <a:ext uri="{FF2B5EF4-FFF2-40B4-BE49-F238E27FC236}">
                  <a16:creationId xmlns:a16="http://schemas.microsoft.com/office/drawing/2014/main" id="{8162BF99-AFC1-4286-AC90-1EC6DAA81E37}"/>
                </a:ext>
              </a:extLst>
            </xdr:cNvPr>
            <xdr:cNvGraphicFramePr/>
          </xdr:nvGraphicFramePr>
          <xdr:xfrm>
            <a:off x="0" y="0"/>
            <a:ext cx="0" cy="0"/>
          </xdr:xfrm>
          <a:graphic>
            <a:graphicData uri="http://schemas.microsoft.com/office/drawing/2010/slicer">
              <sle:slicer xmlns:sle="http://schemas.microsoft.com/office/drawing/2010/slicer" name="type 3"/>
            </a:graphicData>
          </a:graphic>
        </xdr:graphicFrame>
      </mc:Choice>
      <mc:Fallback xmlns="">
        <xdr:sp macro="" textlink="">
          <xdr:nvSpPr>
            <xdr:cNvPr id="0" name=""/>
            <xdr:cNvSpPr>
              <a:spLocks noTextEdit="1"/>
            </xdr:cNvSpPr>
          </xdr:nvSpPr>
          <xdr:spPr>
            <a:xfrm>
              <a:off x="12122504" y="3670965"/>
              <a:ext cx="1349693" cy="128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16035</xdr:colOff>
      <xdr:row>26</xdr:row>
      <xdr:rowOff>184100</xdr:rowOff>
    </xdr:from>
    <xdr:to>
      <xdr:col>22</xdr:col>
      <xdr:colOff>151557</xdr:colOff>
      <xdr:row>32</xdr:row>
      <xdr:rowOff>22884</xdr:rowOff>
    </xdr:to>
    <mc:AlternateContent xmlns:mc="http://schemas.openxmlformats.org/markup-compatibility/2006" xmlns:a14="http://schemas.microsoft.com/office/drawing/2010/main">
      <mc:Choice Requires="a14">
        <xdr:graphicFrame macro="">
          <xdr:nvGraphicFramePr>
            <xdr:cNvPr id="17" name="start_date 3">
              <a:extLst>
                <a:ext uri="{FF2B5EF4-FFF2-40B4-BE49-F238E27FC236}">
                  <a16:creationId xmlns:a16="http://schemas.microsoft.com/office/drawing/2014/main" id="{7ACB573F-E7B2-470F-8D35-9DE72A316E65}"/>
                </a:ext>
              </a:extLst>
            </xdr:cNvPr>
            <xdr:cNvGraphicFramePr/>
          </xdr:nvGraphicFramePr>
          <xdr:xfrm>
            <a:off x="0" y="0"/>
            <a:ext cx="0" cy="0"/>
          </xdr:xfrm>
          <a:graphic>
            <a:graphicData uri="http://schemas.microsoft.com/office/drawing/2010/slicer">
              <sle:slicer xmlns:sle="http://schemas.microsoft.com/office/drawing/2010/slicer" name="start_date 3"/>
            </a:graphicData>
          </a:graphic>
        </xdr:graphicFrame>
      </mc:Choice>
      <mc:Fallback xmlns="">
        <xdr:sp macro="" textlink="">
          <xdr:nvSpPr>
            <xdr:cNvPr id="0" name=""/>
            <xdr:cNvSpPr>
              <a:spLocks noTextEdit="1"/>
            </xdr:cNvSpPr>
          </xdr:nvSpPr>
          <xdr:spPr>
            <a:xfrm>
              <a:off x="12134589" y="4958076"/>
              <a:ext cx="1347378" cy="940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9769</xdr:colOff>
      <xdr:row>7</xdr:row>
      <xdr:rowOff>95283</xdr:rowOff>
    </xdr:from>
    <xdr:to>
      <xdr:col>22</xdr:col>
      <xdr:colOff>145468</xdr:colOff>
      <xdr:row>13</xdr:row>
      <xdr:rowOff>43092</xdr:rowOff>
    </xdr:to>
    <mc:AlternateContent xmlns:mc="http://schemas.openxmlformats.org/markup-compatibility/2006" xmlns:a14="http://schemas.microsoft.com/office/drawing/2010/main">
      <mc:Choice Requires="a14">
        <xdr:graphicFrame macro="">
          <xdr:nvGraphicFramePr>
            <xdr:cNvPr id="18" name="ROI status 3">
              <a:extLst>
                <a:ext uri="{FF2B5EF4-FFF2-40B4-BE49-F238E27FC236}">
                  <a16:creationId xmlns:a16="http://schemas.microsoft.com/office/drawing/2014/main" id="{77ECB112-1BBD-41CC-A6CC-A2CCB7D400F1}"/>
                </a:ext>
              </a:extLst>
            </xdr:cNvPr>
            <xdr:cNvGraphicFramePr/>
          </xdr:nvGraphicFramePr>
          <xdr:xfrm>
            <a:off x="0" y="0"/>
            <a:ext cx="0" cy="0"/>
          </xdr:xfrm>
          <a:graphic>
            <a:graphicData uri="http://schemas.microsoft.com/office/drawing/2010/slicer">
              <sle:slicer xmlns:sle="http://schemas.microsoft.com/office/drawing/2010/slicer" name="ROI status 3"/>
            </a:graphicData>
          </a:graphic>
        </xdr:graphicFrame>
      </mc:Choice>
      <mc:Fallback xmlns="">
        <xdr:sp macro="" textlink="">
          <xdr:nvSpPr>
            <xdr:cNvPr id="0" name=""/>
            <xdr:cNvSpPr>
              <a:spLocks noTextEdit="1"/>
            </xdr:cNvSpPr>
          </xdr:nvSpPr>
          <xdr:spPr>
            <a:xfrm>
              <a:off x="12128323" y="1380584"/>
              <a:ext cx="1347555" cy="1049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275422</xdr:colOff>
      <xdr:row>0</xdr:row>
      <xdr:rowOff>85168</xdr:rowOff>
    </xdr:from>
    <xdr:to>
      <xdr:col>25</xdr:col>
      <xdr:colOff>87923</xdr:colOff>
      <xdr:row>3</xdr:row>
      <xdr:rowOff>85169</xdr:rowOff>
    </xdr:to>
    <xdr:sp macro="" textlink="">
      <xdr:nvSpPr>
        <xdr:cNvPr id="19" name="TextBox 18">
          <a:extLst>
            <a:ext uri="{FF2B5EF4-FFF2-40B4-BE49-F238E27FC236}">
              <a16:creationId xmlns:a16="http://schemas.microsoft.com/office/drawing/2014/main" id="{32B3ED7B-75C7-B5B5-4FC7-0C7CA0BE438B}"/>
            </a:ext>
          </a:extLst>
        </xdr:cNvPr>
        <xdr:cNvSpPr txBox="1"/>
      </xdr:nvSpPr>
      <xdr:spPr>
        <a:xfrm>
          <a:off x="275422" y="85168"/>
          <a:ext cx="14960694" cy="550844"/>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cap="none" spc="0">
              <a:ln w="10160">
                <a:solidFill>
                  <a:schemeClr val="bg2">
                    <a:lumMod val="10000"/>
                  </a:schemeClr>
                </a:solidFill>
                <a:prstDash val="solid"/>
              </a:ln>
              <a:solidFill>
                <a:srgbClr val="FFFFFF"/>
              </a:solidFill>
              <a:effectLst>
                <a:outerShdw blurRad="38100" dist="22860" dir="5400000" algn="tl" rotWithShape="0">
                  <a:srgbClr val="000000">
                    <a:alpha val="30000"/>
                  </a:srgbClr>
                </a:outerShdw>
              </a:effectLst>
            </a:rPr>
            <a:t>Digital marketing</a:t>
          </a:r>
          <a:r>
            <a:rPr lang="en-US" sz="2400" b="1" cap="none" spc="0" baseline="0">
              <a:ln w="10160">
                <a:solidFill>
                  <a:schemeClr val="bg2">
                    <a:lumMod val="10000"/>
                  </a:schemeClr>
                </a:solidFill>
                <a:prstDash val="solid"/>
              </a:ln>
              <a:solidFill>
                <a:srgbClr val="FFFFFF"/>
              </a:solidFill>
              <a:effectLst>
                <a:outerShdw blurRad="38100" dist="22860" dir="5400000" algn="tl" rotWithShape="0">
                  <a:srgbClr val="000000">
                    <a:alpha val="30000"/>
                  </a:srgbClr>
                </a:outerShdw>
              </a:effectLst>
            </a:rPr>
            <a:t> campaigns analysis</a:t>
          </a:r>
          <a:endParaRPr lang="en-US" sz="2400" b="1" cap="none" spc="0">
            <a:ln w="10160">
              <a:solidFill>
                <a:schemeClr val="bg2">
                  <a:lumMod val="10000"/>
                </a:schemeClr>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editAs="oneCell">
    <xdr:from>
      <xdr:col>22</xdr:col>
      <xdr:colOff>169267</xdr:colOff>
      <xdr:row>7</xdr:row>
      <xdr:rowOff>95101</xdr:rowOff>
    </xdr:from>
    <xdr:to>
      <xdr:col>25</xdr:col>
      <xdr:colOff>65027</xdr:colOff>
      <xdr:row>32</xdr:row>
      <xdr:rowOff>9181</xdr:rowOff>
    </xdr:to>
    <mc:AlternateContent xmlns:mc="http://schemas.openxmlformats.org/markup-compatibility/2006" xmlns:a14="http://schemas.microsoft.com/office/drawing/2010/main">
      <mc:Choice Requires="a14">
        <xdr:graphicFrame macro="">
          <xdr:nvGraphicFramePr>
            <xdr:cNvPr id="20" name="campaign_name 1">
              <a:extLst>
                <a:ext uri="{FF2B5EF4-FFF2-40B4-BE49-F238E27FC236}">
                  <a16:creationId xmlns:a16="http://schemas.microsoft.com/office/drawing/2014/main" id="{A87733B8-3061-4909-A40F-EEF2958DB965}"/>
                </a:ext>
              </a:extLst>
            </xdr:cNvPr>
            <xdr:cNvGraphicFramePr/>
          </xdr:nvGraphicFramePr>
          <xdr:xfrm>
            <a:off x="0" y="0"/>
            <a:ext cx="0" cy="0"/>
          </xdr:xfrm>
          <a:graphic>
            <a:graphicData uri="http://schemas.microsoft.com/office/drawing/2010/slicer">
              <sle:slicer xmlns:sle="http://schemas.microsoft.com/office/drawing/2010/slicer" name="campaign_name 1"/>
            </a:graphicData>
          </a:graphic>
        </xdr:graphicFrame>
      </mc:Choice>
      <mc:Fallback xmlns="">
        <xdr:sp macro="" textlink="">
          <xdr:nvSpPr>
            <xdr:cNvPr id="0" name=""/>
            <xdr:cNvSpPr>
              <a:spLocks noTextEdit="1"/>
            </xdr:cNvSpPr>
          </xdr:nvSpPr>
          <xdr:spPr>
            <a:xfrm>
              <a:off x="13499677" y="1380402"/>
              <a:ext cx="1713543" cy="4504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17</xdr:col>
      <xdr:colOff>64570</xdr:colOff>
      <xdr:row>13</xdr:row>
      <xdr:rowOff>9282</xdr:rowOff>
    </xdr:from>
    <xdr:to>
      <xdr:col>20</xdr:col>
      <xdr:colOff>71445</xdr:colOff>
      <xdr:row>27</xdr:row>
      <xdr:rowOff>23820</xdr:rowOff>
    </xdr:to>
    <mc:AlternateContent xmlns:mc="http://schemas.openxmlformats.org/markup-compatibility/2006" xmlns:sle15="http://schemas.microsoft.com/office/drawing/2012/slicer">
      <mc:Choice Requires="sle15">
        <xdr:graphicFrame macro="">
          <xdr:nvGraphicFramePr>
            <xdr:cNvPr id="2" name="start_date 1">
              <a:extLst>
                <a:ext uri="{FF2B5EF4-FFF2-40B4-BE49-F238E27FC236}">
                  <a16:creationId xmlns:a16="http://schemas.microsoft.com/office/drawing/2014/main" id="{243B5B97-C1CA-40B4-FB23-2F73B00AFA15}"/>
                </a:ext>
              </a:extLst>
            </xdr:cNvPr>
            <xdr:cNvGraphicFramePr/>
          </xdr:nvGraphicFramePr>
          <xdr:xfrm>
            <a:off x="0" y="0"/>
            <a:ext cx="0" cy="0"/>
          </xdr:xfrm>
          <a:graphic>
            <a:graphicData uri="http://schemas.microsoft.com/office/drawing/2010/slicer">
              <sle:slicer xmlns:sle="http://schemas.microsoft.com/office/drawing/2010/slicer" name="start_date 1"/>
            </a:graphicData>
          </a:graphic>
        </xdr:graphicFrame>
      </mc:Choice>
      <mc:Fallback xmlns="">
        <xdr:sp macro="" textlink="">
          <xdr:nvSpPr>
            <xdr:cNvPr id="0" name=""/>
            <xdr:cNvSpPr>
              <a:spLocks noTextEdit="1"/>
            </xdr:cNvSpPr>
          </xdr:nvSpPr>
          <xdr:spPr>
            <a:xfrm>
              <a:off x="13837863" y="2392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475533</xdr:colOff>
      <xdr:row>3</xdr:row>
      <xdr:rowOff>25266</xdr:rowOff>
    </xdr:from>
    <xdr:to>
      <xdr:col>21</xdr:col>
      <xdr:colOff>349489</xdr:colOff>
      <xdr:row>11</xdr:row>
      <xdr:rowOff>108857</xdr:rowOff>
    </xdr:to>
    <mc:AlternateContent xmlns:mc="http://schemas.openxmlformats.org/markup-compatibility/2006" xmlns:sle15="http://schemas.microsoft.com/office/drawing/2012/slicer">
      <mc:Choice Requires="sle15">
        <xdr:graphicFrame macro="">
          <xdr:nvGraphicFramePr>
            <xdr:cNvPr id="3" name="type 2">
              <a:extLst>
                <a:ext uri="{FF2B5EF4-FFF2-40B4-BE49-F238E27FC236}">
                  <a16:creationId xmlns:a16="http://schemas.microsoft.com/office/drawing/2014/main" id="{386EFE57-EC84-819C-0FDE-F463011A17B7}"/>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14856135" y="575281"/>
              <a:ext cx="1695880" cy="155029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171019</xdr:colOff>
      <xdr:row>5</xdr:row>
      <xdr:rowOff>150108</xdr:rowOff>
    </xdr:from>
    <xdr:to>
      <xdr:col>18</xdr:col>
      <xdr:colOff>280735</xdr:colOff>
      <xdr:row>13</xdr:row>
      <xdr:rowOff>28647</xdr:rowOff>
    </xdr:to>
    <mc:AlternateContent xmlns:mc="http://schemas.openxmlformats.org/markup-compatibility/2006" xmlns:sle15="http://schemas.microsoft.com/office/drawing/2012/slicer">
      <mc:Choice Requires="sle15">
        <xdr:graphicFrame macro="">
          <xdr:nvGraphicFramePr>
            <xdr:cNvPr id="4" name="channel 1">
              <a:extLst>
                <a:ext uri="{FF2B5EF4-FFF2-40B4-BE49-F238E27FC236}">
                  <a16:creationId xmlns:a16="http://schemas.microsoft.com/office/drawing/2014/main" id="{17F492BE-47CE-D82F-ED28-5928E1063CDC}"/>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2729696" y="1066800"/>
              <a:ext cx="1931641" cy="134524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204193</xdr:colOff>
      <xdr:row>0</xdr:row>
      <xdr:rowOff>28589</xdr:rowOff>
    </xdr:from>
    <xdr:to>
      <xdr:col>18</xdr:col>
      <xdr:colOff>206255</xdr:colOff>
      <xdr:row>5</xdr:row>
      <xdr:rowOff>97398</xdr:rowOff>
    </xdr:to>
    <mc:AlternateContent xmlns:mc="http://schemas.openxmlformats.org/markup-compatibility/2006" xmlns:sle15="http://schemas.microsoft.com/office/drawing/2012/slicer">
      <mc:Choice Requires="sle15">
        <xdr:graphicFrame macro="">
          <xdr:nvGraphicFramePr>
            <xdr:cNvPr id="5" name="ROI status 2">
              <a:extLst>
                <a:ext uri="{FF2B5EF4-FFF2-40B4-BE49-F238E27FC236}">
                  <a16:creationId xmlns:a16="http://schemas.microsoft.com/office/drawing/2014/main" id="{4ED05979-D386-B815-51D9-2F4B5723EAA5}"/>
                </a:ext>
              </a:extLst>
            </xdr:cNvPr>
            <xdr:cNvGraphicFramePr/>
          </xdr:nvGraphicFramePr>
          <xdr:xfrm>
            <a:off x="0" y="0"/>
            <a:ext cx="0" cy="0"/>
          </xdr:xfrm>
          <a:graphic>
            <a:graphicData uri="http://schemas.microsoft.com/office/drawing/2010/slicer">
              <sle:slicer xmlns:sle="http://schemas.microsoft.com/office/drawing/2010/slicer" name="ROI status 2"/>
            </a:graphicData>
          </a:graphic>
        </xdr:graphicFrame>
      </mc:Choice>
      <mc:Fallback xmlns="">
        <xdr:sp macro="" textlink="">
          <xdr:nvSpPr>
            <xdr:cNvPr id="0" name=""/>
            <xdr:cNvSpPr>
              <a:spLocks noTextEdit="1"/>
            </xdr:cNvSpPr>
          </xdr:nvSpPr>
          <xdr:spPr>
            <a:xfrm>
              <a:off x="12762870" y="28589"/>
              <a:ext cx="1823987" cy="98550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ad medhat" refreshedDate="45891.718136342592" createdVersion="8" refreshedVersion="8" minRefreshableVersion="3" recordCount="1001" xr:uid="{D5E5FF4C-6B35-46D0-B7C2-D7A6D7943295}">
  <cacheSource type="worksheet">
    <worksheetSource ref="A1:O1048576" sheet="marketing_campaigns"/>
  </cacheSource>
  <cacheFields count="18">
    <cacheField name="campaign_name" numFmtId="0">
      <sharedItems containsBlank="1" count="1000">
        <s v="Public-key multi-tasking throughput"/>
        <s v="De-engineered analyzing task-force"/>
        <s v="Balanced solution-oriented Local Area Network"/>
        <s v="Distributed real-time methodology"/>
        <s v="Front-line executive infrastructure"/>
        <s v="Upgradable transitional data-warehouse"/>
        <s v="Innovative context-sensitive framework"/>
        <s v="User-friendly client-driven service-desk"/>
        <s v="Proactive neutral methodology"/>
        <s v="Intuitive responsive support"/>
        <s v="Multi-lateral dedicated workforce"/>
        <s v="Cross-platform demand-driven encoding"/>
        <s v="Networked even-keeled toolset"/>
        <s v="Optional actuating standardization"/>
        <s v="Innovative web-enabled function"/>
        <s v="Configurable methodical service-desk"/>
        <s v="Cross-group empowering attitude"/>
        <s v="Intuitive didactic installation"/>
        <s v="Fundamental dedicated encryption"/>
        <s v="De-engineered 4thgeneration moratorium"/>
        <s v="Managed upward-trending website"/>
        <s v="Self-enabling human-resource infrastructure"/>
        <s v="Cross-platform 24/7 archive"/>
        <s v="Future-proofed local forecast"/>
        <s v="Horizontal hybrid instruction set"/>
        <s v="Inverse contextually-based neural-net"/>
        <s v="Polarized hybrid system engine"/>
        <s v="Managed analyzing service-desk"/>
        <s v="Seamless clear-thinking product"/>
        <s v="Networked local adapter"/>
        <s v="Open-architected neutral open system"/>
        <s v="Secured optimal website"/>
        <s v="Seamless zero-defect portal"/>
        <s v="Configurable eco-centric capability"/>
        <s v="Customizable directional paradigm"/>
        <s v="Cross-platform holistic encryption"/>
        <s v="Vision-oriented encompassing system engine"/>
        <s v="Ergonomic next generation throughput"/>
        <s v="Vision-oriented 4thgeneration conglomeration"/>
        <s v="Ameliorated secondary data-warehouse"/>
        <s v="Programmable executive workforce"/>
        <s v="Cross-group user-facing application"/>
        <s v="Secured systematic architecture"/>
        <s v="Seamless bifurcated firmware"/>
        <s v="Intuitive directional website"/>
        <s v="Mandatory incremental throughput"/>
        <s v="Organic 24/7 secured line"/>
        <s v="User-friendly analyzing moratorium"/>
        <s v="Programmable discrete intranet"/>
        <s v="Future-proofed empowering forecast"/>
        <s v="Re-engineered solution-oriented core"/>
        <s v="Diverse grid-enabled forecast"/>
        <s v="Function-based motivating functionalities"/>
        <s v="User-centric holistic firmware"/>
        <s v="Virtual real-time architecture"/>
        <s v="Open-source 6thgeneration secured line"/>
        <s v="Reduced leadingedge architecture"/>
        <s v="Fully-configurable 24/7 knowledgebase"/>
        <s v="Organic 4thgeneration neural-net"/>
        <s v="Centralized 3rdgeneration budgetary management"/>
        <s v="Persevering web-enabled workforce"/>
        <s v="Multi-channeled high-level interface"/>
        <s v="Re-contextualized high-level project"/>
        <s v="Right-sized tangible product"/>
        <s v="Diverse leadingedge initiative"/>
        <s v="Intuitive transitional hardware"/>
        <s v="Diverse 6thgeneration superstructure"/>
        <s v="Enhanced 4thgeneration hierarchy"/>
        <s v="Function-based systematic emulation"/>
        <s v="Managed asymmetric array"/>
        <s v="Enterprise-wide mission-critical utilization"/>
        <s v="Adaptive clear-thinking methodology"/>
        <s v="Networked zero administration model"/>
        <s v="Seamless well-modulated open architecture"/>
        <s v="Exclusive radical installation"/>
        <s v="Intuitive bottom-line algorithm"/>
        <s v="Compatible stable extranet"/>
        <s v="Progressive secondary synergy"/>
        <s v="Sharable next generation ability"/>
        <s v="Devolved value-added support"/>
        <s v="Front-line full-range matrices"/>
        <s v="Grass-roots foreground firmware"/>
        <s v="Implemented reciprocal monitoring"/>
        <s v="Reverse-engineered foreground approach"/>
        <s v="Open-source maximized projection"/>
        <s v="Intuitive object-oriented moratorium"/>
        <s v="Virtual 4thgeneration Graphical User Interface"/>
        <s v="Reactive multi-tasking extranet"/>
        <s v="Enhanced heuristic archive"/>
        <s v="Stand-alone bandwidth-monitored capability"/>
        <s v="Open-source coherent archive"/>
        <s v="Future-proofed coherent core"/>
        <s v="Decentralized radical emulation"/>
        <s v="Team-oriented content-based data-warehouse"/>
        <s v="Expanded tangible capacity"/>
        <s v="Secured methodical system engine"/>
        <s v="Synergistic well-modulated conglomeration"/>
        <s v="Programmable dedicated ability"/>
        <s v="Public-key dynamic synergy"/>
        <s v="Synergistic actuating benchmark"/>
        <s v="Optional client-driven approach"/>
        <s v="Cloned exuding matrices"/>
        <s v="Expanded zero tolerance adapter"/>
        <s v="Persistent incremental installation"/>
        <s v="Integrated full-range encoding"/>
        <s v="Total system-worthy framework"/>
        <s v="Persistent disintermediate artificial intelligence"/>
        <s v="Self-enabling explicit interface"/>
        <s v="User-centric responsive software"/>
        <s v="Enterprise-wide bottom-line forecast"/>
        <s v="Upgradable transitional productivity"/>
        <s v="Assimilated asynchronous project"/>
        <s v="Reverse-engineered 4thgeneration alliance"/>
        <s v="Networked bi-directional help-desk"/>
        <s v="Diverse exuding superstructure"/>
        <s v="Organized directional service-desk"/>
        <s v="Balanced 24hour intranet"/>
        <s v="Reactive well-modulated portal"/>
        <s v="Realigned intangible application"/>
        <s v="Front-line web-enabled orchestration"/>
        <s v="Polarized upward-trending frame"/>
        <s v="Persevering content-based archive"/>
        <s v="De-engineered content-based budgetary management"/>
        <s v="Inverse well-modulated forecast"/>
        <s v="Progressive web-enabled concept"/>
        <s v="Visionary 4thgeneration help-desk"/>
        <s v="Up-sized attitude-oriented task-force"/>
        <s v="Sharable secondary migration"/>
        <s v="Quality-focused methodical policy"/>
        <s v="Distributed multimedia encryption"/>
        <s v="Switchable user-facing archive"/>
        <s v="Virtual bottom-line parallelism"/>
        <s v="Customer-focused mobile Graphic Interface"/>
        <s v="Networked asynchronous standardization"/>
        <s v="Persevering coherent concept"/>
        <s v="Secured systemic groupware"/>
        <s v="Team-oriented motivating productivity"/>
        <s v="Seamless exuding model"/>
        <s v="Cross-platform bandwidth-monitored model"/>
        <s v="Face-to-face high-level synergy"/>
        <s v="Compatible eco-centric access"/>
        <s v="Down-sized web-enabled data-warehouse"/>
        <s v="Streamlined non-volatile projection"/>
        <s v="Synergized client-driven algorithm"/>
        <s v="Cross-platform composite matrix"/>
        <s v="Networked background utilization"/>
        <s v="Quality-focused composite challenge"/>
        <s v="Enhanced asymmetric open system"/>
        <s v="Innovative hybrid time-frame"/>
        <s v="Re-engineered intangible intranet"/>
        <s v="Multi-channeled zero administration software"/>
        <s v="Universal national adapter"/>
        <s v="Centralized system-worthy knowledgebase"/>
        <s v="Open-architected asymmetric time-frame"/>
        <s v="Centralized leadingedge Local Area Network"/>
        <s v="Organized needs-based conglomeration"/>
        <s v="Optional secondary collaboration"/>
        <s v="Synchronized client-driven challenge"/>
        <s v="Enterprise-wide zero administration Graphic Interface"/>
        <s v="Programmable local moratorium"/>
        <s v="Networked systematic attitude"/>
        <s v="Pre-emptive solution-oriented standardization"/>
        <s v="Down-sized contextually-based strategy"/>
        <s v="Reverse-engineered zero administration workforce"/>
        <s v="Pre-emptive real-time database"/>
        <s v="Business-focused foreground budgetary management"/>
        <s v="Stand-alone multi-tasking methodology"/>
        <s v="Proactive eco-centric process improvement"/>
        <s v="Digitized human-resource knowledge user"/>
        <s v="Ergonomic next generation hub"/>
        <s v="Realigned radical hardware"/>
        <s v="Grass-roots national approach"/>
        <s v="Synergistic mobile task-force"/>
        <s v="Customer-focused fault-tolerant help-desk"/>
        <s v="Face-to-face 6thgeneration portal"/>
        <s v="Ameliorated encompassing capacity"/>
        <s v="Digitized optimizing capability"/>
        <s v="Triple-buffered zero tolerance circuit"/>
        <s v="Open-source background firmware"/>
        <s v="Expanded global matrices"/>
        <s v="Organized regional implementation"/>
        <s v="Realigned stable parallelism"/>
        <s v="Networked executive knowledgebase"/>
        <s v="Multi-tiered neutral standardization"/>
        <s v="Virtual cohesive orchestration"/>
        <s v="Progressive 4thgeneration policy"/>
        <s v="Monitored impactful installation"/>
        <s v="Automated responsive initiative"/>
        <s v="Function-based grid-enabled conglomeration"/>
        <s v="Polarized dynamic analyzer"/>
        <s v="Centralized methodical alliance"/>
        <s v="Visionary directional open architecture"/>
        <s v="Reduced static functionalities"/>
        <s v="Sharable upward-trending initiative"/>
        <s v="Front-line eco-centric open system"/>
        <s v="Managed bandwidth-monitored complexity"/>
        <s v="Re-engineered non-volatile algorithm"/>
        <s v="Integrated secondary migration"/>
        <s v="Horizontal 6thgeneration model"/>
        <s v="Robust optimizing projection"/>
        <s v="Right-sized scalable open architecture"/>
        <s v="Optional mission-critical project"/>
        <s v="Focused responsive open architecture"/>
        <s v="Reverse-engineered static infrastructure"/>
        <s v="Monitored grid-enabled productivity"/>
        <s v="Cross-group foreground ability"/>
        <s v="Switchable mobile toolset"/>
        <s v="Front-line mobile ability"/>
        <s v="Optional systemic adapter"/>
        <s v="User-friendly responsive parallelism"/>
        <s v="Mandatory grid-enabled throughput"/>
        <s v="Phased dynamic throughput"/>
        <s v="Pre-emptive mobile Local Area Network"/>
        <s v="Decentralized zero-defect superstructure"/>
        <s v="Distributed grid-enabled focus group"/>
        <s v="Monitored global leverage"/>
        <s v="Secured exuding hardware"/>
        <s v="Re-engineered content-based projection"/>
        <s v="Compatible explicit hierarchy"/>
        <s v="Reduced holistic groupware"/>
        <s v="Organic national application"/>
        <s v="Configurable multi-tasking projection"/>
        <s v="Open-source zero-defect groupware"/>
        <s v="Extended multi-tasking focus group"/>
        <s v="Reverse-engineered 4thgeneration adapter"/>
        <s v="Open-source heuristic methodology"/>
        <s v="Diverse interactive functionalities"/>
        <s v="Ameliorated leadingedge moratorium"/>
        <s v="Distributed web-enabled matrix"/>
        <s v="Horizontal full-range complexity"/>
        <s v="Re-engineered optimizing definition"/>
        <s v="Horizontal regional implementation"/>
        <s v="Robust eco-centric service-desk"/>
        <s v="Expanded radical array"/>
        <s v="Cross-group interactive matrix"/>
        <s v="Digitized full-range moderator"/>
        <s v="Programmable dedicated Graphical User Interface"/>
        <s v="Total secondary attitude"/>
        <s v="User-friendly coherent software"/>
        <s v="Grass-roots global attitude"/>
        <s v="Decentralized incremental synergy"/>
        <s v="Virtual executive alliance"/>
        <s v="Distributed content-based service-desk"/>
        <s v="Customizable real-time toolset"/>
        <s v="Cross-group discrete implementation"/>
        <s v="Secured object-oriented contingency"/>
        <s v="Re-contextualized needs-based function"/>
        <s v="Face-to-face optimal capacity"/>
        <s v="Assimilated analyzing definition"/>
        <s v="Diverse homogeneous approach"/>
        <s v="Persevering non-volatile utilization"/>
        <s v="Down-sized exuding website"/>
        <s v="Persevering zero administration interface"/>
        <s v="Re-contextualized global projection"/>
        <s v="Advanced optimizing portal"/>
        <s v="Total client-driven functionalities"/>
        <s v="Grass-roots reciprocal core"/>
        <s v="Self-enabling reciprocal algorithm"/>
        <s v="Fundamental holistic policy"/>
        <s v="Automated background intranet"/>
        <s v="Diverse modular productivity"/>
        <s v="Down-sized attitude-oriented conglomeration"/>
        <s v="Universal 24hour process improvement"/>
        <s v="Fundamental optimal secured line"/>
        <s v="Reverse-engineered responsive migration"/>
        <s v="Organized hybrid intranet"/>
        <s v="Streamlined intermediate core"/>
        <s v="Re-contextualized regional pricing structure"/>
        <s v="Stand-alone client-driven challenge"/>
        <s v="Reactive client-driven paradigm"/>
        <s v="Object-based composite info-mediaries"/>
        <s v="User-centric discrete algorithm"/>
        <s v="Cloned discrete customer loyalty"/>
        <s v="Function-based motivating algorithm"/>
        <s v="Devolved local Graphic Interface"/>
        <s v="Synergized 24hour strategy"/>
        <s v="Function-based exuding strategy"/>
        <s v="Synergistic intermediate middleware"/>
        <s v="Grass-roots 24/7 orchestration"/>
        <s v="Adaptive needs-based initiative"/>
        <s v="Automated 5thgeneration attitude"/>
        <s v="Mandatory secondary access"/>
        <s v="Digitized analyzing paradigm"/>
        <s v="Object-based intangible artificial intelligence"/>
        <s v="Proactive mission-critical structure"/>
        <s v="Object-based grid-enabled model"/>
        <s v="Seamless executive standardization"/>
        <s v="De-engineered homogeneous array"/>
        <s v="Inverse heuristic projection"/>
        <s v="Diverse asymmetric orchestration"/>
        <s v="Reactive zero tolerance core"/>
        <s v="Reverse-engineered 24/7 help-desk"/>
        <s v="Optimized 24hour budgetary management"/>
        <s v="Inverse heuristic encryption"/>
        <s v="Realigned empowering initiative"/>
        <s v="Reduced mobile matrices"/>
        <s v="Virtual motivating portal"/>
        <s v="Customizable executive task-force"/>
        <s v="Optional 3rdgeneration open architecture"/>
        <s v="Networked 6thgeneration neural-net"/>
        <s v="Open-architected empowering database"/>
        <s v="Multi-channeled human-resource infrastructure"/>
        <s v="Distributed intangible software"/>
        <s v="Switchable clear-thinking challenge"/>
        <s v="Customizable 4thgeneration Internet solution"/>
        <s v="Reduced zero tolerance policy"/>
        <s v="Profound real-time archive"/>
        <s v="Inverse static support"/>
        <s v="Total attitude-oriented support"/>
        <s v="Persistent tangible methodology"/>
        <s v="Robust bi-directional hub"/>
        <s v="Virtual content-based standardization"/>
        <s v="Programmable modular architecture"/>
        <s v="Open-source zero administration extranet"/>
        <s v="Total asymmetric emulation"/>
        <s v="Streamlined attitude-oriented adapter"/>
        <s v="Operative demand-driven open system"/>
        <s v="Organic impactful approach"/>
        <s v="Cloned leadingedge moderator"/>
        <s v="Versatile well-modulated ability"/>
        <s v="Self-enabling zero tolerance synergy"/>
        <s v="Polarized systematic parallelism"/>
        <s v="Sharable object-oriented algorithm"/>
        <s v="Progressive systematic architecture"/>
        <s v="Decentralized bi-directional forecast"/>
        <s v="Multi-lateral coherent hardware"/>
        <s v="Digitized fresh-thinking toolset"/>
        <s v="Persistent fresh-thinking parallelism"/>
        <s v="Up-sized discrete superstructure"/>
        <s v="Implemented next generation productivity"/>
        <s v="Persistent radical approach"/>
        <s v="Robust dynamic circuit"/>
        <s v="Assimilated cohesive contingency"/>
        <s v="Distributed heuristic extranet"/>
        <s v="Public-key optimizing open architecture"/>
        <s v="Self-enabling secondary methodology"/>
        <s v="Multi-channeled intermediate project"/>
        <s v="Re-engineered 24/7 benchmark"/>
        <s v="Automated 6thgeneration solution"/>
        <s v="Persevering asymmetric orchestration"/>
        <s v="Enhanced web-enabled knowledge user"/>
        <s v="Multi-tiered fresh-thinking monitoring"/>
        <s v="Cloned background ability"/>
        <s v="Up-sized bifurcated budgetary management"/>
        <s v="Virtual methodical projection"/>
        <s v="Configurable 6thgeneration approach"/>
        <s v="Networked zero administration hardware"/>
        <s v="Integrated dedicated solution"/>
        <s v="Managed coherent Local Area Network"/>
        <s v="Assimilated bifurcated policy"/>
        <s v="Intuitive secondary initiative"/>
        <s v="Reverse-engineered bandwidth-monitored encoding"/>
        <s v="Adaptive 24/7 open architecture"/>
        <s v="Grass-roots holistic migration"/>
        <s v="Face-to-face background methodology"/>
        <s v="Visionary neutral attitude"/>
        <s v="Grass-roots tertiary adapter"/>
        <s v="Function-based dynamic focus group"/>
        <s v="Multi-tiered stable installation"/>
        <s v="Proactive explicit migration"/>
        <s v="Reactive eco-centric synergy"/>
        <s v="Automated dedicated budgetary management"/>
        <s v="Multi-channeled coherent moderator"/>
        <s v="Synergized bottom-line paradigm"/>
        <s v="Phased attitude-oriented standardization"/>
        <s v="Open-architected bottom-line algorithm"/>
        <s v="Open-source homogeneous product"/>
        <s v="Reduced tertiary implementation"/>
        <s v="Proactive incremental framework"/>
        <s v="Quality-focused hybrid policy"/>
        <s v="Progressive 24hour utilization"/>
        <s v="Organized coherent utilization"/>
        <s v="Versatile user-facing benchmark"/>
        <s v="Configurable client-driven migration"/>
        <s v="Public-key fresh-thinking intranet"/>
        <s v="Self-enabling bandwidth-monitored array"/>
        <s v="Profound disintermediate analyzer"/>
        <s v="Multi-tiered multi-tasking support"/>
        <s v="Triple-buffered next generation moderator"/>
        <s v="Synergistic needs-based framework"/>
        <s v="Horizontal national alliance"/>
        <s v="Team-oriented mobile contingency"/>
        <s v="Persistent grid-enabled contingency"/>
        <s v="Reactive real-time array"/>
        <s v="Programmable asynchronous encryption"/>
        <s v="Object-based web-enabled intranet"/>
        <s v="Universal exuding artificial intelligence"/>
        <s v="Cross-group bandwidth-monitored time-frame"/>
        <s v="Customer-focused web-enabled framework"/>
        <s v="Synergized local emulation"/>
        <s v="Multi-tiered object-oriented knowledge user"/>
        <s v="Multi-lateral mission-critical productivity"/>
        <s v="Re-contextualized reciprocal secured line"/>
        <s v="Compatible actuating utilization"/>
        <s v="Compatible full-range open system"/>
        <s v="Switchable incremental collaboration"/>
        <s v="Monitored maximized project"/>
        <s v="Compatible grid-enabled info-mediaries"/>
        <s v="Cloned foreground portal"/>
        <s v="Devolved homogeneous projection"/>
        <s v="Profound non-volatile complexity"/>
        <s v="Focused holistic collaboration"/>
        <s v="Optimized zero administration task-force"/>
        <s v="Customizable zero administration application"/>
        <s v="Balanced multi-tasking adapter"/>
        <s v="Ameliorated grid-enabled capability"/>
        <s v="Monitored full-range matrix"/>
        <s v="Multi-tiered empowering adapter"/>
        <s v="Re-contextualized mission-critical help-desk"/>
        <s v="Face-to-face foreground service-desk"/>
        <s v="Re-contextualized solution-oriented circuit"/>
        <s v="Managed didactic system engine"/>
        <s v="Expanded 4thgeneration groupware"/>
        <s v="Total well-modulated knowledge user"/>
        <s v="Polarized high-level ability"/>
        <s v="Reduced high-level methodology"/>
        <s v="Robust executive migration"/>
        <s v="Inverse background firmware"/>
        <s v="Vision-oriented client-server conglomeration"/>
        <s v="Reduced motivating analyzer"/>
        <s v="Focused empowering capacity"/>
        <s v="Front-line multi-tasking moderator"/>
        <s v="Realigned 24/7 hub"/>
        <s v="De-engineered 6thgeneration parallelism"/>
        <s v="Mandatory 3rdgeneration matrices"/>
        <s v="Compatible full-range toolset"/>
        <s v="Switchable 3rdgeneration projection"/>
        <s v="Programmable homogeneous projection"/>
        <s v="Decentralized contextually-based capability"/>
        <s v="Exclusive next generation info-mediaries"/>
        <s v="Cloned scalable strategy"/>
        <s v="Public-key full-range matrices"/>
        <s v="Multi-layered methodical structure"/>
        <s v="Organic holistic Graphical User Interface"/>
        <s v="Multi-channeled upward-trending instruction set"/>
        <s v="Managed even-keeled Internet solution"/>
        <s v="Customer-focused systemic capability"/>
        <s v="Inverse non-volatile superstructure"/>
        <s v="Multi-lateral needs-based collaboration"/>
        <s v="Ergonomic empowering attitude"/>
        <s v="Switchable secondary hierarchy"/>
        <s v="Ameliorated bi-directional Graphic Interface"/>
        <s v="Secured attitude-oriented info-mediaries"/>
        <s v="Enterprise-wide bandwidth-monitored toolset"/>
        <s v="Compatible mobile open system"/>
        <s v="Vision-oriented object-oriented structure"/>
        <s v="Re-engineered holistic data-warehouse"/>
        <s v="Multi-channeled reciprocal utilization"/>
        <s v="Object-based discrete strategy"/>
        <s v="Customizable human-resource monitoring"/>
        <s v="Synergized actuating policy"/>
        <s v="Versatile object-oriented access"/>
        <s v="De-engineered 24/7 archive"/>
        <s v="Profit-focused multimedia concept"/>
        <s v="Vision-oriented transitional process improvement"/>
        <s v="Pre-emptive mission-critical knowledge user"/>
        <s v="Cross-group object-oriented moderator"/>
        <s v="Grass-roots eco-centric strategy"/>
        <s v="Customizable global hierarchy"/>
        <s v="Future-proofed uniform alliance"/>
        <s v="Balanced asynchronous contingency"/>
        <s v="Robust disintermediate neural-net"/>
        <s v="Multi-lateral dynamic encryption"/>
        <s v="Customer-focused human-resource algorithm"/>
        <s v="Re-contextualized zero-defect artificial intelligence"/>
        <s v="Decentralized system-worthy neural-net"/>
        <s v="Reduced content-based Graphic Interface"/>
        <s v="De-engineered non-volatile hardware"/>
        <s v="Intuitive system-worthy interface"/>
        <s v="Networked systematic budgetary management"/>
        <s v="Open-source radical extranet"/>
        <s v="Monitored high-level contingency"/>
        <s v="Switchable actuating encryption"/>
        <s v="Profit-focused actuating open architecture"/>
        <s v="Compatible 5thgeneration open architecture"/>
        <s v="Business-focused systemic policy"/>
        <s v="Front-line high-level encryption"/>
        <s v="Reduced analyzing moratorium"/>
        <s v="Configurable systematic concept"/>
        <s v="Versatile actuating synergy"/>
        <s v="Mandatory neutral ability"/>
        <s v="Re-contextualized clear-thinking matrix"/>
        <s v="Front-line neutral concept"/>
        <s v="Synergistic optimizing approach"/>
        <s v="Grass-roots content-based synergy"/>
        <s v="Cross-group web-enabled methodology"/>
        <s v="Total impactful budgetary management"/>
        <s v="Phased background toolset"/>
        <s v="Cross-platform web-enabled ability"/>
        <s v="Quality-focused 4thgeneration database"/>
        <s v="Customizable 5thgeneration instruction set"/>
        <s v="Automated real-time productivity"/>
        <s v="Advanced systematic complexity"/>
        <s v="Re-engineered reciprocal infrastructure"/>
        <s v="Customer-focused holistic orchestration"/>
        <s v="Cross-group homogeneous forecast"/>
        <s v="Customizable optimizing benchmark"/>
        <s v="Proactive empowering adapter"/>
        <s v="Persevering bi-directional project"/>
        <s v="Digitized clear-thinking monitoring"/>
        <s v="Multi-layered global complexity"/>
        <s v="Cross-group bottom-line orchestration"/>
        <s v="Expanded methodical instruction set"/>
        <s v="Enhanced upward-trending solution"/>
        <s v="Advanced client-driven matrix"/>
        <s v="Re-engineered 6thgeneration time-frame"/>
        <s v="Quality-focused responsive framework"/>
        <s v="Optimized 3rdgeneration superstructure"/>
        <s v="Robust dedicated solution"/>
        <s v="Right-sized tangible moratorium"/>
        <s v="Integrated real-time archive"/>
        <s v="Organized uniform infrastructure"/>
        <s v="Future-proofed next generation software"/>
        <s v="Cross-group foreground array"/>
        <s v="Advanced multi-state portal"/>
        <s v="Visionary tangible Graphic Interface"/>
        <s v="Business-focused tertiary focus group"/>
        <s v="Down-sized high-level productivity"/>
        <s v="Fundamental didactic algorithm"/>
        <s v="Pre-emptive exuding monitoring"/>
        <s v="Organized client-driven array"/>
        <s v="Fully-configurable global leverage"/>
        <s v="Right-sized stable open architecture"/>
        <s v="Synchronized zero administration structure"/>
        <s v="Visionary user-facing pricing structure"/>
        <s v="Team-oriented bifurcated capability"/>
        <s v="Persevering tangible hardware"/>
        <s v="Triple-buffered cohesive encryption"/>
        <s v="Automated encompassing archive"/>
        <s v="Devolved intermediate middleware"/>
        <s v="Triple-buffered high-level customer loyalty"/>
        <s v="Intuitive exuding concept"/>
        <s v="Extended optimizing infrastructure"/>
        <s v="Stand-alone tertiary methodology"/>
        <s v="Extended context-sensitive Graphical User Interface"/>
        <s v="Integrated user-facing encoding"/>
        <s v="Cross-group reciprocal hub"/>
        <s v="Down-sized uniform productivity"/>
        <s v="Versatile asymmetric protocol"/>
        <s v="Polarized empowering neural-net"/>
        <s v="Versatile bandwidth-monitored time-frame"/>
        <s v="Seamless explicit policy"/>
        <s v="Sharable neutral implementation"/>
        <s v="Progressive composite access"/>
        <s v="Assimilated intangible pricing structure"/>
        <s v="Public-key optimizing protocol"/>
        <s v="Compatible bottom-line core"/>
        <s v="Face-to-face mobile knowledge user"/>
        <s v="Seamless reciprocal complexity"/>
        <s v="Mandatory exuding model"/>
        <s v="Digitized intangible Graphical User Interface"/>
        <s v="Profound demand-driven secured line"/>
        <s v="Right-sized needs-based solution"/>
        <s v="Seamless dynamic framework"/>
        <s v="Re-contextualized upward-trending architecture"/>
        <s v="Cloned logistical analyzer"/>
        <s v="Centralized value-added superstructure"/>
        <s v="Proactive bifurcated architecture"/>
        <s v="Triple-buffered client-server portal"/>
        <s v="Organic demand-driven support"/>
        <s v="Realigned methodical artificial intelligence"/>
        <s v="Object-based demand-driven installation"/>
        <s v="Ameliorated actuating policy"/>
        <s v="Public-key disintermediate neural-net"/>
        <s v="Upgradable contextually-based Graphic Interface"/>
        <s v="Integrated client-server software"/>
        <s v="Innovative intangible emulation"/>
        <s v="Fundamental incremental service-desk"/>
        <s v="Proactive motivating open architecture"/>
        <s v="Business-focused attitude-oriented middleware"/>
        <s v="Balanced empowering info-mediaries"/>
        <s v="User-friendly dynamic monitoring"/>
        <s v="Multi-channeled zero administration standardization"/>
        <s v="Optimized methodical installation"/>
        <s v="Proactive regional conglomeration"/>
        <s v="Multi-lateral user-facing solution"/>
        <s v="Integrated analyzing focus group"/>
        <s v="Centralized contextually-based middleware"/>
        <s v="Switchable modular solution"/>
        <s v="Reverse-engineered next generation emulation"/>
        <s v="Quality-focused mission-critical analyzer"/>
        <s v="Innovative local workforce"/>
        <s v="Expanded scalable process improvement"/>
        <s v="Devolved responsive software"/>
        <s v="Object-based bandwidth-monitored moderator"/>
        <s v="Realigned responsive Graphical User Interface"/>
        <s v="User-friendly directional ability"/>
        <s v="Open-source intermediate benchmark"/>
        <s v="Function-based zero-defect policy"/>
        <s v="Face-to-face grid-enabled workforce"/>
        <s v="Cross-platform secondary functionalities"/>
        <s v="Implemented multi-tasking emulation"/>
        <s v="Self-enabling incremental success"/>
        <s v="Cloned contextually-based contingency"/>
        <s v="Self-enabling intermediate time-frame"/>
        <s v="Organic 3rdgeneration conglomeration"/>
        <s v="Managed bandwidth-monitored time-frame"/>
        <s v="Extended executive budgetary management"/>
        <s v="Fully-configurable human-resource encryption"/>
        <s v="Organic directional utilization"/>
        <s v="Enhanced empowering conglomeration"/>
        <s v="Open-architected asymmetric extranet"/>
        <s v="Multi-lateral 6thgeneration benchmark"/>
        <s v="Fully-configurable asymmetric moderator"/>
        <s v="Balanced mission-critical budgetary management"/>
        <s v="Robust contextually-based knowledgebase"/>
        <s v="Extended solution-oriented capacity"/>
        <s v="Persistent upward-trending Graphical User Interface"/>
        <s v="Multi-tiered disintermediate parallelism"/>
        <s v="Intuitive well-modulated support"/>
        <s v="Function-based zero-defect capability"/>
        <s v="Integrated national architecture"/>
        <s v="Horizontal tangible focus group"/>
        <s v="Reduced needs-based approach"/>
        <s v="Robust human-resource instruction set"/>
        <s v="Grass-roots asynchronous knowledgebase"/>
        <s v="Synergized 24/7 interface"/>
        <s v="Re-contextualized uniform interface"/>
        <s v="Automated executive moderator"/>
        <s v="Front-line national Graphic Interface"/>
        <s v="Function-based 3rdgeneration Graphical User Interface"/>
        <s v="Customizable bi-directional functionalities"/>
        <s v="Innovative uniform adapter"/>
        <s v="Switchable neutral algorithm"/>
        <s v="Operative 5thgeneration superstructure"/>
        <s v="Triple-buffered didactic monitoring"/>
        <s v="Realigned scalable moderator"/>
        <s v="Multi-lateral responsive info-mediaries"/>
        <s v="Grass-roots directional help-desk"/>
        <s v="Reduced didactic leverage"/>
        <s v="Total methodical array"/>
        <s v="Balanced optimizing challenge"/>
        <s v="Persevering disintermediate parallelism"/>
        <s v="Horizontal system-worthy neural-net"/>
        <s v="Grass-roots multi-tasking throughput"/>
        <s v="Intuitive didactic interface"/>
        <s v="Enterprise-wide non-volatile hardware"/>
        <s v="Reduced actuating toolset"/>
        <s v="Front-line value-added alliance"/>
        <s v="Organic regional open architecture"/>
        <s v="Function-based dedicated database"/>
        <s v="Monitored even-keeled encryption"/>
        <s v="Stand-alone zero-defect contingency"/>
        <s v="Exclusive bi-directional architecture"/>
        <s v="Optional real-time installation"/>
        <s v="Proactive 6thgeneration interface"/>
        <s v="Synchronized fresh-thinking functionalities"/>
        <s v="Multi-layered coherent instruction set"/>
        <s v="Reduced attitude-oriented model"/>
        <s v="Exclusive 3rdgeneration definition"/>
        <s v="Multi-lateral value-added encryption"/>
        <s v="Synchronized client-server concept"/>
        <s v="Total regional open system"/>
        <s v="Optional uniform projection"/>
        <s v="Universal regional open architecture"/>
        <s v="Quality-focused regional database"/>
        <s v="Enhanced neutral encryption"/>
        <s v="Secured stable process improvement"/>
        <s v="Multi-channeled 24/7 implementation"/>
        <s v="Operative intermediate alliance"/>
        <s v="Synergistic asymmetric task-force"/>
        <s v="Self-enabling 3rdgeneration migration"/>
        <s v="Decentralized multimedia open architecture"/>
        <s v="Optional responsive approach"/>
        <s v="Programmable fault-tolerant intranet"/>
        <s v="Multi-tiered stable focus group"/>
        <s v="Diverse even-keeled customer loyalty"/>
        <s v="Inverse neutral strategy"/>
        <s v="Intuitive foreground access"/>
        <s v="Universal 24/7 strategy"/>
        <s v="Managed well-modulated artificial intelligence"/>
        <s v="Inverse dynamic flexibility"/>
        <s v="Optional context-sensitive standardization"/>
        <s v="Organized fault-tolerant forecast"/>
        <s v="Multi-layered neutral capacity"/>
        <s v="Re-engineered 6thgeneration access"/>
        <s v="Inverse context-sensitive middleware"/>
        <s v="Multi-lateral cohesive access"/>
        <s v="Seamless asymmetric core"/>
        <s v="Automated tangible frame"/>
        <s v="Centralized modular Graphical User Interface"/>
        <s v="Organic actuating firmware"/>
        <s v="Organized demand-driven parallelism"/>
        <s v="Enterprise-wide intangible concept"/>
        <s v="Re-contextualized 24/7 policy"/>
        <s v="Virtual client-driven benchmark"/>
        <s v="Digitized value-added access"/>
        <s v="Streamlined bifurcated extranet"/>
        <s v="Re-engineered heuristic conglomeration"/>
        <s v="Adaptive empowering contingency"/>
        <s v="Balanced national firmware"/>
        <s v="Re-engineered neutral concept"/>
        <s v="User-friendly encompassing functionalities"/>
        <s v="Enhanced bifurcated solution"/>
        <s v="Monitored regional complexity"/>
        <s v="Persistent incremental neural-net"/>
        <s v="Cross-platform client-server circuit"/>
        <s v="Customizable clear-thinking adapter"/>
        <s v="Up-sized multi-state database"/>
        <s v="Object-based didactic intranet"/>
        <s v="Multi-lateral tangible framework"/>
        <s v="Profound multimedia framework"/>
        <s v="Object-based intermediate attitude"/>
        <s v="Horizontal maximized moderator"/>
        <s v="Innovative intangible complexity"/>
        <s v="Compatible 6thgeneration portal"/>
        <s v="De-engineered foreground attitude"/>
        <s v="Public-key directional orchestration"/>
        <s v="Optimized content-based matrix"/>
        <s v="De-engineered bandwidth-monitored solution"/>
        <s v="Horizontal asymmetric contingency"/>
        <s v="Grass-roots non-volatile hub"/>
        <s v="Reverse-engineered attitude-oriented task-force"/>
        <s v="Synergized mission-critical conglomeration"/>
        <s v="Configurable transitional data-warehouse"/>
        <s v="Ergonomic global project"/>
        <s v="Sharable 24/7 Graphic Interface"/>
        <s v="Progressive directional secured line"/>
        <s v="Compatible tertiary alliance"/>
        <s v="Face-to-face 6thgeneration methodology"/>
        <s v="Customer-focused asymmetric workforce"/>
        <s v="Profound reciprocal forecast"/>
        <s v="De-engineered high-level functionalities"/>
        <s v="Reverse-engineered upward-trending core"/>
        <s v="Future-proofed zero administration attitude"/>
        <s v="Mandatory intermediate neural-net"/>
        <s v="Team-oriented discrete benchmark"/>
        <s v="Cloned scalable frame"/>
        <s v="Profit-focused 5thgeneration standardization"/>
        <s v="Distributed asymmetric frame"/>
        <s v="Vision-oriented 4thgeneration groupware"/>
        <s v="Persistent methodical Graphical User Interface"/>
        <s v="Integrated didactic circuit"/>
        <s v="Expanded system-worthy collaboration"/>
        <s v="Grass-roots client-server middleware"/>
        <s v="Universal systemic utilization"/>
        <s v="Expanded system-worthy flexibility"/>
        <s v="Customizable homogeneous policy"/>
        <s v="Visionary local paradigm"/>
        <s v="Persevering 24/7 complexity"/>
        <s v="Visionary multimedia synergy"/>
        <s v="Automated radical access"/>
        <s v="Inverse transitional artificial intelligence"/>
        <s v="Down-sized modular conglomeration"/>
        <s v="Robust next generation protocol"/>
        <s v="Innovative exuding toolset"/>
        <s v="Streamlined holistic toolset"/>
        <s v="Managed global capacity"/>
        <s v="Phased systematic interface"/>
        <s v="Persistent methodical info-mediaries"/>
        <s v="Up-sized maximized capability"/>
        <s v="Distributed scalable moratorium"/>
        <s v="Inverse stable process improvement"/>
        <s v="Multi-tiered high-level protocol"/>
        <s v="Synergized 6thgeneration interface"/>
        <s v="Seamless attitude-oriented architecture"/>
        <s v="Centralized zero tolerance infrastructure"/>
        <s v="Focused motivating strategy"/>
        <s v="Function-based leadingedge budgetary management"/>
        <s v="Right-sized next generation solution"/>
        <s v="Assimilated local framework"/>
        <s v="Enterprise-wide bottom-line superstructure"/>
        <s v="Triple-buffered bi-directional extranet"/>
        <s v="Down-sized systemic open architecture"/>
        <s v="Optional composite secured line"/>
        <s v="Self-enabling non-volatile core"/>
        <s v="Multi-tiered context-sensitive hub"/>
        <s v="Optimized 4thgeneration hub"/>
        <s v="Re-engineered methodical methodology"/>
        <s v="Sharable cohesive focus group"/>
        <s v="Mandatory multi-tasking hardware"/>
        <s v="User-friendly radical conglomeration"/>
        <s v="Ameliorated attitude-oriented flexibility"/>
        <s v="Visionary methodical workforce"/>
        <s v="Future-proofed 4thgeneration core"/>
        <s v="Networked system-worthy solution"/>
        <s v="Cross-group zero administration model"/>
        <s v="Organized static alliance"/>
        <s v="Face-to-face scalable definition"/>
        <s v="Programmable tertiary installation"/>
        <s v="Reverse-engineered multi-state standardization"/>
        <s v="Versatile systemic matrices"/>
        <s v="Polarized client-driven moratorium"/>
        <s v="Implemented neutral algorithm"/>
        <s v="Enterprise-wide impactful installation"/>
        <s v="Managed regional process improvement"/>
        <s v="Vision-oriented incremental website"/>
        <s v="Compatible global Graphical User Interface"/>
        <s v="Up-sized web-enabled flexibility"/>
        <s v="User-centric intermediate website"/>
        <s v="Multi-tiered asynchronous model"/>
        <s v="Function-based homogeneous productivity"/>
        <s v="Persevering tertiary solution"/>
        <s v="Expanded 3rdgeneration synergy"/>
        <s v="Stand-alone web-enabled array"/>
        <s v="Reverse-engineered stable approach"/>
        <s v="Streamlined homogeneous emulation"/>
        <s v="Face-to-face multi-tasking flexibility"/>
        <s v="Cross-group bandwidth-monitored algorithm"/>
        <s v="Cross-platform empowering protocol"/>
        <s v="Robust maximized Graphic Interface"/>
        <s v="Reduced solution-oriented Local Area Network"/>
        <s v="Grass-roots multimedia hub"/>
        <s v="Inverse dedicated process improvement"/>
        <s v="Networked impactful complexity"/>
        <s v="Re-contextualized 3rdgeneration moderator"/>
        <s v="Operative heuristic middleware"/>
        <s v="Seamless didactic algorithm"/>
        <s v="Multi-layered neutral productivity"/>
        <s v="Enhanced systematic conglomeration"/>
        <s v="Customizable mission-critical projection"/>
        <s v="Future-proofed dynamic Internet solution"/>
        <s v="Realigned homogeneous support"/>
        <s v="Enterprise-wide non-volatile projection"/>
        <s v="Up-sized next generation portal"/>
        <s v="Stand-alone modular Internet solution"/>
        <s v="Stand-alone composite matrix"/>
        <s v="Robust national process improvement"/>
        <s v="Intuitive analyzing contingency"/>
        <s v="Networked systemic toolset"/>
        <s v="Compatible content-based architecture"/>
        <s v="Universal uniform service-desk"/>
        <s v="Programmable non-volatile encoding"/>
        <s v="Public-key logistical knowledgebase"/>
        <s v="Profit-focused next generation installation"/>
        <s v="Right-sized transitional standardization"/>
        <s v="Quality-focused local methodology"/>
        <s v="Intuitive mobile focus group"/>
        <s v="Extended web-enabled approach"/>
        <s v="Configurable context-sensitive orchestration"/>
        <s v="Organized multi-state definition"/>
        <s v="Horizontal systematic moderator"/>
        <s v="Reverse-engineered non-volatile intranet"/>
        <s v="Versatile systematic flexibility"/>
        <s v="Sharable tangible structure"/>
        <s v="Enhanced optimizing time-frame"/>
        <s v="Stand-alone zero-defect Graphic Interface"/>
        <s v="Intuitive 24hour flexibility"/>
        <s v="Profound heuristic solution"/>
        <s v="Organized explicit pricing structure"/>
        <s v="Compatible local concept"/>
        <s v="Business-focused directional instruction set"/>
        <s v="Up-sized foreground open system"/>
        <s v="Operative exuding process improvement"/>
        <s v="Ergonomic full-range workforce"/>
        <s v="Down-sized object-oriented website"/>
        <s v="Fully-configurable web-enabled info-mediaries"/>
        <s v="User-centric intangible success"/>
        <s v="Realigned zero administration intranet"/>
        <s v="Secured grid-enabled policy"/>
        <s v="Sharable neutral array"/>
        <s v="Universal global benchmark"/>
        <s v="Adaptive well-modulated extranet"/>
        <s v="Robust tangible strategy"/>
        <s v="Versatile context-sensitive interface"/>
        <s v="Synergistic value-added help-desk"/>
        <s v="Multi-channeled didactic process improvement"/>
        <s v="Distributed stable emulation"/>
        <s v="Operative context-sensitive Local Area Network"/>
        <s v="Seamless motivating infrastructure"/>
        <s v="Switchable leadingedge alliance"/>
        <s v="Multi-lateral grid-enabled middleware"/>
        <s v="Inverse system-worthy utilization"/>
        <s v="Extended next generation paradigm"/>
        <s v="Customer-focused bifurcated service-desk"/>
        <s v="Extended tangible hierarchy"/>
        <s v="Down-sized systematic contingency"/>
        <s v="Focused holistic installation"/>
        <s v="Profound 24/7 parallelism"/>
        <s v="Ergonomic incremental utilization"/>
        <s v="Implemented actuating structure"/>
        <s v="Optimized high-level ability"/>
        <s v="Up-sized eco-centric open architecture"/>
        <s v="Business-focused systematic Graphical User Interface"/>
        <s v="Up-sized maximized time-frame"/>
        <s v="Versatile explicit standardization"/>
        <s v="Extended regional paradigm"/>
        <s v="Multi-channeled real-time info-mediaries"/>
        <s v="Function-based 4thgeneration flexibility"/>
        <s v="Stand-alone client-driven approach"/>
        <s v="Balanced optimizing software"/>
        <s v="De-engineered object-oriented framework"/>
        <s v="Multi-layered full-range throughput"/>
        <s v="Self-enabling multi-tasking help-desk"/>
        <s v="Object-based national standardization"/>
        <s v="Object-based leadingedge initiative"/>
        <s v="Sharable background circuit"/>
        <s v="Synchronized national system engine"/>
        <s v="Front-line attitude-oriented adapter"/>
        <s v="Grass-roots scalable framework"/>
        <s v="Networked zero administration array"/>
        <s v="Visionary client-driven instruction set"/>
        <s v="Seamless directional Graphic Interface"/>
        <s v="Innovative 4thgeneration protocol"/>
        <s v="Cross-group radical definition"/>
        <s v="Automated client-server contingency"/>
        <s v="Enterprise-wide tangible secured line"/>
        <s v="Open-architected transitional framework"/>
        <s v="Networked motivating Graphic Interface"/>
        <s v="Balanced impactful collaboration"/>
        <s v="Phased clear-thinking matrix"/>
        <s v="Multi-channeled hybrid workforce"/>
        <s v="Up-sized dedicated workforce"/>
        <s v="Focused tangible array"/>
        <s v="Organized heuristic customer loyalty"/>
        <s v="Implemented radical array"/>
        <s v="Reactive even-keeled hardware"/>
        <s v="Implemented logistical architecture"/>
        <s v="Team-oriented intermediate matrices"/>
        <s v="Operative optimizing firmware"/>
        <s v="Cloned system-worthy project"/>
        <s v="Versatile regional capability"/>
        <s v="De-engineered static standardization"/>
        <s v="Total bi-directional attitude"/>
        <s v="Progressive non-volatile service-desk"/>
        <s v="Business-focused needs-based synergy"/>
        <s v="Optional holistic Graphical User Interface"/>
        <s v="Grass-roots bottom-line strategy"/>
        <s v="Quality-focused fault-tolerant secured line"/>
        <s v="Secured solution-oriented application"/>
        <s v="Multi-tiered executive task-force"/>
        <s v="Focused empowering superstructure"/>
        <s v="Reverse-engineered motivating algorithm"/>
        <s v="Configurable attitude-oriented throughput"/>
        <s v="Expanded neutral extranet"/>
        <s v="Reduced attitude-oriented task-force"/>
        <s v="Focused logistical projection"/>
        <s v="Proactive asymmetric time-frame"/>
        <s v="Inverse systematic productivity"/>
        <s v="Optional coherent moratorium"/>
        <s v="Expanded upward-trending conglomeration"/>
        <s v="Compatible clear-thinking array"/>
        <s v="Universal 4thgeneration framework"/>
        <s v="Persevering motivating benchmark"/>
        <s v="Object-based content-based ability"/>
        <s v="Innovative logistical interface"/>
        <s v="De-engineered impactful policy"/>
        <s v="Integrated contextually-based parallelism"/>
        <s v="Innovative mission-critical firmware"/>
        <s v="Advanced clear-thinking Graphical User Interface"/>
        <s v="Reactive tangible access"/>
        <s v="Versatile systemic challenge"/>
        <s v="Switchable value-added portal"/>
        <s v="Up-sized well-modulated support"/>
        <s v="Secured asymmetric focus group"/>
        <s v="Down-sized 6thgeneration methodology"/>
        <s v="Upgradable next generation knowledge user"/>
        <s v="Reverse-engineered regional data-warehouse"/>
        <s v="Implemented 4thgeneration open system"/>
        <s v="Progressive motivating array"/>
        <s v="Visionary client-driven pricing structure"/>
        <s v="Pre-emptive mission-critical matrices"/>
        <s v="Triple-buffered high-level neural-net"/>
        <s v="Managed actuating open architecture"/>
        <s v="Visionary composite task-force"/>
        <s v="Ergonomic fresh-thinking customer loyalty"/>
        <s v="Enterprise-wide didactic instruction set"/>
        <s v="Decentralized client-driven adapter"/>
        <s v="Cross-platform transitional interface"/>
        <s v="Universal transitional moderator"/>
        <s v="Universal composite open system"/>
        <s v="Public-key human-resource product"/>
        <s v="Secured background encryption"/>
        <s v="Implemented content-based contingency"/>
        <s v="Open-architected responsive array"/>
        <s v="Reverse-engineered client-server neural-net"/>
        <s v="Networked upward-trending forecast"/>
        <s v="Multi-layered optimal pricing structure"/>
        <s v="Persistent stable leverage"/>
        <s v="Focused stable analyzer"/>
        <s v="Networked exuding instruction set"/>
        <s v="Multi-layered intermediate conglomeration"/>
        <s v="Visionary 24hour circuit"/>
        <s v="Optional even-keeled functionalities"/>
        <s v="De-engineered systematic conglomeration"/>
        <s v="Extended 24hour contingency"/>
        <s v="User-centric clear-thinking interface"/>
        <s v="Programmable optimal capability"/>
        <s v="Optimized zero administration approach"/>
        <s v="Robust directional complexity"/>
        <s v="Reverse-engineered 4thgeneration analyzer"/>
        <s v="Secured incremental moratorium"/>
        <s v="Universal asymmetric extranet"/>
        <s v="User-friendly next generation challenge"/>
        <s v="Vision-oriented zero tolerance hardware"/>
        <s v="Managed leadingedge knowledge user"/>
        <s v="Multi-channeled full-range framework"/>
        <s v="Optional secondary website"/>
        <s v="Open-source fault-tolerant open architecture"/>
        <s v="Distributed dynamic process improvement"/>
        <s v="Triple-buffered exuding Local Area Network"/>
        <s v="Vision-oriented 24hour migration"/>
        <s v="Intuitive 4thgeneration access"/>
        <s v="Organic multi-tasking hardware"/>
        <s v="Switchable solution-oriented success"/>
        <s v="Multi-channeled 5thgeneration methodology"/>
        <s v="Object-based scalable utilization"/>
        <s v="Operative tangible firmware"/>
        <s v="Up-sized user-facing secured line"/>
        <m/>
      </sharedItems>
    </cacheField>
    <cacheField name="start_date" numFmtId="14">
      <sharedItems containsNonDate="0" containsDate="1" containsString="0" containsBlank="1" minDate="2022-08-02T00:00:00" maxDate="2023-08-02T00:00:00" count="345">
        <d v="2023-04-01T00:00:00"/>
        <d v="2023-02-15T00:00:00"/>
        <d v="2022-12-20T00:00:00"/>
        <d v="2022-09-26T00:00:00"/>
        <d v="2023-07-07T00:00:00"/>
        <d v="2023-06-29T00:00:00"/>
        <d v="2023-03-01T00:00:00"/>
        <d v="2023-01-06T00:00:00"/>
        <d v="2022-09-06T00:00:00"/>
        <d v="2022-11-25T00:00:00"/>
        <d v="2023-06-15T00:00:00"/>
        <d v="2023-07-21T00:00:00"/>
        <d v="2023-03-16T00:00:00"/>
        <d v="2023-07-04T00:00:00"/>
        <d v="2022-11-05T00:00:00"/>
        <d v="2023-03-23T00:00:00"/>
        <d v="2022-09-14T00:00:00"/>
        <d v="2023-06-24T00:00:00"/>
        <d v="2023-07-16T00:00:00"/>
        <d v="2023-02-07T00:00:00"/>
        <d v="2023-04-20T00:00:00"/>
        <d v="2023-01-16T00:00:00"/>
        <d v="2023-08-01T00:00:00"/>
        <d v="2022-08-26T00:00:00"/>
        <d v="2023-06-26T00:00:00"/>
        <d v="2023-07-05T00:00:00"/>
        <d v="2022-11-18T00:00:00"/>
        <d v="2022-10-17T00:00:00"/>
        <d v="2023-04-19T00:00:00"/>
        <d v="2023-05-25T00:00:00"/>
        <d v="2022-08-12T00:00:00"/>
        <d v="2022-10-02T00:00:00"/>
        <d v="2023-01-20T00:00:00"/>
        <d v="2023-07-27T00:00:00"/>
        <d v="2022-11-24T00:00:00"/>
        <d v="2022-12-16T00:00:00"/>
        <d v="2023-01-18T00:00:00"/>
        <d v="2023-04-29T00:00:00"/>
        <d v="2022-11-22T00:00:00"/>
        <d v="2023-02-27T00:00:00"/>
        <d v="2022-11-26T00:00:00"/>
        <d v="2023-02-28T00:00:00"/>
        <d v="2023-07-14T00:00:00"/>
        <d v="2023-04-06T00:00:00"/>
        <d v="2023-03-05T00:00:00"/>
        <d v="2022-12-11T00:00:00"/>
        <d v="2022-10-20T00:00:00"/>
        <d v="2022-08-06T00:00:00"/>
        <d v="2023-06-06T00:00:00"/>
        <d v="2023-03-07T00:00:00"/>
        <d v="2023-04-23T00:00:00"/>
        <d v="2022-09-30T00:00:00"/>
        <d v="2022-10-29T00:00:00"/>
        <d v="2023-07-26T00:00:00"/>
        <d v="2023-06-23T00:00:00"/>
        <d v="2023-07-13T00:00:00"/>
        <d v="2022-11-09T00:00:00"/>
        <d v="2023-02-25T00:00:00"/>
        <d v="2022-08-05T00:00:00"/>
        <d v="2023-03-02T00:00:00"/>
        <d v="2022-10-14T00:00:00"/>
        <d v="2022-09-29T00:00:00"/>
        <d v="2023-05-16T00:00:00"/>
        <d v="2022-11-01T00:00:00"/>
        <d v="2022-08-28T00:00:00"/>
        <d v="2022-08-09T00:00:00"/>
        <d v="2022-08-27T00:00:00"/>
        <d v="2022-12-24T00:00:00"/>
        <d v="2022-11-08T00:00:00"/>
        <d v="2022-12-15T00:00:00"/>
        <d v="2023-07-02T00:00:00"/>
        <d v="2022-08-04T00:00:00"/>
        <d v="2023-04-26T00:00:00"/>
        <d v="2023-02-26T00:00:00"/>
        <d v="2023-02-22T00:00:00"/>
        <d v="2022-12-18T00:00:00"/>
        <d v="2022-12-26T00:00:00"/>
        <d v="2023-05-05T00:00:00"/>
        <d v="2022-10-10T00:00:00"/>
        <d v="2022-08-18T00:00:00"/>
        <d v="2022-09-18T00:00:00"/>
        <d v="2022-11-12T00:00:00"/>
        <d v="2023-05-30T00:00:00"/>
        <d v="2022-10-18T00:00:00"/>
        <d v="2023-03-03T00:00:00"/>
        <d v="2022-12-14T00:00:00"/>
        <d v="2022-12-30T00:00:00"/>
        <d v="2023-06-03T00:00:00"/>
        <d v="2022-09-19T00:00:00"/>
        <d v="2022-12-22T00:00:00"/>
        <d v="2023-06-18T00:00:00"/>
        <d v="2023-01-23T00:00:00"/>
        <d v="2022-09-24T00:00:00"/>
        <d v="2023-01-27T00:00:00"/>
        <d v="2022-12-25T00:00:00"/>
        <d v="2023-03-30T00:00:00"/>
        <d v="2022-09-07T00:00:00"/>
        <d v="2022-09-15T00:00:00"/>
        <d v="2023-02-04T00:00:00"/>
        <d v="2023-07-06T00:00:00"/>
        <d v="2023-01-12T00:00:00"/>
        <d v="2022-12-27T00:00:00"/>
        <d v="2022-09-10T00:00:00"/>
        <d v="2023-07-22T00:00:00"/>
        <d v="2022-11-16T00:00:00"/>
        <d v="2022-11-23T00:00:00"/>
        <d v="2023-04-04T00:00:00"/>
        <d v="2022-10-23T00:00:00"/>
        <d v="2022-08-16T00:00:00"/>
        <d v="2022-10-22T00:00:00"/>
        <d v="2023-01-19T00:00:00"/>
        <d v="2022-09-21T00:00:00"/>
        <d v="2022-11-20T00:00:00"/>
        <d v="2023-02-23T00:00:00"/>
        <d v="2022-08-15T00:00:00"/>
        <d v="2022-08-24T00:00:00"/>
        <d v="2023-04-08T00:00:00"/>
        <d v="2023-04-11T00:00:00"/>
        <d v="2022-10-30T00:00:00"/>
        <d v="2023-03-12T00:00:00"/>
        <d v="2022-12-01T00:00:00"/>
        <d v="2023-03-06T00:00:00"/>
        <d v="2023-01-09T00:00:00"/>
        <d v="2022-11-28T00:00:00"/>
        <d v="2022-09-16T00:00:00"/>
        <d v="2023-03-25T00:00:00"/>
        <d v="2023-01-31T00:00:00"/>
        <d v="2022-10-19T00:00:00"/>
        <d v="2023-02-08T00:00:00"/>
        <d v="2023-03-27T00:00:00"/>
        <d v="2022-12-07T00:00:00"/>
        <d v="2022-10-11T00:00:00"/>
        <d v="2023-07-28T00:00:00"/>
        <d v="2023-06-14T00:00:00"/>
        <d v="2022-11-02T00:00:00"/>
        <d v="2023-01-08T00:00:00"/>
        <d v="2022-11-03T00:00:00"/>
        <d v="2022-08-29T00:00:00"/>
        <d v="2022-10-08T00:00:00"/>
        <d v="2023-05-08T00:00:00"/>
        <d v="2023-02-19T00:00:00"/>
        <d v="2022-08-25T00:00:00"/>
        <d v="2023-04-27T00:00:00"/>
        <d v="2023-02-13T00:00:00"/>
        <d v="2023-03-31T00:00:00"/>
        <d v="2023-05-09T00:00:00"/>
        <d v="2023-03-11T00:00:00"/>
        <d v="2022-10-06T00:00:00"/>
        <d v="2022-08-30T00:00:00"/>
        <d v="2022-12-06T00:00:00"/>
        <d v="2023-06-27T00:00:00"/>
        <d v="2023-07-19T00:00:00"/>
        <d v="2023-05-02T00:00:00"/>
        <d v="2023-03-09T00:00:00"/>
        <d v="2023-06-16T00:00:00"/>
        <d v="2023-03-21T00:00:00"/>
        <d v="2023-03-04T00:00:00"/>
        <d v="2023-01-04T00:00:00"/>
        <d v="2022-11-19T00:00:00"/>
        <d v="2023-06-12T00:00:00"/>
        <d v="2023-02-06T00:00:00"/>
        <d v="2023-06-25T00:00:00"/>
        <d v="2022-10-31T00:00:00"/>
        <d v="2023-06-07T00:00:00"/>
        <d v="2023-05-07T00:00:00"/>
        <d v="2023-03-10T00:00:00"/>
        <d v="2022-08-17T00:00:00"/>
        <d v="2023-05-22T00:00:00"/>
        <d v="2022-08-22T00:00:00"/>
        <d v="2023-01-01T00:00:00"/>
        <d v="2023-06-04T00:00:00"/>
        <d v="2022-12-17T00:00:00"/>
        <d v="2023-01-21T00:00:00"/>
        <d v="2023-04-18T00:00:00"/>
        <d v="2023-05-31T00:00:00"/>
        <d v="2022-12-02T00:00:00"/>
        <d v="2023-01-28T00:00:00"/>
        <d v="2023-05-18T00:00:00"/>
        <d v="2022-10-13T00:00:00"/>
        <d v="2023-07-31T00:00:00"/>
        <d v="2023-01-22T00:00:00"/>
        <d v="2022-10-09T00:00:00"/>
        <d v="2023-06-19T00:00:00"/>
        <d v="2023-07-18T00:00:00"/>
        <d v="2023-03-29T00:00:00"/>
        <d v="2023-04-28T00:00:00"/>
        <d v="2023-03-26T00:00:00"/>
        <d v="2022-11-07T00:00:00"/>
        <d v="2022-08-23T00:00:00"/>
        <d v="2023-02-10T00:00:00"/>
        <d v="2022-08-20T00:00:00"/>
        <d v="2023-03-18T00:00:00"/>
        <d v="2023-04-09T00:00:00"/>
        <d v="2023-05-04T00:00:00"/>
        <d v="2022-09-17T00:00:00"/>
        <d v="2022-09-13T00:00:00"/>
        <d v="2023-04-30T00:00:00"/>
        <d v="2023-02-05T00:00:00"/>
        <d v="2022-08-03T00:00:00"/>
        <d v="2022-09-28T00:00:00"/>
        <d v="2023-05-14T00:00:00"/>
        <d v="2022-12-21T00:00:00"/>
        <d v="2022-08-31T00:00:00"/>
        <d v="2022-11-13T00:00:00"/>
        <d v="2022-11-14T00:00:00"/>
        <d v="2023-02-17T00:00:00"/>
        <d v="2023-06-13T00:00:00"/>
        <d v="2023-07-03T00:00:00"/>
        <d v="2022-10-04T00:00:00"/>
        <d v="2023-07-08T00:00:00"/>
        <d v="2022-11-11T00:00:00"/>
        <d v="2023-05-28T00:00:00"/>
        <d v="2023-06-01T00:00:00"/>
        <d v="2023-01-03T00:00:00"/>
        <d v="2023-01-26T00:00:00"/>
        <d v="2023-02-03T00:00:00"/>
        <d v="2023-03-20T00:00:00"/>
        <d v="2023-07-23T00:00:00"/>
        <d v="2022-09-22T00:00:00"/>
        <d v="2023-07-10T00:00:00"/>
        <d v="2022-10-07T00:00:00"/>
        <d v="2023-04-10T00:00:00"/>
        <d v="2023-04-24T00:00:00"/>
        <d v="2023-06-21T00:00:00"/>
        <d v="2023-07-20T00:00:00"/>
        <d v="2023-04-25T00:00:00"/>
        <d v="2023-07-12T00:00:00"/>
        <d v="2023-04-13T00:00:00"/>
        <d v="2023-02-21T00:00:00"/>
        <d v="2022-08-10T00:00:00"/>
        <d v="2022-09-12T00:00:00"/>
        <d v="2022-12-09T00:00:00"/>
        <d v="2022-10-21T00:00:00"/>
        <d v="2023-01-17T00:00:00"/>
        <d v="2022-11-30T00:00:00"/>
        <d v="2023-04-22T00:00:00"/>
        <d v="2023-04-21T00:00:00"/>
        <d v="2023-03-19T00:00:00"/>
        <d v="2023-05-29T00:00:00"/>
        <d v="2023-03-28T00:00:00"/>
        <d v="2022-10-03T00:00:00"/>
        <d v="2022-12-31T00:00:00"/>
        <d v="2022-09-02T00:00:00"/>
        <d v="2023-02-24T00:00:00"/>
        <d v="2023-03-15T00:00:00"/>
        <d v="2023-04-02T00:00:00"/>
        <d v="2022-09-20T00:00:00"/>
        <d v="2023-04-12T00:00:00"/>
        <d v="2023-01-29T00:00:00"/>
        <d v="2022-09-08T00:00:00"/>
        <d v="2023-07-01T00:00:00"/>
        <d v="2022-09-01T00:00:00"/>
        <d v="2022-09-23T00:00:00"/>
        <d v="2022-08-21T00:00:00"/>
        <d v="2023-04-07T00:00:00"/>
        <d v="2023-03-08T00:00:00"/>
        <d v="2023-03-22T00:00:00"/>
        <d v="2023-04-17T00:00:00"/>
        <d v="2023-01-24T00:00:00"/>
        <d v="2022-10-26T00:00:00"/>
        <d v="2022-12-28T00:00:00"/>
        <d v="2023-01-14T00:00:00"/>
        <d v="2023-05-12T00:00:00"/>
        <d v="2023-01-30T00:00:00"/>
        <d v="2023-07-09T00:00:00"/>
        <d v="2022-09-03T00:00:00"/>
        <d v="2023-05-10T00:00:00"/>
        <d v="2022-12-08T00:00:00"/>
        <d v="2023-06-10T00:00:00"/>
        <d v="2022-12-12T00:00:00"/>
        <d v="2023-01-07T00:00:00"/>
        <d v="2023-06-20T00:00:00"/>
        <d v="2022-09-11T00:00:00"/>
        <d v="2023-07-29T00:00:00"/>
        <d v="2023-07-25T00:00:00"/>
        <d v="2023-04-15T00:00:00"/>
        <d v="2022-11-27T00:00:00"/>
        <d v="2023-06-08T00:00:00"/>
        <d v="2023-05-24T00:00:00"/>
        <d v="2023-04-03T00:00:00"/>
        <d v="2022-11-10T00:00:00"/>
        <d v="2023-07-30T00:00:00"/>
        <d v="2023-01-10T00:00:00"/>
        <d v="2022-08-08T00:00:00"/>
        <d v="2023-03-17T00:00:00"/>
        <d v="2023-05-23T00:00:00"/>
        <d v="2023-01-02T00:00:00"/>
        <d v="2023-04-16T00:00:00"/>
        <d v="2022-11-04T00:00:00"/>
        <d v="2023-03-14T00:00:00"/>
        <d v="2022-08-11T00:00:00"/>
        <d v="2022-12-04T00:00:00"/>
        <d v="2023-05-11T00:00:00"/>
        <d v="2022-08-14T00:00:00"/>
        <d v="2023-01-11T00:00:00"/>
        <d v="2023-05-01T00:00:00"/>
        <d v="2023-05-13T00:00:00"/>
        <d v="2023-06-09T00:00:00"/>
        <d v="2023-05-21T00:00:00"/>
        <d v="2022-09-04T00:00:00"/>
        <d v="2023-05-06T00:00:00"/>
        <d v="2022-10-01T00:00:00"/>
        <d v="2022-10-05T00:00:00"/>
        <d v="2023-07-17T00:00:00"/>
        <d v="2023-05-03T00:00:00"/>
        <d v="2023-05-19T00:00:00"/>
        <d v="2023-06-17T00:00:00"/>
        <d v="2023-01-15T00:00:00"/>
        <d v="2023-06-22T00:00:00"/>
        <d v="2023-06-02T00:00:00"/>
        <d v="2022-08-07T00:00:00"/>
        <d v="2022-09-27T00:00:00"/>
        <d v="2023-06-05T00:00:00"/>
        <d v="2022-09-05T00:00:00"/>
        <d v="2023-01-25T00:00:00"/>
        <d v="2022-10-28T00:00:00"/>
        <d v="2023-05-27T00:00:00"/>
        <d v="2023-04-14T00:00:00"/>
        <d v="2023-06-30T00:00:00"/>
        <d v="2022-11-06T00:00:00"/>
        <d v="2023-03-24T00:00:00"/>
        <d v="2023-02-20T00:00:00"/>
        <d v="2023-06-11T00:00:00"/>
        <d v="2022-08-02T00:00:00"/>
        <d v="2022-12-13T00:00:00"/>
        <d v="2023-05-20T00:00:00"/>
        <d v="2023-05-17T00:00:00"/>
        <d v="2023-02-11T00:00:00"/>
        <d v="2023-02-09T00:00:00"/>
        <d v="2022-08-13T00:00:00"/>
        <d v="2023-02-16T00:00:00"/>
        <d v="2022-12-29T00:00:00"/>
        <d v="2023-02-01T00:00:00"/>
        <d v="2023-02-18T00:00:00"/>
        <d v="2022-12-03T00:00:00"/>
        <d v="2022-10-12T00:00:00"/>
        <d v="2022-08-19T00:00:00"/>
        <d v="2022-09-09T00:00:00"/>
        <d v="2023-02-02T00:00:00"/>
        <d v="2023-05-26T00:00:00"/>
        <d v="2023-02-14T00:00:00"/>
        <d v="2023-06-28T00:00:00"/>
        <d v="2023-01-13T00:00:00"/>
        <d v="2022-12-19T00:00:00"/>
        <m/>
      </sharedItems>
      <fieldGroup par="17"/>
    </cacheField>
    <cacheField name="end_date" numFmtId="14">
      <sharedItems containsNonDate="0" containsDate="1" containsString="0" containsBlank="1" minDate="2023-08-02T00:00:00" maxDate="2024-08-01T00:00:00"/>
    </cacheField>
    <cacheField name="budget" numFmtId="0">
      <sharedItems containsString="0" containsBlank="1" containsNumber="1" minValue="1052.57" maxValue="99957.15"/>
    </cacheField>
    <cacheField name="roi" numFmtId="0">
      <sharedItems containsString="0" containsBlank="1" containsNumber="1" minValue="-0.99825406070854061" maxValue="884.75899940146508"/>
    </cacheField>
    <cacheField name="type" numFmtId="0">
      <sharedItems containsBlank="1" count="5">
        <s v="email"/>
        <s v="podcast"/>
        <s v="webinar"/>
        <s v="social media"/>
        <m/>
      </sharedItems>
    </cacheField>
    <cacheField name="target_audience" numFmtId="0">
      <sharedItems containsBlank="1"/>
    </cacheField>
    <cacheField name="channel" numFmtId="0">
      <sharedItems containsBlank="1" count="5">
        <s v="organic"/>
        <s v="promotion"/>
        <s v="paid"/>
        <s v="referral"/>
        <m/>
      </sharedItems>
    </cacheField>
    <cacheField name="conversion_rate" numFmtId="0">
      <sharedItems containsString="0" containsBlank="1" containsNumber="1" minValue="0" maxValue="0.99"/>
    </cacheField>
    <cacheField name="revenue" numFmtId="0">
      <sharedItems containsString="0" containsBlank="1" containsNumber="1" minValue="108.21" maxValue="999712.49"/>
    </cacheField>
    <cacheField name="Ratio" numFmtId="0">
      <sharedItems containsString="0" containsBlank="1" containsNumber="1" minValue="1.7459392914594026E-3" maxValue="885.75899940146496"/>
    </cacheField>
    <cacheField name="Adjusted revenue" numFmtId="2">
      <sharedItems containsString="0" containsBlank="1" containsNumber="1" minValue="5503.15" maxValue="978459.10000000009"/>
    </cacheField>
    <cacheField name="Adjusted ROI" numFmtId="2">
      <sharedItems containsString="0" containsBlank="1" containsNumber="1" minValue="-0.5" maxValue="9.0000000000000018"/>
    </cacheField>
    <cacheField name="ROI status" numFmtId="0">
      <sharedItems containsBlank="1" count="3">
        <s v="OK"/>
        <s v="Failed"/>
        <m/>
      </sharedItems>
    </cacheField>
    <cacheField name="normalized ROI" numFmtId="2">
      <sharedItems containsString="0" containsBlank="1" containsNumber="1" minValue="-1" maxValue="1.0000000000000004"/>
    </cacheField>
    <cacheField name="Months (start_date)" numFmtId="0" databaseField="0">
      <fieldGroup base="1">
        <rangePr groupBy="months" startDate="2022-08-02T00:00:00" endDate="2023-08-02T00:00:00"/>
        <groupItems count="14">
          <s v="&lt;8/2/2022"/>
          <s v="Jan"/>
          <s v="Feb"/>
          <s v="Mar"/>
          <s v="Apr"/>
          <s v="May"/>
          <s v="Jun"/>
          <s v="Jul"/>
          <s v="Aug"/>
          <s v="Sep"/>
          <s v="Oct"/>
          <s v="Nov"/>
          <s v="Dec"/>
          <s v="&gt;8/2/2023"/>
        </groupItems>
      </fieldGroup>
    </cacheField>
    <cacheField name="Quarters (start_date)" numFmtId="0" databaseField="0">
      <fieldGroup base="1">
        <rangePr groupBy="quarters" startDate="2022-08-02T00:00:00" endDate="2023-08-02T00:00:00"/>
        <groupItems count="6">
          <s v="&lt;8/2/2022"/>
          <s v="Qtr1"/>
          <s v="Qtr2"/>
          <s v="Qtr3"/>
          <s v="Qtr4"/>
          <s v="&gt;8/2/2023"/>
        </groupItems>
      </fieldGroup>
    </cacheField>
    <cacheField name="Years (start_date)" numFmtId="0" databaseField="0">
      <fieldGroup base="1">
        <rangePr groupBy="years" startDate="2022-08-02T00:00:00" endDate="2023-08-02T00:00:00"/>
        <groupItems count="4">
          <s v="&lt;8/2/2022"/>
          <s v="2022"/>
          <s v="2023"/>
          <s v="&gt;8/2/2023"/>
        </groupItems>
      </fieldGroup>
    </cacheField>
  </cacheFields>
  <extLst>
    <ext xmlns:x14="http://schemas.microsoft.com/office/spreadsheetml/2009/9/main" uri="{725AE2AE-9491-48be-B2B4-4EB974FC3084}">
      <x14:pivotCacheDefinition pivotCacheId="18700301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medhat" refreshedDate="45891.543965856479" backgroundQuery="1" createdVersion="3" refreshedVersion="8" minRefreshableVersion="3" recordCount="0" supportSubquery="1" supportAdvancedDrill="1" xr:uid="{F6F656AA-2EC2-4526-8482-3F829E13BE5B}">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Measures]" caption="Measures" attribute="1" keyAttribute="1" defaultMemberUniqueName="[Measures].[__No measures defined]" dimensionUniqueName="[Measures]" displayFolder="" measures="1" count="1" memberValueDatatype="130" unbalanced="0"/>
    <cacheHierarchy uniqueName="[Table2].[campaign_name]" caption="campaign_name" attribute="1" defaultMemberUniqueName="[Table2].[campaign_name].[All]" allUniqueName="[Table2].[campaign_name].[All]" dimensionUniqueName="[Table2]" displayFolder="" count="2" memberValueDatatype="130" unbalanced="0"/>
    <cacheHierarchy uniqueName="[Table2].[start_date]" caption="start_date" attribute="1" time="1" defaultMemberUniqueName="[Table2].[start_date].[All]" allUniqueName="[Table2].[start_date].[All]" dimensionUniqueName="[Table2]" displayFolder="" count="2" memberValueDatatype="7" unbalanced="0"/>
    <cacheHierarchy uniqueName="[Table2].[end_date]" caption="end_date" attribute="1" time="1" defaultMemberUniqueName="[Table2].[end_date].[All]" allUniqueName="[Table2].[end_date].[All]" dimensionUniqueName="[Table2]" displayFolder="" count="2" memberValueDatatype="7" unbalanced="0"/>
    <cacheHierarchy uniqueName="[Table2].[budget]" caption="budget" attribute="1" defaultMemberUniqueName="[Table2].[budget].[All]" allUniqueName="[Table2].[budget].[All]" dimensionUniqueName="[Table2]" displayFolder="" count="2" memberValueDatatype="5" unbalanced="0"/>
    <cacheHierarchy uniqueName="[Table2].[roi]" caption="roi" attribute="1" defaultMemberUniqueName="[Table2].[roi].[All]" allUniqueName="[Table2].[roi].[All]" dimensionUniqueName="[Table2]" displayFolder="" count="2" memberValueDatatype="5" unbalanced="0"/>
    <cacheHierarchy uniqueName="[Table2].[type]" caption="type" attribute="1" defaultMemberUniqueName="[Table2].[type].[All]" allUniqueName="[Table2].[type].[All]" dimensionUniqueName="[Table2]" displayFolder="" count="2" memberValueDatatype="130" unbalanced="0"/>
    <cacheHierarchy uniqueName="[Table2].[target_audience]" caption="target_audience" attribute="1" defaultMemberUniqueName="[Table2].[target_audience].[All]" allUniqueName="[Table2].[target_audience].[All]" dimensionUniqueName="[Table2]" displayFolder="" count="2" memberValueDatatype="130" unbalanced="0"/>
    <cacheHierarchy uniqueName="[Table2].[channel]" caption="channel" attribute="1" defaultMemberUniqueName="[Table2].[channel].[All]" allUniqueName="[Table2].[channel].[All]" dimensionUniqueName="[Table2]" displayFolder="" count="2" memberValueDatatype="130" unbalanced="0"/>
    <cacheHierarchy uniqueName="[Table2].[conversion_rate]" caption="conversion_rate" attribute="1" defaultMemberUniqueName="[Table2].[conversion_rate].[All]" allUniqueName="[Table2].[conversion_rate].[All]" dimensionUniqueName="[Table2]" displayFolder="" count="2" memberValueDatatype="5" unbalanced="0"/>
    <cacheHierarchy uniqueName="[Table2].[revenue]" caption="revenue" attribute="1" defaultMemberUniqueName="[Table2].[revenue].[All]" allUniqueName="[Table2].[revenue].[All]" dimensionUniqueName="[Table2]" displayFolder="" count="2" memberValueDatatype="5" unbalanced="0"/>
    <cacheHierarchy uniqueName="[Table2].[Ratio]" caption="Ratio" attribute="1" defaultMemberUniqueName="[Table2].[Ratio].[All]" allUniqueName="[Table2].[Ratio].[All]" dimensionUniqueName="[Table2]" displayFolder="" count="2" memberValueDatatype="5" unbalanced="0"/>
    <cacheHierarchy uniqueName="[Table2].[Adjusted revenue]" caption="Adjusted revenue" attribute="1" defaultMemberUniqueName="[Table2].[Adjusted revenue].[All]" allUniqueName="[Table2].[Adjusted revenue].[All]" dimensionUniqueName="[Table2]" displayFolder="" count="2" memberValueDatatype="5" unbalanced="0"/>
    <cacheHierarchy uniqueName="[Table2].[Adjusted ROI]" caption="Adjusted ROI" attribute="1" defaultMemberUniqueName="[Table2].[Adjusted ROI].[All]" allUniqueName="[Table2].[Adjusted ROI].[All]" dimensionUniqueName="[Table2]" displayFolder="" count="2" memberValueDatatype="5" unbalanced="0"/>
    <cacheHierarchy uniqueName="[Table2].[ROI status]" caption="ROI status" attribute="1" defaultMemberUniqueName="[Table2].[ROI status].[All]" allUniqueName="[Table2].[ROI status].[All]" dimensionUniqueName="[Table2]" displayFolder="" count="2" memberValueDatatype="130" unbalanced="0"/>
    <cacheHierarchy uniqueName="[Table2].[normalized ROI]" caption="normalized ROI" attribute="1" defaultMemberUniqueName="[Table2].[normalized ROI].[All]" allUniqueName="[Table2].[normalized ROI].[All]" dimensionUniqueName="[Table2]" displayFolder="" count="2"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licerData="1" pivotCacheId="124346729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d v="2024-02-23T00:00:00"/>
    <n v="8082.3"/>
    <n v="86.795983816487876"/>
    <x v="0"/>
    <s v="B2B"/>
    <x v="0"/>
    <n v="0.4"/>
    <n v="709593.48"/>
    <n v="87.795983816487876"/>
    <n v="80823"/>
    <n v="9"/>
    <x v="0"/>
    <n v="1"/>
  </r>
  <r>
    <x v="1"/>
    <x v="1"/>
    <d v="2024-04-22T00:00:00"/>
    <n v="17712.98"/>
    <n v="28.165566719998555"/>
    <x v="0"/>
    <s v="B2C"/>
    <x v="1"/>
    <n v="0.66"/>
    <n v="516609.1"/>
    <n v="29.165566719998555"/>
    <n v="177129.8"/>
    <n v="8.9999999999999982"/>
    <x v="0"/>
    <n v="0.99999999999999956"/>
  </r>
  <r>
    <x v="2"/>
    <x v="2"/>
    <d v="2023-10-11T00:00:00"/>
    <n v="84643.1"/>
    <n v="4.4136417498886491"/>
    <x v="1"/>
    <s v="B2B"/>
    <x v="2"/>
    <n v="0.28000000000000003"/>
    <n v="458227.42"/>
    <n v="5.4136417498886491"/>
    <n v="458227.42"/>
    <n v="4.4136417498886491"/>
    <x v="0"/>
    <n v="3.4450894713399904E-2"/>
  </r>
  <r>
    <x v="3"/>
    <x v="3"/>
    <d v="2023-09-27T00:00:00"/>
    <n v="14589.75"/>
    <n v="5.1658856388903169"/>
    <x v="2"/>
    <s v="B2B"/>
    <x v="0"/>
    <n v="0.19"/>
    <n v="89958.73"/>
    <n v="6.1658856388903169"/>
    <n v="89958.73"/>
    <n v="5.1658856388903169"/>
    <x v="0"/>
    <n v="0.19281802924006675"/>
  </r>
  <r>
    <x v="4"/>
    <x v="4"/>
    <d v="2024-05-15T00:00:00"/>
    <n v="39291.9"/>
    <n v="0.20918942581040867"/>
    <x v="3"/>
    <s v="B2B"/>
    <x v="1"/>
    <n v="0.81"/>
    <n v="47511.35"/>
    <n v="1.2091894258104088"/>
    <n v="47511.35"/>
    <n v="0.20918942581040867"/>
    <x v="1"/>
    <n v="-0.85069696298728237"/>
  </r>
  <r>
    <x v="5"/>
    <x v="5"/>
    <d v="2023-12-13T00:00:00"/>
    <n v="75569.279999999999"/>
    <n v="6.3879506328497504"/>
    <x v="3"/>
    <s v="B2C"/>
    <x v="3"/>
    <n v="0.67"/>
    <n v="558302.11"/>
    <n v="7.3879506328497504"/>
    <n v="558302.11"/>
    <n v="6.3879506328497504"/>
    <x v="0"/>
    <n v="0.45009487007363158"/>
  </r>
  <r>
    <x v="6"/>
    <x v="6"/>
    <d v="2024-02-23T00:00:00"/>
    <n v="28964.45"/>
    <n v="4.9687855284667926"/>
    <x v="0"/>
    <s v="B2C"/>
    <x v="3"/>
    <n v="0.17"/>
    <n v="172882.59"/>
    <n v="5.9687855284667926"/>
    <n v="172882.59"/>
    <n v="4.9687855284667926"/>
    <x v="0"/>
    <n v="0.15132326915090366"/>
  </r>
  <r>
    <x v="7"/>
    <x v="7"/>
    <d v="2023-12-11T00:00:00"/>
    <n v="36800.58"/>
    <n v="4.6042991713717552"/>
    <x v="2"/>
    <s v="B2C"/>
    <x v="1"/>
    <n v="0.52"/>
    <n v="206241.46"/>
    <n v="5.6042991713717552"/>
    <n v="206241.46"/>
    <n v="4.6042991713717552"/>
    <x v="0"/>
    <n v="7.4589299236158979E-2"/>
  </r>
  <r>
    <x v="8"/>
    <x v="8"/>
    <d v="2024-01-11T00:00:00"/>
    <n v="40493.879999999997"/>
    <n v="17.144859420732221"/>
    <x v="2"/>
    <s v="B2C"/>
    <x v="0"/>
    <n v="0.47"/>
    <n v="734755.76"/>
    <n v="18.144859420732221"/>
    <n v="404938.8"/>
    <n v="9"/>
    <x v="0"/>
    <n v="1"/>
  </r>
  <r>
    <x v="9"/>
    <x v="9"/>
    <d v="2024-04-04T00:00:00"/>
    <n v="1816.22"/>
    <n v="309.13880477034724"/>
    <x v="3"/>
    <s v="B2C"/>
    <x v="3"/>
    <n v="0.85"/>
    <n v="563280.30000000005"/>
    <n v="310.13880477034724"/>
    <n v="18162.2"/>
    <n v="9"/>
    <x v="0"/>
    <n v="1"/>
  </r>
  <r>
    <x v="10"/>
    <x v="10"/>
    <d v="2024-06-15T00:00:00"/>
    <n v="94084.21"/>
    <n v="3.3208394904947385"/>
    <x v="1"/>
    <s v="B2B"/>
    <x v="3"/>
    <n v="0.23"/>
    <n v="406522.77"/>
    <n v="4.3208394904947385"/>
    <n v="406522.77"/>
    <n v="3.3208394904947385"/>
    <x v="0"/>
    <n v="-0.19561273884321295"/>
  </r>
  <r>
    <x v="11"/>
    <x v="11"/>
    <d v="2023-11-04T00:00:00"/>
    <n v="64041.37"/>
    <n v="1.7242151440545386"/>
    <x v="3"/>
    <s v="B2B"/>
    <x v="1"/>
    <n v="0.55000000000000004"/>
    <n v="174462.47"/>
    <n v="2.7242151440545386"/>
    <n v="174462.47"/>
    <n v="1.7242151440545386"/>
    <x v="0"/>
    <n v="-0.53174418019904457"/>
  </r>
  <r>
    <x v="12"/>
    <x v="12"/>
    <d v="2023-09-05T00:00:00"/>
    <n v="49375.81"/>
    <n v="12.780369375206201"/>
    <x v="3"/>
    <s v="B2B"/>
    <x v="0"/>
    <n v="0.95"/>
    <n v="680416.9"/>
    <n v="13.780369375206201"/>
    <n v="493758.1"/>
    <n v="9"/>
    <x v="0"/>
    <n v="1"/>
  </r>
  <r>
    <x v="13"/>
    <x v="13"/>
    <d v="2024-05-06T00:00:00"/>
    <n v="14810.62"/>
    <n v="31.24228762874208"/>
    <x v="2"/>
    <s v="B2B"/>
    <x v="3"/>
    <n v="0.45"/>
    <n v="477528.27"/>
    <n v="32.242287628742076"/>
    <n v="148106.20000000001"/>
    <n v="9"/>
    <x v="0"/>
    <n v="1"/>
  </r>
  <r>
    <x v="14"/>
    <x v="14"/>
    <d v="2023-09-05T00:00:00"/>
    <n v="36848.300000000003"/>
    <n v="-0.88626476662424047"/>
    <x v="2"/>
    <s v="B2C"/>
    <x v="3"/>
    <n v="0.1"/>
    <n v="4190.95"/>
    <n v="0.11373523337575953"/>
    <n v="18424.150000000001"/>
    <n v="-0.5"/>
    <x v="1"/>
    <n v="-1"/>
  </r>
  <r>
    <x v="15"/>
    <x v="15"/>
    <d v="2023-11-07T00:00:00"/>
    <n v="21510.43"/>
    <n v="7.7470324861009202E-2"/>
    <x v="0"/>
    <s v="B2B"/>
    <x v="3"/>
    <n v="0.92"/>
    <n v="23176.85"/>
    <n v="1.0774703248610091"/>
    <n v="23176.85"/>
    <n v="7.7470324861009202E-2"/>
    <x v="1"/>
    <n v="-0.87842730002926117"/>
  </r>
  <r>
    <x v="16"/>
    <x v="16"/>
    <d v="2024-01-25T00:00:00"/>
    <n v="99520.93"/>
    <n v="2.8799270665979511"/>
    <x v="1"/>
    <s v="B2C"/>
    <x v="2"/>
    <n v="0.65"/>
    <n v="386133.95"/>
    <n v="3.8799270665979511"/>
    <n v="386133.95"/>
    <n v="2.8799270665979511"/>
    <x v="0"/>
    <n v="-0.28843640703201034"/>
  </r>
  <r>
    <x v="17"/>
    <x v="17"/>
    <d v="2024-03-27T00:00:00"/>
    <n v="19213.46"/>
    <n v="47.157621271754287"/>
    <x v="0"/>
    <s v="B2B"/>
    <x v="0"/>
    <n v="0.96"/>
    <n v="925274.53"/>
    <n v="48.157621271754287"/>
    <n v="192134.59999999998"/>
    <n v="9"/>
    <x v="0"/>
    <n v="1"/>
  </r>
  <r>
    <x v="18"/>
    <x v="18"/>
    <d v="2023-08-17T00:00:00"/>
    <n v="17573.23"/>
    <n v="25.208030054804951"/>
    <x v="0"/>
    <s v="B2B"/>
    <x v="1"/>
    <n v="0.79"/>
    <n v="460559.74"/>
    <n v="26.208030054804951"/>
    <n v="175732.3"/>
    <n v="8.9999999999999982"/>
    <x v="0"/>
    <n v="0.99999999999999956"/>
  </r>
  <r>
    <x v="19"/>
    <x v="3"/>
    <d v="2024-05-30T00:00:00"/>
    <n v="25396.400000000001"/>
    <n v="10.532561701658501"/>
    <x v="0"/>
    <s v="B2C"/>
    <x v="1"/>
    <n v="0.1"/>
    <n v="292885.55"/>
    <n v="11.532561701658501"/>
    <n v="253964"/>
    <n v="9"/>
    <x v="0"/>
    <n v="1"/>
  </r>
  <r>
    <x v="20"/>
    <x v="19"/>
    <d v="2024-02-07T00:00:00"/>
    <n v="34644.22"/>
    <n v="12.825692424306276"/>
    <x v="1"/>
    <s v="B2B"/>
    <x v="3"/>
    <n v="0.72"/>
    <n v="478980.33"/>
    <n v="13.825692424306277"/>
    <n v="346442.2"/>
    <n v="9"/>
    <x v="0"/>
    <n v="1"/>
  </r>
  <r>
    <x v="21"/>
    <x v="20"/>
    <d v="2024-01-09T00:00:00"/>
    <n v="60274.59"/>
    <n v="15.160026306275995"/>
    <x v="2"/>
    <s v="B2B"/>
    <x v="0"/>
    <n v="0.91"/>
    <n v="974038.96"/>
    <n v="16.160026306275995"/>
    <n v="602745.89999999991"/>
    <n v="9"/>
    <x v="0"/>
    <n v="1"/>
  </r>
  <r>
    <x v="22"/>
    <x v="21"/>
    <d v="2024-07-15T00:00:00"/>
    <n v="79680.62"/>
    <n v="4.4658756420319019"/>
    <x v="0"/>
    <s v="B2B"/>
    <x v="1"/>
    <n v="0.96"/>
    <n v="435524.36"/>
    <n v="5.4658756420319019"/>
    <n v="435524.36"/>
    <n v="4.4658756420319019"/>
    <x v="0"/>
    <n v="4.5447503585663629E-2"/>
  </r>
  <r>
    <x v="23"/>
    <x v="22"/>
    <d v="2023-08-11T00:00:00"/>
    <n v="46775.63"/>
    <n v="16.41659663375993"/>
    <x v="2"/>
    <s v="B2B"/>
    <x v="3"/>
    <n v="0.75"/>
    <n v="814672.28"/>
    <n v="17.41659663375993"/>
    <n v="467756.3"/>
    <n v="9"/>
    <x v="0"/>
    <n v="1"/>
  </r>
  <r>
    <x v="24"/>
    <x v="23"/>
    <d v="2024-07-24T00:00:00"/>
    <n v="48366.5"/>
    <n v="-0.15220348795137137"/>
    <x v="3"/>
    <s v="B2B"/>
    <x v="1"/>
    <n v="0.87"/>
    <n v="41004.949999999997"/>
    <n v="0.8477965120486286"/>
    <n v="41004.949999999997"/>
    <n v="-0.15220348795137137"/>
    <x v="1"/>
    <n v="-0.92677968167397295"/>
  </r>
  <r>
    <x v="25"/>
    <x v="24"/>
    <d v="2024-01-28T00:00:00"/>
    <n v="84973.4"/>
    <n v="3.5983406571938983"/>
    <x v="1"/>
    <s v="B2C"/>
    <x v="0"/>
    <n v="0.16"/>
    <n v="390736.64000000001"/>
    <n v="4.5983406571938987"/>
    <n v="390736.64000000001"/>
    <n v="3.5983406571938983"/>
    <x v="0"/>
    <n v="-0.13719144059075838"/>
  </r>
  <r>
    <x v="26"/>
    <x v="1"/>
    <d v="2023-11-17T00:00:00"/>
    <n v="37344.699999999997"/>
    <n v="11.412510476720927"/>
    <x v="0"/>
    <s v="B2C"/>
    <x v="0"/>
    <n v="0.43"/>
    <n v="463541.48"/>
    <n v="12.412510476720927"/>
    <n v="373447"/>
    <n v="9"/>
    <x v="0"/>
    <n v="1"/>
  </r>
  <r>
    <x v="27"/>
    <x v="25"/>
    <d v="2023-10-09T00:00:00"/>
    <n v="14391.98"/>
    <n v="30.721653309690542"/>
    <x v="0"/>
    <s v="B2C"/>
    <x v="1"/>
    <n v="0.83"/>
    <n v="456537.4"/>
    <n v="31.721653309690538"/>
    <n v="143919.79999999999"/>
    <n v="9"/>
    <x v="0"/>
    <n v="1"/>
  </r>
  <r>
    <x v="28"/>
    <x v="26"/>
    <d v="2023-10-05T00:00:00"/>
    <n v="99838.63"/>
    <n v="-0.85903662740564457"/>
    <x v="0"/>
    <s v="B2B"/>
    <x v="0"/>
    <n v="0.18"/>
    <n v="14073.59"/>
    <n v="0.14096337259435551"/>
    <n v="49919.315000000002"/>
    <n v="-0.5"/>
    <x v="1"/>
    <n v="-1"/>
  </r>
  <r>
    <x v="29"/>
    <x v="27"/>
    <d v="2024-07-03T00:00:00"/>
    <n v="29076.12"/>
    <n v="31.614721290185901"/>
    <x v="3"/>
    <s v="B2B"/>
    <x v="3"/>
    <n v="0.1"/>
    <n v="948309.55"/>
    <n v="32.614721290185898"/>
    <n v="290761.2"/>
    <n v="9"/>
    <x v="0"/>
    <n v="1"/>
  </r>
  <r>
    <x v="30"/>
    <x v="28"/>
    <d v="2023-09-20T00:00:00"/>
    <n v="87963.28"/>
    <n v="10.299109924050127"/>
    <x v="1"/>
    <s v="B2B"/>
    <x v="1"/>
    <n v="0.56999999999999995"/>
    <n v="993906.77"/>
    <n v="11.299109924050127"/>
    <n v="879632.8"/>
    <n v="9"/>
    <x v="0"/>
    <n v="1"/>
  </r>
  <r>
    <x v="31"/>
    <x v="29"/>
    <d v="2023-12-12T00:00:00"/>
    <n v="53935.8"/>
    <n v="16.773985367789109"/>
    <x v="3"/>
    <s v="B2C"/>
    <x v="2"/>
    <n v="0.4"/>
    <n v="958654.12"/>
    <n v="17.773985367789113"/>
    <n v="539358"/>
    <n v="9"/>
    <x v="0"/>
    <n v="1"/>
  </r>
  <r>
    <x v="32"/>
    <x v="30"/>
    <d v="2024-07-19T00:00:00"/>
    <n v="71277.100000000006"/>
    <n v="12.087297463000038"/>
    <x v="0"/>
    <s v="B2B"/>
    <x v="2"/>
    <n v="0.56000000000000005"/>
    <n v="932824.61"/>
    <n v="13.087297463000036"/>
    <n v="712771"/>
    <n v="9"/>
    <x v="0"/>
    <n v="1"/>
  </r>
  <r>
    <x v="33"/>
    <x v="31"/>
    <d v="2024-03-09T00:00:00"/>
    <n v="15968.2"/>
    <n v="25.928977592966017"/>
    <x v="3"/>
    <s v="B2C"/>
    <x v="2"/>
    <n v="0.15"/>
    <n v="430007.3"/>
    <n v="26.928977592966017"/>
    <n v="159682"/>
    <n v="8.9999999999999982"/>
    <x v="0"/>
    <n v="0.99999999999999956"/>
  </r>
  <r>
    <x v="34"/>
    <x v="32"/>
    <d v="2023-08-16T00:00:00"/>
    <n v="54468.41"/>
    <n v="15.966793963693817"/>
    <x v="3"/>
    <s v="B2C"/>
    <x v="2"/>
    <n v="0.7"/>
    <n v="924154.29"/>
    <n v="16.966793963693817"/>
    <n v="544684.10000000009"/>
    <n v="9"/>
    <x v="0"/>
    <n v="1"/>
  </r>
  <r>
    <x v="35"/>
    <x v="33"/>
    <d v="2024-02-15T00:00:00"/>
    <n v="29393.78"/>
    <n v="1.460515115782999"/>
    <x v="1"/>
    <s v="B2B"/>
    <x v="1"/>
    <n v="0.8"/>
    <n v="72323.839999999997"/>
    <n v="2.4605151157829988"/>
    <n v="72323.839999999997"/>
    <n v="1.460515115782999"/>
    <x v="0"/>
    <n v="-0.58725997562463172"/>
  </r>
  <r>
    <x v="36"/>
    <x v="34"/>
    <d v="2024-03-22T00:00:00"/>
    <n v="9147.7900000000009"/>
    <n v="3.5966238840200742"/>
    <x v="0"/>
    <s v="B2B"/>
    <x v="3"/>
    <n v="0.28000000000000003"/>
    <n v="42048.95"/>
    <n v="4.5966238840200742"/>
    <n v="42048.95"/>
    <n v="3.5966238840200742"/>
    <x v="0"/>
    <n v="-0.13755286652208965"/>
  </r>
  <r>
    <x v="37"/>
    <x v="35"/>
    <d v="2024-03-25T00:00:00"/>
    <n v="68801.22"/>
    <n v="6.0088430117954301"/>
    <x v="3"/>
    <s v="B2B"/>
    <x v="0"/>
    <n v="0.65"/>
    <n v="482216.95"/>
    <n v="7.0088430117954301"/>
    <n v="482216.95"/>
    <n v="6.0088430117954301"/>
    <x v="0"/>
    <n v="0.3702827393253536"/>
  </r>
  <r>
    <x v="38"/>
    <x v="36"/>
    <d v="2024-04-22T00:00:00"/>
    <n v="1309.17"/>
    <n v="207.7061878900372"/>
    <x v="1"/>
    <s v="B2C"/>
    <x v="0"/>
    <n v="0.27"/>
    <n v="273231.88"/>
    <n v="208.7061878900372"/>
    <n v="13091.7"/>
    <n v="9"/>
    <x v="0"/>
    <n v="1"/>
  </r>
  <r>
    <x v="39"/>
    <x v="37"/>
    <d v="2023-08-24T00:00:00"/>
    <n v="27168.6"/>
    <n v="24.940537973984675"/>
    <x v="3"/>
    <s v="B2B"/>
    <x v="0"/>
    <n v="0.1"/>
    <n v="704768.1"/>
    <n v="25.940537973984675"/>
    <n v="271686"/>
    <n v="9"/>
    <x v="0"/>
    <n v="1"/>
  </r>
  <r>
    <x v="40"/>
    <x v="38"/>
    <d v="2024-07-01T00:00:00"/>
    <n v="39682.9"/>
    <n v="1.935908413951601"/>
    <x v="2"/>
    <s v="B2B"/>
    <x v="2"/>
    <n v="0.7"/>
    <n v="116505.36"/>
    <n v="2.9359084139516014"/>
    <n v="116505.36"/>
    <n v="1.935908413951601"/>
    <x v="0"/>
    <n v="-0.48717717601018928"/>
  </r>
  <r>
    <x v="41"/>
    <x v="39"/>
    <d v="2024-01-06T00:00:00"/>
    <n v="89227.7"/>
    <n v="5.9191513397745323"/>
    <x v="1"/>
    <s v="B2C"/>
    <x v="1"/>
    <n v="0"/>
    <n v="617379.96"/>
    <n v="6.9191513397745315"/>
    <n v="617379.96"/>
    <n v="5.9191513397745323"/>
    <x v="0"/>
    <n v="0.35140028205779639"/>
  </r>
  <r>
    <x v="42"/>
    <x v="40"/>
    <d v="2024-04-16T00:00:00"/>
    <n v="96917.97"/>
    <n v="4.9016638503674814"/>
    <x v="1"/>
    <s v="B2C"/>
    <x v="1"/>
    <n v="0.39"/>
    <n v="571977.28"/>
    <n v="5.9016638503674814"/>
    <n v="571977.28"/>
    <n v="4.9016638503674814"/>
    <x v="0"/>
    <n v="0.13719238955104873"/>
  </r>
  <r>
    <x v="43"/>
    <x v="8"/>
    <d v="2023-12-12T00:00:00"/>
    <n v="28323.41"/>
    <n v="33.750805076083708"/>
    <x v="2"/>
    <s v="B2B"/>
    <x v="0"/>
    <n v="0.9"/>
    <n v="984261.3"/>
    <n v="34.750805076083708"/>
    <n v="283234.09999999998"/>
    <n v="8.9999999999999982"/>
    <x v="0"/>
    <n v="0.99999999999999956"/>
  </r>
  <r>
    <x v="44"/>
    <x v="10"/>
    <d v="2024-01-07T00:00:00"/>
    <n v="63656.18"/>
    <n v="0.21749278703183261"/>
    <x v="1"/>
    <s v="B2B"/>
    <x v="3"/>
    <n v="0.4"/>
    <n v="77500.94"/>
    <n v="1.2174927870318326"/>
    <n v="77500.94"/>
    <n v="0.21749278703183261"/>
    <x v="1"/>
    <n v="-0.84894888694066684"/>
  </r>
  <r>
    <x v="45"/>
    <x v="41"/>
    <d v="2024-07-01T00:00:00"/>
    <n v="69084.100000000006"/>
    <n v="2.0535728192159985"/>
    <x v="1"/>
    <s v="B2B"/>
    <x v="0"/>
    <n v="0.98"/>
    <n v="210953.33"/>
    <n v="3.0535728192159985"/>
    <n v="210953.33"/>
    <n v="2.0535728192159985"/>
    <x v="0"/>
    <n v="-0.46240572227031607"/>
  </r>
  <r>
    <x v="46"/>
    <x v="42"/>
    <d v="2023-10-06T00:00:00"/>
    <n v="65447.41"/>
    <n v="6.3021645929151351"/>
    <x v="0"/>
    <s v="B2B"/>
    <x v="2"/>
    <n v="0.26"/>
    <n v="477907.76"/>
    <n v="7.302164592915136"/>
    <n v="477907.76"/>
    <n v="6.3021645929151351"/>
    <x v="0"/>
    <n v="0.43203465114002837"/>
  </r>
  <r>
    <x v="47"/>
    <x v="43"/>
    <d v="2024-03-16T00:00:00"/>
    <n v="20328.53"/>
    <n v="31.3736000586368"/>
    <x v="0"/>
    <s v="B2B"/>
    <x v="0"/>
    <n v="0.97"/>
    <n v="658107.69999999995"/>
    <n v="32.373600058636804"/>
    <n v="203285.3"/>
    <n v="9"/>
    <x v="0"/>
    <n v="1"/>
  </r>
  <r>
    <x v="48"/>
    <x v="44"/>
    <d v="2024-02-13T00:00:00"/>
    <n v="8041.9"/>
    <n v="69.606243549409967"/>
    <x v="3"/>
    <s v="B2B"/>
    <x v="2"/>
    <n v="0.96"/>
    <n v="567808.35"/>
    <n v="70.606243549409967"/>
    <n v="80419"/>
    <n v="9.0000000000000018"/>
    <x v="0"/>
    <n v="1.0000000000000004"/>
  </r>
  <r>
    <x v="49"/>
    <x v="45"/>
    <d v="2023-11-05T00:00:00"/>
    <n v="19030.689999999999"/>
    <n v="23.809306441332396"/>
    <x v="2"/>
    <s v="B2C"/>
    <x v="1"/>
    <n v="0.75"/>
    <n v="472138.22"/>
    <n v="24.809306441332396"/>
    <n v="190306.9"/>
    <n v="9"/>
    <x v="0"/>
    <n v="1"/>
  </r>
  <r>
    <x v="50"/>
    <x v="46"/>
    <d v="2024-02-11T00:00:00"/>
    <n v="6124.7"/>
    <n v="63.890559537610009"/>
    <x v="0"/>
    <s v="B2B"/>
    <x v="3"/>
    <n v="0.67"/>
    <n v="397435.21"/>
    <n v="64.890559537610017"/>
    <n v="61247"/>
    <n v="9"/>
    <x v="0"/>
    <n v="1"/>
  </r>
  <r>
    <x v="51"/>
    <x v="26"/>
    <d v="2023-11-18T00:00:00"/>
    <n v="11271.19"/>
    <n v="46.764911247170886"/>
    <x v="3"/>
    <s v="B2C"/>
    <x v="3"/>
    <n v="0.81"/>
    <n v="538367.39"/>
    <n v="47.764911247170886"/>
    <n v="112711.90000000001"/>
    <n v="9"/>
    <x v="0"/>
    <n v="1"/>
  </r>
  <r>
    <x v="52"/>
    <x v="45"/>
    <d v="2024-03-18T00:00:00"/>
    <n v="28203.84"/>
    <n v="19.218742199643739"/>
    <x v="0"/>
    <s v="B2C"/>
    <x v="0"/>
    <n v="0.24"/>
    <n v="570246.17000000004"/>
    <n v="20.218742199643739"/>
    <n v="282038.40000000002"/>
    <n v="9.0000000000000018"/>
    <x v="0"/>
    <n v="1.0000000000000004"/>
  </r>
  <r>
    <x v="53"/>
    <x v="47"/>
    <d v="2024-03-12T00:00:00"/>
    <n v="99957.15"/>
    <n v="3.3068278757447565"/>
    <x v="2"/>
    <s v="B2C"/>
    <x v="3"/>
    <n v="0.62"/>
    <n v="430498.24"/>
    <n v="4.3068278757447569"/>
    <n v="430498.24"/>
    <n v="3.3068278757447565"/>
    <x v="0"/>
    <n v="-0.19856255247478816"/>
  </r>
  <r>
    <x v="54"/>
    <x v="48"/>
    <d v="2023-12-25T00:00:00"/>
    <n v="27675.42"/>
    <n v="23.305594278244016"/>
    <x v="0"/>
    <s v="B2B"/>
    <x v="2"/>
    <n v="0.1"/>
    <n v="672667.53"/>
    <n v="24.305594278244019"/>
    <n v="276754.19999999995"/>
    <n v="9"/>
    <x v="0"/>
    <n v="1"/>
  </r>
  <r>
    <x v="55"/>
    <x v="49"/>
    <d v="2023-09-30T00:00:00"/>
    <n v="12480.75"/>
    <n v="66.926923462131683"/>
    <x v="1"/>
    <s v="B2B"/>
    <x v="1"/>
    <n v="0.82"/>
    <n v="847778.95"/>
    <n v="67.926923462131683"/>
    <n v="124807.5"/>
    <n v="9"/>
    <x v="0"/>
    <n v="1"/>
  </r>
  <r>
    <x v="56"/>
    <x v="50"/>
    <d v="2024-06-06T00:00:00"/>
    <n v="84119.33"/>
    <n v="8.707562102551222"/>
    <x v="0"/>
    <s v="B2C"/>
    <x v="0"/>
    <n v="0.64"/>
    <n v="816593.62"/>
    <n v="9.7075621025512202"/>
    <n v="816593.62"/>
    <n v="8.707562102551222"/>
    <x v="0"/>
    <n v="0.93843412685288885"/>
  </r>
  <r>
    <x v="57"/>
    <x v="51"/>
    <d v="2024-01-20T00:00:00"/>
    <n v="6658.22"/>
    <n v="40.145046273628694"/>
    <x v="2"/>
    <s v="B2C"/>
    <x v="1"/>
    <n v="0.3"/>
    <n v="273952.77"/>
    <n v="41.145046273628687"/>
    <n v="66582.2"/>
    <n v="8.9999999999999982"/>
    <x v="0"/>
    <n v="0.99999999999999956"/>
  </r>
  <r>
    <x v="58"/>
    <x v="52"/>
    <d v="2024-04-16T00:00:00"/>
    <n v="53826.21"/>
    <n v="11.703788173085195"/>
    <x v="1"/>
    <s v="B2B"/>
    <x v="1"/>
    <n v="0.2"/>
    <n v="683796.77"/>
    <n v="12.703788173085195"/>
    <n v="538262.1"/>
    <n v="9"/>
    <x v="0"/>
    <n v="1"/>
  </r>
  <r>
    <x v="59"/>
    <x v="53"/>
    <d v="2023-08-11T00:00:00"/>
    <n v="85125"/>
    <n v="3.2836815271659328"/>
    <x v="2"/>
    <s v="B2C"/>
    <x v="1"/>
    <n v="0.14000000000000001"/>
    <n v="364648.39"/>
    <n v="4.2836815271659328"/>
    <n v="364648.39"/>
    <n v="3.2836815271659328"/>
    <x v="0"/>
    <n v="-0.20343546796506684"/>
  </r>
  <r>
    <x v="60"/>
    <x v="54"/>
    <d v="2024-01-03T00:00:00"/>
    <n v="79220.800000000003"/>
    <n v="-0.62667026841435591"/>
    <x v="3"/>
    <s v="B2C"/>
    <x v="2"/>
    <n v="0.3"/>
    <n v="29575.48"/>
    <n v="0.37332973158564414"/>
    <n v="39610.400000000001"/>
    <n v="-0.5"/>
    <x v="1"/>
    <n v="-1"/>
  </r>
  <r>
    <x v="61"/>
    <x v="43"/>
    <d v="2023-08-15T00:00:00"/>
    <n v="46560.5"/>
    <n v="9.5027924957850551"/>
    <x v="3"/>
    <s v="B2C"/>
    <x v="2"/>
    <n v="0.85"/>
    <n v="489015.27"/>
    <n v="10.502792495785055"/>
    <n v="465605"/>
    <n v="9"/>
    <x v="0"/>
    <n v="1"/>
  </r>
  <r>
    <x v="62"/>
    <x v="55"/>
    <d v="2024-04-22T00:00:00"/>
    <n v="56850.62"/>
    <n v="5.7389092678320832"/>
    <x v="3"/>
    <s v="B2C"/>
    <x v="3"/>
    <n v="0.98"/>
    <n v="383111.17"/>
    <n v="6.7389092678320832"/>
    <n v="383111.17"/>
    <n v="5.7389092678320832"/>
    <x v="0"/>
    <n v="0.31345458270149118"/>
  </r>
  <r>
    <x v="63"/>
    <x v="56"/>
    <d v="2024-02-16T00:00:00"/>
    <n v="94856.15"/>
    <n v="1.9909622096195132"/>
    <x v="0"/>
    <s v="B2B"/>
    <x v="3"/>
    <n v="0.23"/>
    <n v="283711.15999999997"/>
    <n v="2.9909622096195134"/>
    <n v="283711.15999999997"/>
    <n v="1.9909622096195132"/>
    <x v="0"/>
    <n v="-0.47558690323799713"/>
  </r>
  <r>
    <x v="64"/>
    <x v="27"/>
    <d v="2023-08-16T00:00:00"/>
    <n v="93383.63"/>
    <n v="7.0304190359702234"/>
    <x v="0"/>
    <s v="B2B"/>
    <x v="1"/>
    <n v="0.76"/>
    <n v="749909.68"/>
    <n v="8.0304190359702226"/>
    <n v="749909.68"/>
    <n v="7.0304190359702234"/>
    <x v="0"/>
    <n v="0.58535137599373122"/>
  </r>
  <r>
    <x v="65"/>
    <x v="57"/>
    <d v="2023-09-15T00:00:00"/>
    <n v="26183.57"/>
    <n v="15.414495807867299"/>
    <x v="3"/>
    <s v="B2B"/>
    <x v="3"/>
    <n v="0.26"/>
    <n v="429790.1"/>
    <n v="16.414495807867301"/>
    <n v="261835.7"/>
    <n v="9"/>
    <x v="0"/>
    <n v="1"/>
  </r>
  <r>
    <x v="66"/>
    <x v="58"/>
    <d v="2024-01-05T00:00:00"/>
    <n v="99128.36"/>
    <n v="7.5982921537287611"/>
    <x v="0"/>
    <s v="B2B"/>
    <x v="1"/>
    <n v="0.78"/>
    <n v="852334.6"/>
    <n v="8.5982921537287602"/>
    <n v="852334.6"/>
    <n v="7.5982921537287611"/>
    <x v="0"/>
    <n v="0.70490361131131785"/>
  </r>
  <r>
    <x v="67"/>
    <x v="47"/>
    <d v="2024-04-17T00:00:00"/>
    <n v="80647.64"/>
    <n v="9.814445035217398"/>
    <x v="2"/>
    <s v="B2B"/>
    <x v="3"/>
    <n v="0.81"/>
    <n v="872159.47"/>
    <n v="10.814445035217398"/>
    <n v="806476.4"/>
    <n v="9"/>
    <x v="0"/>
    <n v="1"/>
  </r>
  <r>
    <x v="68"/>
    <x v="59"/>
    <d v="2024-07-12T00:00:00"/>
    <n v="30883.42"/>
    <n v="27.278672828333132"/>
    <x v="3"/>
    <s v="B2B"/>
    <x v="2"/>
    <n v="0.37"/>
    <n v="873342.13"/>
    <n v="28.278672828333132"/>
    <n v="308834.19999999995"/>
    <n v="9"/>
    <x v="0"/>
    <n v="1"/>
  </r>
  <r>
    <x v="69"/>
    <x v="60"/>
    <d v="2024-07-06T00:00:00"/>
    <n v="24998.61"/>
    <n v="1.8504700861367889"/>
    <x v="2"/>
    <s v="B2C"/>
    <x v="0"/>
    <n v="0.39"/>
    <n v="71257.789999999994"/>
    <n v="2.8504700861367889"/>
    <n v="71257.789999999994"/>
    <n v="1.8504700861367889"/>
    <x v="0"/>
    <n v="-0.50516419239225496"/>
  </r>
  <r>
    <x v="70"/>
    <x v="61"/>
    <d v="2023-09-05T00:00:00"/>
    <n v="64119.81"/>
    <n v="2.30491590664414"/>
    <x v="3"/>
    <s v="B2B"/>
    <x v="1"/>
    <n v="0.93"/>
    <n v="211910.58"/>
    <n v="3.30491590664414"/>
    <n v="211910.58"/>
    <n v="2.30491590664414"/>
    <x v="0"/>
    <n v="-0.40949138807491792"/>
  </r>
  <r>
    <x v="71"/>
    <x v="62"/>
    <d v="2024-03-21T00:00:00"/>
    <n v="60594.85"/>
    <n v="13.033809968999016"/>
    <x v="3"/>
    <s v="B2C"/>
    <x v="2"/>
    <n v="0.82"/>
    <n v="850376.61"/>
    <n v="14.033809968999016"/>
    <n v="605948.5"/>
    <n v="9"/>
    <x v="0"/>
    <n v="1"/>
  </r>
  <r>
    <x v="72"/>
    <x v="63"/>
    <d v="2023-11-06T00:00:00"/>
    <n v="22411.360000000001"/>
    <n v="3.56847866439163"/>
    <x v="2"/>
    <s v="B2C"/>
    <x v="0"/>
    <n v="0.4"/>
    <n v="102385.82"/>
    <n v="4.5684786643916304"/>
    <n v="102385.82"/>
    <n v="3.56847866439163"/>
    <x v="0"/>
    <n v="-0.14347817591755152"/>
  </r>
  <r>
    <x v="73"/>
    <x v="64"/>
    <d v="2023-10-09T00:00:00"/>
    <n v="47906.32"/>
    <n v="17.198737243854257"/>
    <x v="2"/>
    <s v="B2B"/>
    <x v="1"/>
    <n v="0.45"/>
    <n v="871834.53"/>
    <n v="18.198737243854257"/>
    <n v="479063.2"/>
    <n v="9"/>
    <x v="0"/>
    <n v="1"/>
  </r>
  <r>
    <x v="74"/>
    <x v="65"/>
    <d v="2023-10-10T00:00:00"/>
    <n v="28548.76"/>
    <n v="5.3420103009727917"/>
    <x v="0"/>
    <s v="B2C"/>
    <x v="1"/>
    <n v="0.6"/>
    <n v="181056.53"/>
    <n v="6.3420103009727917"/>
    <n v="181056.53"/>
    <n v="5.3420103009727917"/>
    <x v="0"/>
    <n v="0.22989690546795605"/>
  </r>
  <r>
    <x v="75"/>
    <x v="66"/>
    <d v="2024-05-06T00:00:00"/>
    <n v="44251.43"/>
    <n v="18.130733176306393"/>
    <x v="0"/>
    <s v="B2B"/>
    <x v="3"/>
    <n v="0.16"/>
    <n v="846562.3"/>
    <n v="19.130733176306393"/>
    <n v="442514.3"/>
    <n v="9"/>
    <x v="0"/>
    <n v="1"/>
  </r>
  <r>
    <x v="76"/>
    <x v="67"/>
    <d v="2023-11-13T00:00:00"/>
    <n v="32895.11"/>
    <n v="3.1604396519725877"/>
    <x v="1"/>
    <s v="B2C"/>
    <x v="3"/>
    <n v="0.1"/>
    <n v="136858.12"/>
    <n v="4.1604396519725881"/>
    <n v="136858.12"/>
    <n v="3.1604396519725877"/>
    <x v="0"/>
    <n v="-0.22938112590050785"/>
  </r>
  <r>
    <x v="77"/>
    <x v="68"/>
    <d v="2024-04-06T00:00:00"/>
    <n v="55985.9"/>
    <n v="8.0276646441336119"/>
    <x v="3"/>
    <s v="B2B"/>
    <x v="0"/>
    <n v="0.59"/>
    <n v="505421.93"/>
    <n v="9.0276646441336119"/>
    <n v="505421.93"/>
    <n v="8.0276646441336119"/>
    <x v="0"/>
    <n v="0.79529781981760261"/>
  </r>
  <r>
    <x v="78"/>
    <x v="69"/>
    <d v="2024-02-19T00:00:00"/>
    <n v="23212.27"/>
    <n v="34.76462793169302"/>
    <x v="2"/>
    <s v="B2C"/>
    <x v="3"/>
    <n v="0.49"/>
    <n v="830178.2"/>
    <n v="35.76462793169302"/>
    <n v="232122.7"/>
    <n v="9"/>
    <x v="0"/>
    <n v="1"/>
  </r>
  <r>
    <x v="79"/>
    <x v="70"/>
    <d v="2024-02-13T00:00:00"/>
    <n v="42051.6"/>
    <n v="5.8413686994073952"/>
    <x v="0"/>
    <s v="B2B"/>
    <x v="3"/>
    <n v="0.25"/>
    <n v="287690.5"/>
    <n v="6.8413686994073952"/>
    <n v="287690.5"/>
    <n v="5.8413686994073952"/>
    <x v="0"/>
    <n v="0.33502498934892522"/>
  </r>
  <r>
    <x v="80"/>
    <x v="71"/>
    <d v="2023-08-10T00:00:00"/>
    <n v="79829.52"/>
    <n v="4.9229840039123367"/>
    <x v="0"/>
    <s v="B2B"/>
    <x v="2"/>
    <n v="0.7"/>
    <n v="472828.97"/>
    <n v="5.9229840039123367"/>
    <n v="472828.97"/>
    <n v="4.9229840039123367"/>
    <x v="0"/>
    <n v="0.14168084292891292"/>
  </r>
  <r>
    <x v="81"/>
    <x v="72"/>
    <d v="2024-04-21T00:00:00"/>
    <n v="96169.66"/>
    <n v="3.7361603441251638"/>
    <x v="1"/>
    <s v="B2C"/>
    <x v="0"/>
    <n v="0.45"/>
    <n v="455474.93"/>
    <n v="4.7361603441251638"/>
    <n v="455474.93"/>
    <n v="3.7361603441251638"/>
    <x v="0"/>
    <n v="-0.10817676965786027"/>
  </r>
  <r>
    <x v="82"/>
    <x v="73"/>
    <d v="2024-06-19T00:00:00"/>
    <n v="72722.22"/>
    <n v="7.5137432548126295"/>
    <x v="0"/>
    <s v="B2C"/>
    <x v="0"/>
    <n v="0.1"/>
    <n v="619138.31000000006"/>
    <n v="8.5137432548126295"/>
    <n v="619138.31000000006"/>
    <n v="7.5137432548126295"/>
    <x v="0"/>
    <n v="0.68710384311844841"/>
  </r>
  <r>
    <x v="83"/>
    <x v="74"/>
    <d v="2024-02-18T00:00:00"/>
    <n v="52125.2"/>
    <n v="-0.46753662336067775"/>
    <x v="2"/>
    <s v="B2C"/>
    <x v="3"/>
    <n v="0.8"/>
    <n v="27754.76"/>
    <n v="0.53246337663932219"/>
    <n v="27754.76"/>
    <n v="-0.46753662336067775"/>
    <x v="1"/>
    <n v="-0.9931656049180374"/>
  </r>
  <r>
    <x v="84"/>
    <x v="15"/>
    <d v="2024-03-22T00:00:00"/>
    <n v="77340.13"/>
    <n v="3.4918762096727787"/>
    <x v="2"/>
    <s v="B2B"/>
    <x v="3"/>
    <n v="0.74"/>
    <n v="347402.29"/>
    <n v="4.4918762096727782"/>
    <n v="347402.29"/>
    <n v="3.4918762096727787"/>
    <x v="0"/>
    <n v="-0.1596050084899413"/>
  </r>
  <r>
    <x v="85"/>
    <x v="75"/>
    <d v="2023-08-28T00:00:00"/>
    <n v="97763.51"/>
    <n v="1.503719946225335"/>
    <x v="2"/>
    <s v="B2C"/>
    <x v="1"/>
    <n v="0.7"/>
    <n v="244772.45"/>
    <n v="2.5037199462253352"/>
    <n v="244772.45"/>
    <n v="1.503719946225335"/>
    <x v="0"/>
    <n v="-0.57816422184729799"/>
  </r>
  <r>
    <x v="86"/>
    <x v="33"/>
    <d v="2024-03-27T00:00:00"/>
    <n v="15463.29"/>
    <n v="61.29279215483897"/>
    <x v="3"/>
    <s v="B2B"/>
    <x v="1"/>
    <n v="0.6"/>
    <n v="963251.51"/>
    <n v="62.29279215483897"/>
    <n v="154632.90000000002"/>
    <n v="9"/>
    <x v="0"/>
    <n v="1"/>
  </r>
  <r>
    <x v="87"/>
    <x v="76"/>
    <d v="2023-08-25T00:00:00"/>
    <n v="51210.38"/>
    <n v="9.4693362947121269"/>
    <x v="0"/>
    <s v="B2B"/>
    <x v="3"/>
    <n v="0.83"/>
    <n v="536138.68999999994"/>
    <n v="10.469336294712127"/>
    <n v="512103.8"/>
    <n v="9"/>
    <x v="0"/>
    <n v="1"/>
  </r>
  <r>
    <x v="88"/>
    <x v="77"/>
    <d v="2023-09-26T00:00:00"/>
    <n v="16066.41"/>
    <n v="30.67264684518819"/>
    <x v="0"/>
    <s v="B2B"/>
    <x v="2"/>
    <n v="0.3"/>
    <n v="508865.73"/>
    <n v="31.67264684518819"/>
    <n v="160664.1"/>
    <n v="9"/>
    <x v="0"/>
    <n v="1"/>
  </r>
  <r>
    <x v="89"/>
    <x v="78"/>
    <d v="2024-03-29T00:00:00"/>
    <n v="89383.19"/>
    <n v="8.2742623081588373"/>
    <x v="3"/>
    <s v="B2C"/>
    <x v="3"/>
    <n v="0.77"/>
    <n v="828963.15"/>
    <n v="9.2742623081588391"/>
    <n v="828963.15"/>
    <n v="8.2742623081588373"/>
    <x v="0"/>
    <n v="0.84721311750712358"/>
  </r>
  <r>
    <x v="90"/>
    <x v="79"/>
    <d v="2024-06-11T00:00:00"/>
    <n v="46558"/>
    <n v="5.7796481807637781"/>
    <x v="1"/>
    <s v="B2B"/>
    <x v="0"/>
    <n v="0.4"/>
    <n v="315646.86"/>
    <n v="6.7796481807637781"/>
    <n v="315646.86"/>
    <n v="5.7796481807637781"/>
    <x v="0"/>
    <n v="0.32203119595026908"/>
  </r>
  <r>
    <x v="91"/>
    <x v="16"/>
    <d v="2024-05-08T00:00:00"/>
    <n v="62178.3"/>
    <n v="4.1036853693330304"/>
    <x v="3"/>
    <s v="B2C"/>
    <x v="2"/>
    <n v="0.2"/>
    <n v="317338.48"/>
    <n v="5.1036853693330304"/>
    <n v="317338.48"/>
    <n v="4.1036853693330304"/>
    <x v="0"/>
    <n v="-3.0803080140414663E-2"/>
  </r>
  <r>
    <x v="92"/>
    <x v="80"/>
    <d v="2024-04-23T00:00:00"/>
    <n v="20201.5"/>
    <n v="15.602005791649134"/>
    <x v="2"/>
    <s v="B2B"/>
    <x v="1"/>
    <n v="0.89"/>
    <n v="335385.42"/>
    <n v="16.602005791649134"/>
    <n v="202015"/>
    <n v="9"/>
    <x v="0"/>
    <n v="1"/>
  </r>
  <r>
    <x v="93"/>
    <x v="81"/>
    <d v="2024-01-15T00:00:00"/>
    <n v="43643.99"/>
    <n v="9.7694974726187969"/>
    <x v="3"/>
    <s v="B2C"/>
    <x v="0"/>
    <n v="0.55000000000000004"/>
    <n v="470023.84"/>
    <n v="10.769497472618797"/>
    <n v="436439.89999999997"/>
    <n v="9"/>
    <x v="0"/>
    <n v="1"/>
  </r>
  <r>
    <x v="94"/>
    <x v="24"/>
    <d v="2024-05-07T00:00:00"/>
    <n v="20647.169999999998"/>
    <n v="35.801109304568136"/>
    <x v="0"/>
    <s v="B2B"/>
    <x v="0"/>
    <n v="0.78"/>
    <n v="759838.76"/>
    <n v="36.801109304568136"/>
    <n v="206471.69999999998"/>
    <n v="9"/>
    <x v="0"/>
    <n v="1"/>
  </r>
  <r>
    <x v="95"/>
    <x v="82"/>
    <d v="2024-05-08T00:00:00"/>
    <n v="29781.93"/>
    <n v="18.06633048966269"/>
    <x v="2"/>
    <s v="B2C"/>
    <x v="2"/>
    <n v="0.46"/>
    <n v="567832.12"/>
    <n v="19.06633048966269"/>
    <n v="297819.3"/>
    <n v="9"/>
    <x v="0"/>
    <n v="1"/>
  </r>
  <r>
    <x v="96"/>
    <x v="50"/>
    <d v="2023-11-23T00:00:00"/>
    <n v="89003.41"/>
    <n v="6.2304843151515197"/>
    <x v="1"/>
    <s v="B2C"/>
    <x v="3"/>
    <n v="0.18"/>
    <n v="643537.76"/>
    <n v="7.2304843151515206"/>
    <n v="643537.76"/>
    <n v="6.2304843151515197"/>
    <x v="0"/>
    <n v="0.41694406634768844"/>
  </r>
  <r>
    <x v="97"/>
    <x v="83"/>
    <d v="2024-03-26T00:00:00"/>
    <n v="34838.17"/>
    <n v="7.2201435953725479"/>
    <x v="1"/>
    <s v="B2B"/>
    <x v="1"/>
    <n v="0.22"/>
    <n v="286374.76"/>
    <n v="8.2201435953725479"/>
    <n v="286374.76"/>
    <n v="7.2201435953725479"/>
    <x v="0"/>
    <n v="0.62529338849948379"/>
  </r>
  <r>
    <x v="98"/>
    <x v="84"/>
    <d v="2023-11-16T00:00:00"/>
    <n v="8209.7999999999993"/>
    <n v="87.395181368608249"/>
    <x v="2"/>
    <s v="B2B"/>
    <x v="2"/>
    <n v="0.78"/>
    <n v="725706.76"/>
    <n v="88.395181368608263"/>
    <n v="82098"/>
    <n v="9"/>
    <x v="0"/>
    <n v="1"/>
  </r>
  <r>
    <x v="99"/>
    <x v="85"/>
    <d v="2023-08-20T00:00:00"/>
    <n v="13024.35"/>
    <n v="66.747611205165711"/>
    <x v="0"/>
    <s v="B2C"/>
    <x v="0"/>
    <n v="0.99"/>
    <n v="882368.6"/>
    <n v="67.747611205165711"/>
    <n v="130243.5"/>
    <n v="9"/>
    <x v="0"/>
    <n v="1"/>
  </r>
  <r>
    <x v="100"/>
    <x v="86"/>
    <d v="2024-07-02T00:00:00"/>
    <n v="9180.9500000000007"/>
    <n v="9.1408285634928852"/>
    <x v="2"/>
    <s v="B2C"/>
    <x v="0"/>
    <n v="0.97"/>
    <n v="93102.44"/>
    <n v="10.140828563492883"/>
    <n v="91809.5"/>
    <n v="9"/>
    <x v="0"/>
    <n v="1"/>
  </r>
  <r>
    <x v="101"/>
    <x v="87"/>
    <d v="2024-07-16T00:00:00"/>
    <n v="46215.77"/>
    <n v="6.0643918731636406"/>
    <x v="0"/>
    <s v="B2C"/>
    <x v="2"/>
    <n v="0.63"/>
    <n v="326486.31"/>
    <n v="7.0643918731636415"/>
    <n v="326486.31"/>
    <n v="6.0643918731636406"/>
    <x v="0"/>
    <n v="0.38197723645550319"/>
  </r>
  <r>
    <x v="102"/>
    <x v="88"/>
    <d v="2024-05-07T00:00:00"/>
    <n v="80474.62"/>
    <n v="3.8962209451874399"/>
    <x v="0"/>
    <s v="B2C"/>
    <x v="0"/>
    <n v="0.7"/>
    <n v="394021.52"/>
    <n v="4.8962209451874399"/>
    <n v="394021.52"/>
    <n v="3.8962209451874399"/>
    <x v="0"/>
    <n v="-7.4479801013170532E-2"/>
  </r>
  <r>
    <x v="103"/>
    <x v="89"/>
    <d v="2024-01-27T00:00:00"/>
    <n v="12789.78"/>
    <n v="39.363962476289657"/>
    <x v="0"/>
    <s v="B2C"/>
    <x v="2"/>
    <n v="0.4"/>
    <n v="516246.2"/>
    <n v="40.363962476289664"/>
    <n v="127897.8"/>
    <n v="9"/>
    <x v="0"/>
    <n v="1"/>
  </r>
  <r>
    <x v="104"/>
    <x v="90"/>
    <d v="2024-03-01T00:00:00"/>
    <n v="42818.39"/>
    <n v="17.176369312344534"/>
    <x v="0"/>
    <s v="B2B"/>
    <x v="1"/>
    <n v="0.14000000000000001"/>
    <n v="778282.87"/>
    <n v="18.176369312344534"/>
    <n v="428183.9"/>
    <n v="9"/>
    <x v="0"/>
    <n v="1"/>
  </r>
  <r>
    <x v="105"/>
    <x v="21"/>
    <d v="2023-08-10T00:00:00"/>
    <n v="77090.58"/>
    <n v="9.6112344724867818"/>
    <x v="0"/>
    <s v="B2C"/>
    <x v="0"/>
    <n v="0.1"/>
    <n v="818026.22"/>
    <n v="10.61123447248678"/>
    <n v="770905.8"/>
    <n v="9.0000000000000018"/>
    <x v="0"/>
    <n v="1.0000000000000004"/>
  </r>
  <r>
    <x v="106"/>
    <x v="91"/>
    <d v="2023-08-21T00:00:00"/>
    <n v="10659.15"/>
    <n v="46.526264289366416"/>
    <x v="0"/>
    <s v="B2B"/>
    <x v="1"/>
    <n v="0.84"/>
    <n v="506589.58"/>
    <n v="47.526264289366416"/>
    <n v="106591.5"/>
    <n v="9"/>
    <x v="0"/>
    <n v="1"/>
  </r>
  <r>
    <x v="107"/>
    <x v="91"/>
    <d v="2024-06-19T00:00:00"/>
    <n v="71211.28"/>
    <n v="7.8219506797237743"/>
    <x v="0"/>
    <s v="B2B"/>
    <x v="3"/>
    <n v="0.94"/>
    <n v="628222.4"/>
    <n v="8.8219506797237752"/>
    <n v="628222.4"/>
    <n v="7.8219506797237743"/>
    <x v="0"/>
    <n v="0.75198961678395237"/>
  </r>
  <r>
    <x v="108"/>
    <x v="92"/>
    <d v="2023-08-04T00:00:00"/>
    <n v="55105.95"/>
    <n v="16.794690772956461"/>
    <x v="0"/>
    <s v="B2B"/>
    <x v="2"/>
    <n v="0.65"/>
    <n v="980593.34"/>
    <n v="17.794690772956461"/>
    <n v="551059.5"/>
    <n v="9"/>
    <x v="0"/>
    <n v="1"/>
  </r>
  <r>
    <x v="109"/>
    <x v="93"/>
    <d v="2024-01-26T00:00:00"/>
    <n v="22701.3"/>
    <n v="2.953085946619797"/>
    <x v="0"/>
    <s v="B2C"/>
    <x v="1"/>
    <n v="0.86"/>
    <n v="89740.19"/>
    <n v="3.9530859466197974"/>
    <n v="89740.19"/>
    <n v="2.953085946619797"/>
    <x v="0"/>
    <n v="-0.27303453755372697"/>
  </r>
  <r>
    <x v="110"/>
    <x v="94"/>
    <d v="2024-05-12T00:00:00"/>
    <n v="28460.11"/>
    <n v="19.869538100871711"/>
    <x v="3"/>
    <s v="B2B"/>
    <x v="2"/>
    <n v="0.37"/>
    <n v="593949.35"/>
    <n v="20.869538100871711"/>
    <n v="284601.09999999998"/>
    <n v="9"/>
    <x v="0"/>
    <n v="1"/>
  </r>
  <r>
    <x v="111"/>
    <x v="95"/>
    <d v="2024-06-25T00:00:00"/>
    <n v="81474.69"/>
    <n v="0.43049860024014808"/>
    <x v="0"/>
    <s v="B2B"/>
    <x v="2"/>
    <n v="0.98"/>
    <n v="116549.43"/>
    <n v="1.4304986002401481"/>
    <n v="116549.43"/>
    <n v="0.43049860024014808"/>
    <x v="1"/>
    <n v="-0.80410555784417936"/>
  </r>
  <r>
    <x v="112"/>
    <x v="78"/>
    <d v="2023-12-12T00:00:00"/>
    <n v="99406.41"/>
    <n v="3.8819581151758724"/>
    <x v="2"/>
    <s v="B2B"/>
    <x v="1"/>
    <n v="0.3"/>
    <n v="485297.93"/>
    <n v="4.8819581151758724"/>
    <n v="485297.93"/>
    <n v="3.8819581151758724"/>
    <x v="0"/>
    <n v="-7.7482502068237369E-2"/>
  </r>
  <r>
    <x v="113"/>
    <x v="15"/>
    <d v="2023-09-24T00:00:00"/>
    <n v="89764.52"/>
    <n v="2.8581003942314847"/>
    <x v="1"/>
    <s v="B2C"/>
    <x v="0"/>
    <n v="0.8"/>
    <n v="346320.53"/>
    <n v="3.8581003942314851"/>
    <n v="346320.53"/>
    <n v="2.8581003942314847"/>
    <x v="0"/>
    <n v="-0.29303149595126643"/>
  </r>
  <r>
    <x v="114"/>
    <x v="96"/>
    <d v="2023-11-04T00:00:00"/>
    <n v="11769.71"/>
    <n v="12.181493851590227"/>
    <x v="2"/>
    <s v="B2B"/>
    <x v="2"/>
    <n v="0.24"/>
    <n v="155142.35999999999"/>
    <n v="13.181493851590226"/>
    <n v="117697.09999999999"/>
    <n v="9"/>
    <x v="0"/>
    <n v="1"/>
  </r>
  <r>
    <x v="115"/>
    <x v="27"/>
    <d v="2024-05-11T00:00:00"/>
    <n v="44085.8"/>
    <n v="1.0143955650118632"/>
    <x v="2"/>
    <s v="B2B"/>
    <x v="3"/>
    <n v="0.71"/>
    <n v="88806.24"/>
    <n v="2.014395565011863"/>
    <n v="88806.24"/>
    <n v="1.0143955650118632"/>
    <x v="0"/>
    <n v="-0.68117988105013405"/>
  </r>
  <r>
    <x v="116"/>
    <x v="97"/>
    <d v="2024-04-11T00:00:00"/>
    <n v="31712.22"/>
    <n v="15.51737815895576"/>
    <x v="0"/>
    <s v="B2C"/>
    <x v="2"/>
    <n v="0.12"/>
    <n v="523802.73"/>
    <n v="16.517378158955758"/>
    <n v="317122.2"/>
    <n v="8.9999999999999982"/>
    <x v="0"/>
    <n v="0.99999999999999956"/>
  </r>
  <r>
    <x v="117"/>
    <x v="98"/>
    <d v="2023-09-02T00:00:00"/>
    <n v="34455.949999999997"/>
    <n v="16.471470674876183"/>
    <x v="3"/>
    <s v="B2B"/>
    <x v="0"/>
    <n v="0.6"/>
    <n v="601996.12"/>
    <n v="17.471470674876183"/>
    <n v="344559.5"/>
    <n v="9"/>
    <x v="0"/>
    <n v="1"/>
  </r>
  <r>
    <x v="118"/>
    <x v="99"/>
    <d v="2024-01-24T00:00:00"/>
    <n v="31468.43"/>
    <n v="3.6837484424866447"/>
    <x v="0"/>
    <s v="B2B"/>
    <x v="1"/>
    <n v="0.48"/>
    <n v="147390.21"/>
    <n v="4.6837484424866442"/>
    <n v="147390.21"/>
    <n v="3.6837484424866447"/>
    <x v="0"/>
    <n v="-0.1192108542133381"/>
  </r>
  <r>
    <x v="119"/>
    <x v="100"/>
    <d v="2024-06-13T00:00:00"/>
    <n v="89740.86"/>
    <n v="4.3184840216596996"/>
    <x v="3"/>
    <s v="B2C"/>
    <x v="2"/>
    <n v="0.21"/>
    <n v="477285.33"/>
    <n v="5.3184840216596987"/>
    <n v="477285.33"/>
    <n v="4.3184840216596996"/>
    <x v="0"/>
    <n v="1.4417688770463011E-2"/>
  </r>
  <r>
    <x v="120"/>
    <x v="15"/>
    <d v="2024-05-23T00:00:00"/>
    <n v="6806.2"/>
    <n v="75.37012429843378"/>
    <x v="2"/>
    <s v="B2B"/>
    <x v="2"/>
    <n v="0.78"/>
    <n v="519790.34"/>
    <n v="76.370124298433794"/>
    <n v="68062"/>
    <n v="9"/>
    <x v="0"/>
    <n v="1"/>
  </r>
  <r>
    <x v="121"/>
    <x v="101"/>
    <d v="2024-01-04T00:00:00"/>
    <n v="21795.27"/>
    <n v="17.243883649984607"/>
    <x v="3"/>
    <s v="B2B"/>
    <x v="1"/>
    <n v="0.89"/>
    <n v="397630.37"/>
    <n v="18.243883649984607"/>
    <n v="217952.7"/>
    <n v="9"/>
    <x v="0"/>
    <n v="1"/>
  </r>
  <r>
    <x v="122"/>
    <x v="102"/>
    <d v="2023-10-06T00:00:00"/>
    <n v="29328.34"/>
    <n v="2.1637896996556916"/>
    <x v="3"/>
    <s v="B2B"/>
    <x v="1"/>
    <n v="0.47"/>
    <n v="92788.7"/>
    <n v="3.1637896996556911"/>
    <n v="92788.7"/>
    <n v="2.1637896996556916"/>
    <x v="0"/>
    <n v="-0.43920216849353866"/>
  </r>
  <r>
    <x v="123"/>
    <x v="103"/>
    <d v="2024-07-11T00:00:00"/>
    <n v="7632.49"/>
    <n v="101.56816320755088"/>
    <x v="2"/>
    <s v="B2B"/>
    <x v="0"/>
    <n v="0.62"/>
    <n v="782850.48"/>
    <n v="102.56816320755088"/>
    <n v="76324.899999999994"/>
    <n v="8.9999999999999982"/>
    <x v="0"/>
    <n v="0.99999999999999956"/>
  </r>
  <r>
    <x v="124"/>
    <x v="104"/>
    <d v="2024-05-17T00:00:00"/>
    <n v="46890.76"/>
    <n v="4.5222596093558733"/>
    <x v="2"/>
    <s v="B2B"/>
    <x v="0"/>
    <n v="0.64"/>
    <n v="258942.95"/>
    <n v="5.5222596093558733"/>
    <n v="258942.95"/>
    <n v="4.5222596093558733"/>
    <x v="0"/>
    <n v="5.731781249597323E-2"/>
  </r>
  <r>
    <x v="125"/>
    <x v="105"/>
    <d v="2024-05-26T00:00:00"/>
    <n v="81853.53"/>
    <n v="10.911186115003225"/>
    <x v="2"/>
    <s v="B2C"/>
    <x v="3"/>
    <n v="0.17"/>
    <n v="974972.63"/>
    <n v="11.911186115003225"/>
    <n v="818535.3"/>
    <n v="9"/>
    <x v="0"/>
    <n v="1"/>
  </r>
  <r>
    <x v="126"/>
    <x v="70"/>
    <d v="2024-04-07T00:00:00"/>
    <n v="46635.4"/>
    <n v="13.85372270850041"/>
    <x v="3"/>
    <s v="B2C"/>
    <x v="1"/>
    <n v="0.46"/>
    <n v="692709.3"/>
    <n v="14.85372270850041"/>
    <n v="466354"/>
    <n v="9"/>
    <x v="0"/>
    <n v="1"/>
  </r>
  <r>
    <x v="127"/>
    <x v="106"/>
    <d v="2023-09-21T00:00:00"/>
    <n v="31531.599999999999"/>
    <n v="16.480018457674205"/>
    <x v="2"/>
    <s v="B2C"/>
    <x v="3"/>
    <n v="0.68"/>
    <n v="551172.94999999995"/>
    <n v="17.480018457674205"/>
    <n v="315316"/>
    <n v="9.0000000000000018"/>
    <x v="0"/>
    <n v="1.0000000000000004"/>
  </r>
  <r>
    <x v="128"/>
    <x v="107"/>
    <d v="2023-10-10T00:00:00"/>
    <n v="51428.639999999999"/>
    <n v="1.1548129602493864"/>
    <x v="3"/>
    <s v="B2C"/>
    <x v="3"/>
    <n v="0.28000000000000003"/>
    <n v="110819.1"/>
    <n v="2.1548129602493864"/>
    <n v="110819.1"/>
    <n v="1.1548129602493864"/>
    <x v="0"/>
    <n v="-0.6516183241580239"/>
  </r>
  <r>
    <x v="129"/>
    <x v="108"/>
    <d v="2024-01-22T00:00:00"/>
    <n v="83726.63"/>
    <n v="4.4737215626617237"/>
    <x v="2"/>
    <s v="B2B"/>
    <x v="0"/>
    <n v="0.13"/>
    <n v="458296.26"/>
    <n v="5.4737215626617237"/>
    <n v="458296.26"/>
    <n v="4.4737215626617237"/>
    <x v="0"/>
    <n v="4.7099276349836572E-2"/>
  </r>
  <r>
    <x v="130"/>
    <x v="109"/>
    <d v="2024-06-11T00:00:00"/>
    <n v="85417.27"/>
    <n v="4.9660862493029798"/>
    <x v="2"/>
    <s v="B2C"/>
    <x v="3"/>
    <n v="0.74"/>
    <n v="509606.8"/>
    <n v="5.9660862493029798"/>
    <n v="509606.8"/>
    <n v="4.9660862493029798"/>
    <x v="0"/>
    <n v="0.15075499985325891"/>
  </r>
  <r>
    <x v="131"/>
    <x v="108"/>
    <d v="2023-09-05T00:00:00"/>
    <n v="44082.14"/>
    <n v="19.484538409432936"/>
    <x v="0"/>
    <s v="B2C"/>
    <x v="0"/>
    <n v="0.49"/>
    <n v="903002.29"/>
    <n v="20.484538409432936"/>
    <n v="440821.4"/>
    <n v="9"/>
    <x v="0"/>
    <n v="1"/>
  </r>
  <r>
    <x v="132"/>
    <x v="110"/>
    <d v="2023-11-21T00:00:00"/>
    <n v="61946.3"/>
    <n v="2.5152249609742632"/>
    <x v="2"/>
    <s v="B2C"/>
    <x v="2"/>
    <n v="0.85"/>
    <n v="217755.18"/>
    <n v="3.5152249609742627"/>
    <n v="217755.18"/>
    <n v="2.5152249609742632"/>
    <x v="0"/>
    <n v="-0.36521579768962875"/>
  </r>
  <r>
    <x v="133"/>
    <x v="48"/>
    <d v="2024-01-06T00:00:00"/>
    <n v="50168.89"/>
    <n v="11.173882260500482"/>
    <x v="0"/>
    <s v="B2B"/>
    <x v="3"/>
    <n v="0.67"/>
    <n v="610750.16"/>
    <n v="12.173882260500482"/>
    <n v="501688.9"/>
    <n v="9"/>
    <x v="0"/>
    <n v="1"/>
  </r>
  <r>
    <x v="134"/>
    <x v="97"/>
    <d v="2023-12-13T00:00:00"/>
    <n v="54331.15"/>
    <n v="17.268428148493083"/>
    <x v="3"/>
    <s v="B2B"/>
    <x v="1"/>
    <n v="0.39"/>
    <n v="992544.71"/>
    <n v="18.268428148493083"/>
    <n v="543311.5"/>
    <n v="9"/>
    <x v="0"/>
    <n v="1"/>
  </r>
  <r>
    <x v="135"/>
    <x v="64"/>
    <d v="2023-10-17T00:00:00"/>
    <n v="72529.72"/>
    <n v="0.33981931820500616"/>
    <x v="0"/>
    <s v="B2C"/>
    <x v="3"/>
    <n v="0.24"/>
    <n v="97176.72"/>
    <n v="1.3398193182050062"/>
    <n v="97176.72"/>
    <n v="0.33981931820500616"/>
    <x v="1"/>
    <n v="-0.82319593300947236"/>
  </r>
  <r>
    <x v="136"/>
    <x v="111"/>
    <d v="2023-09-06T00:00:00"/>
    <n v="40881.17"/>
    <n v="15.867942624929766"/>
    <x v="1"/>
    <s v="B2B"/>
    <x v="1"/>
    <n v="0.1"/>
    <n v="689581.23"/>
    <n v="16.867942624929768"/>
    <n v="408811.69999999995"/>
    <n v="9"/>
    <x v="0"/>
    <n v="1"/>
  </r>
  <r>
    <x v="137"/>
    <x v="112"/>
    <d v="2023-08-05T00:00:00"/>
    <n v="68885.7"/>
    <n v="1.3530403262215525"/>
    <x v="2"/>
    <s v="B2B"/>
    <x v="0"/>
    <n v="0.21"/>
    <n v="162090.82999999999"/>
    <n v="2.3530403262215525"/>
    <n v="162090.82999999999"/>
    <n v="1.3530403262215525"/>
    <x v="0"/>
    <n v="-0.60988624711125206"/>
  </r>
  <r>
    <x v="138"/>
    <x v="113"/>
    <d v="2023-09-16T00:00:00"/>
    <n v="48358"/>
    <n v="9.5017631002109262"/>
    <x v="0"/>
    <s v="B2C"/>
    <x v="2"/>
    <n v="0.39"/>
    <n v="507844.26"/>
    <n v="10.501763100210926"/>
    <n v="483580"/>
    <n v="9"/>
    <x v="0"/>
    <n v="1"/>
  </r>
  <r>
    <x v="139"/>
    <x v="114"/>
    <d v="2024-06-03T00:00:00"/>
    <n v="98289.74"/>
    <n v="7.2610944947051435"/>
    <x v="2"/>
    <s v="B2B"/>
    <x v="2"/>
    <n v="0.79"/>
    <n v="811980.83"/>
    <n v="8.2610944947051426"/>
    <n v="811980.83"/>
    <n v="7.2610944947051435"/>
    <x v="0"/>
    <n v="0.63391463046424068"/>
  </r>
  <r>
    <x v="140"/>
    <x v="115"/>
    <d v="2023-09-04T00:00:00"/>
    <n v="4016.62"/>
    <n v="191.46420124383189"/>
    <x v="3"/>
    <s v="B2B"/>
    <x v="3"/>
    <n v="0.99"/>
    <n v="773055.56"/>
    <n v="192.46420124383189"/>
    <n v="40166.199999999997"/>
    <n v="8.9999999999999982"/>
    <x v="0"/>
    <n v="0.99999999999999956"/>
  </r>
  <r>
    <x v="141"/>
    <x v="116"/>
    <d v="2024-06-03T00:00:00"/>
    <n v="41419.79"/>
    <n v="5.980708738503985"/>
    <x v="3"/>
    <s v="B2B"/>
    <x v="0"/>
    <n v="0.35"/>
    <n v="289139.49"/>
    <n v="6.980708738503985"/>
    <n v="289139.49"/>
    <n v="5.980708738503985"/>
    <x v="0"/>
    <n v="0.36435973442189162"/>
  </r>
  <r>
    <x v="142"/>
    <x v="27"/>
    <d v="2024-01-19T00:00:00"/>
    <n v="52686.92"/>
    <n v="7.409479050967489"/>
    <x v="3"/>
    <s v="B2B"/>
    <x v="0"/>
    <n v="0.28000000000000003"/>
    <n v="443069.55"/>
    <n v="8.409479050967489"/>
    <n v="443069.55"/>
    <n v="7.409479050967489"/>
    <x v="0"/>
    <n v="0.66515348441420818"/>
  </r>
  <r>
    <x v="143"/>
    <x v="117"/>
    <d v="2023-12-05T00:00:00"/>
    <n v="16420.77"/>
    <n v="37.492062796080816"/>
    <x v="3"/>
    <s v="B2C"/>
    <x v="0"/>
    <n v="0.73"/>
    <n v="632069.31000000006"/>
    <n v="38.492062796080816"/>
    <n v="164207.70000000001"/>
    <n v="9.0000000000000018"/>
    <x v="0"/>
    <n v="1.0000000000000004"/>
  </r>
  <r>
    <x v="144"/>
    <x v="118"/>
    <d v="2024-02-25T00:00:00"/>
    <n v="46976.52"/>
    <n v="6.9067402183048046"/>
    <x v="2"/>
    <s v="B2C"/>
    <x v="0"/>
    <n v="0.85"/>
    <n v="371431.14"/>
    <n v="7.9067402183048054"/>
    <n v="371431.14"/>
    <n v="6.9067402183048046"/>
    <x v="0"/>
    <n v="0.55931373016943264"/>
  </r>
  <r>
    <x v="145"/>
    <x v="119"/>
    <d v="2024-05-19T00:00:00"/>
    <n v="91122.63"/>
    <n v="8.1222484469554921"/>
    <x v="3"/>
    <s v="B2C"/>
    <x v="0"/>
    <n v="0.7"/>
    <n v="831243.27"/>
    <n v="9.1222484469554921"/>
    <n v="831243.27"/>
    <n v="8.1222484469554921"/>
    <x v="0"/>
    <n v="0.81521019935905104"/>
  </r>
  <r>
    <x v="146"/>
    <x v="120"/>
    <d v="2024-01-28T00:00:00"/>
    <n v="4855.9799999999996"/>
    <n v="132.65029510006221"/>
    <x v="1"/>
    <s v="B2B"/>
    <x v="1"/>
    <n v="0.85"/>
    <n v="649003.16"/>
    <n v="133.65029510006221"/>
    <n v="48559.799999999996"/>
    <n v="9"/>
    <x v="0"/>
    <n v="1"/>
  </r>
  <r>
    <x v="147"/>
    <x v="116"/>
    <d v="2023-12-20T00:00:00"/>
    <n v="54503.83"/>
    <n v="0.45107784168562098"/>
    <x v="3"/>
    <s v="B2B"/>
    <x v="1"/>
    <n v="0.9"/>
    <n v="79089.3"/>
    <n v="1.4510778416856209"/>
    <n v="79089.3"/>
    <n v="0.45107784168562098"/>
    <x v="1"/>
    <n v="-0.79977308596092189"/>
  </r>
  <r>
    <x v="148"/>
    <x v="30"/>
    <d v="2023-12-21T00:00:00"/>
    <n v="12098.23"/>
    <n v="21.367589308518685"/>
    <x v="0"/>
    <s v="B2C"/>
    <x v="2"/>
    <n v="0.44"/>
    <n v="270608.24"/>
    <n v="22.367589308518685"/>
    <n v="120982.29999999999"/>
    <n v="9"/>
    <x v="0"/>
    <n v="1"/>
  </r>
  <r>
    <x v="149"/>
    <x v="121"/>
    <d v="2024-03-15T00:00:00"/>
    <n v="14419.22"/>
    <n v="6.4957868733537598"/>
    <x v="1"/>
    <s v="B2C"/>
    <x v="1"/>
    <n v="0.18"/>
    <n v="108083.4"/>
    <n v="7.4957868733537598"/>
    <n v="108083.4"/>
    <n v="6.4957868733537598"/>
    <x v="0"/>
    <n v="0.47279723649552841"/>
  </r>
  <r>
    <x v="150"/>
    <x v="122"/>
    <d v="2023-10-17T00:00:00"/>
    <n v="59892.4"/>
    <n v="14.69955186300766"/>
    <x v="0"/>
    <s v="B2B"/>
    <x v="1"/>
    <n v="0.66"/>
    <n v="940283.84"/>
    <n v="15.69955186300766"/>
    <n v="598924"/>
    <n v="9"/>
    <x v="0"/>
    <n v="1"/>
  </r>
  <r>
    <x v="151"/>
    <x v="123"/>
    <d v="2024-07-05T00:00:00"/>
    <n v="5197.6099999999997"/>
    <n v="10.759558720257965"/>
    <x v="3"/>
    <s v="B2C"/>
    <x v="3"/>
    <n v="0.78"/>
    <n v="61121.599999999999"/>
    <n v="11.759558720257965"/>
    <n v="51976.1"/>
    <n v="9"/>
    <x v="0"/>
    <n v="1"/>
  </r>
  <r>
    <x v="152"/>
    <x v="124"/>
    <d v="2024-01-20T00:00:00"/>
    <n v="6310.87"/>
    <n v="132.96136982698107"/>
    <x v="0"/>
    <s v="B2C"/>
    <x v="2"/>
    <n v="0.62"/>
    <n v="845412.79"/>
    <n v="133.96136982698107"/>
    <n v="63108.7"/>
    <n v="9"/>
    <x v="0"/>
    <n v="1"/>
  </r>
  <r>
    <x v="153"/>
    <x v="125"/>
    <d v="2024-06-03T00:00:00"/>
    <n v="80612.13"/>
    <n v="0.39882335325961488"/>
    <x v="1"/>
    <s v="B2C"/>
    <x v="1"/>
    <n v="0.97"/>
    <n v="112762.13"/>
    <n v="1.3988233532596148"/>
    <n v="112762.13"/>
    <n v="0.39882335325961488"/>
    <x v="1"/>
    <n v="-0.81077403089271272"/>
  </r>
  <r>
    <x v="154"/>
    <x v="126"/>
    <d v="2023-09-27T00:00:00"/>
    <n v="80358.87"/>
    <n v="0.40268672269781808"/>
    <x v="2"/>
    <s v="B2B"/>
    <x v="0"/>
    <n v="0.64"/>
    <n v="112718.32"/>
    <n v="1.4026867226978181"/>
    <n v="112718.32"/>
    <n v="0.40268672269781808"/>
    <x v="1"/>
    <n v="-0.80996068995835402"/>
  </r>
  <r>
    <x v="155"/>
    <x v="127"/>
    <d v="2023-10-02T00:00:00"/>
    <n v="73855.23"/>
    <n v="1.9120817848647955"/>
    <x v="3"/>
    <s v="B2B"/>
    <x v="1"/>
    <n v="0.5"/>
    <n v="215072.47"/>
    <n v="2.912081784864796"/>
    <n v="215072.47"/>
    <n v="1.9120817848647955"/>
    <x v="0"/>
    <n v="-0.4921933084495167"/>
  </r>
  <r>
    <x v="156"/>
    <x v="28"/>
    <d v="2024-02-28T00:00:00"/>
    <n v="63911.62"/>
    <n v="1.776414836613436"/>
    <x v="1"/>
    <s v="B2C"/>
    <x v="0"/>
    <n v="0.49"/>
    <n v="177445.17"/>
    <n v="2.7764148366134358"/>
    <n v="177445.17"/>
    <n v="1.776414836613436"/>
    <x v="0"/>
    <n v="-0.5207547712392766"/>
  </r>
  <r>
    <x v="157"/>
    <x v="128"/>
    <d v="2023-08-22T00:00:00"/>
    <n v="50124.39"/>
    <n v="11.758607536171514"/>
    <x v="3"/>
    <s v="B2B"/>
    <x v="2"/>
    <n v="0.22"/>
    <n v="639517.42000000004"/>
    <n v="12.758607536171514"/>
    <n v="501243.9"/>
    <n v="9"/>
    <x v="0"/>
    <n v="1"/>
  </r>
  <r>
    <x v="158"/>
    <x v="34"/>
    <d v="2024-05-11T00:00:00"/>
    <n v="38086.239999999998"/>
    <n v="16.974745209818558"/>
    <x v="1"/>
    <s v="B2C"/>
    <x v="2"/>
    <n v="0.71"/>
    <n v="684590.46"/>
    <n v="17.974745209818558"/>
    <n v="380862.39999999997"/>
    <n v="9"/>
    <x v="0"/>
    <n v="1"/>
  </r>
  <r>
    <x v="159"/>
    <x v="129"/>
    <d v="2023-08-15T00:00:00"/>
    <n v="48046.33"/>
    <n v="5.1794174497823177E-2"/>
    <x v="1"/>
    <s v="B2C"/>
    <x v="1"/>
    <n v="0.45"/>
    <n v="50534.85"/>
    <n v="1.0517941744978232"/>
    <n v="50534.85"/>
    <n v="5.1794174497823177E-2"/>
    <x v="1"/>
    <n v="-0.88383280536887932"/>
  </r>
  <r>
    <x v="160"/>
    <x v="63"/>
    <d v="2023-10-02T00:00:00"/>
    <n v="63808.2"/>
    <n v="3.3182898122811801"/>
    <x v="0"/>
    <s v="B2B"/>
    <x v="1"/>
    <n v="0.17"/>
    <n v="275542.3"/>
    <n v="4.3182898122811801"/>
    <n v="275542.3"/>
    <n v="3.3182898122811801"/>
    <x v="0"/>
    <n v="-0.19614951320396212"/>
  </r>
  <r>
    <x v="161"/>
    <x v="126"/>
    <d v="2023-12-24T00:00:00"/>
    <n v="26057.53"/>
    <n v="5.5207914948193482"/>
    <x v="0"/>
    <s v="B2B"/>
    <x v="3"/>
    <n v="0.32"/>
    <n v="169915.72"/>
    <n v="6.5207914948193482"/>
    <n v="169915.72"/>
    <n v="5.5207914948193482"/>
    <x v="0"/>
    <n v="0.26753505154091539"/>
  </r>
  <r>
    <x v="162"/>
    <x v="130"/>
    <d v="2024-01-20T00:00:00"/>
    <n v="56381.599999999999"/>
    <n v="7.7369141705804738"/>
    <x v="3"/>
    <s v="B2C"/>
    <x v="3"/>
    <n v="0.41"/>
    <n v="492601.2"/>
    <n v="8.7369141705804729"/>
    <n v="492601.2"/>
    <n v="7.7369141705804738"/>
    <x v="0"/>
    <n v="0.73408719380641529"/>
  </r>
  <r>
    <x v="163"/>
    <x v="131"/>
    <d v="2023-10-14T00:00:00"/>
    <n v="57815.1"/>
    <n v="15.640391524013625"/>
    <x v="2"/>
    <s v="B2B"/>
    <x v="1"/>
    <n v="0.65"/>
    <n v="962065.9"/>
    <n v="16.640391524013623"/>
    <n v="578151"/>
    <n v="9"/>
    <x v="0"/>
    <n v="1"/>
  </r>
  <r>
    <x v="164"/>
    <x v="132"/>
    <d v="2023-09-11T00:00:00"/>
    <n v="75262.37"/>
    <n v="4.6050224036261422"/>
    <x v="2"/>
    <s v="B2B"/>
    <x v="3"/>
    <n v="0.7"/>
    <n v="421847.27"/>
    <n v="5.6050224036261422"/>
    <n v="421847.27"/>
    <n v="4.6050224036261422"/>
    <x v="0"/>
    <n v="7.4741558658135254E-2"/>
  </r>
  <r>
    <x v="165"/>
    <x v="133"/>
    <d v="2023-12-10T00:00:00"/>
    <n v="43226.59"/>
    <n v="12.266436006171205"/>
    <x v="3"/>
    <s v="B2B"/>
    <x v="3"/>
    <n v="0.53"/>
    <n v="573462.79"/>
    <n v="13.266436006171203"/>
    <n v="432265.89999999997"/>
    <n v="9"/>
    <x v="0"/>
    <n v="1"/>
  </r>
  <r>
    <x v="166"/>
    <x v="134"/>
    <d v="2024-05-03T00:00:00"/>
    <n v="84506.27"/>
    <n v="3.4453906201279501"/>
    <x v="1"/>
    <s v="B2C"/>
    <x v="0"/>
    <n v="0.63"/>
    <n v="375663.38"/>
    <n v="4.4453906201279505"/>
    <n v="375663.38"/>
    <n v="3.4453906201279501"/>
    <x v="0"/>
    <n v="-0.1693914483941158"/>
  </r>
  <r>
    <x v="167"/>
    <x v="135"/>
    <d v="2023-12-27T00:00:00"/>
    <n v="36457.879999999997"/>
    <n v="23.828172400589395"/>
    <x v="3"/>
    <s v="B2B"/>
    <x v="0"/>
    <n v="0.73"/>
    <n v="905182.53"/>
    <n v="24.828172400589395"/>
    <n v="364578.8"/>
    <n v="9"/>
    <x v="0"/>
    <n v="1"/>
  </r>
  <r>
    <x v="168"/>
    <x v="98"/>
    <d v="2024-01-25T00:00:00"/>
    <n v="10038.959999999999"/>
    <n v="89.814872257684073"/>
    <x v="1"/>
    <s v="B2B"/>
    <x v="1"/>
    <n v="0.7"/>
    <n v="911686.87"/>
    <n v="90.814872257684073"/>
    <n v="100389.59999999999"/>
    <n v="9"/>
    <x v="0"/>
    <n v="1"/>
  </r>
  <r>
    <x v="169"/>
    <x v="75"/>
    <d v="2024-01-27T00:00:00"/>
    <n v="27079.85"/>
    <n v="27.974909388345949"/>
    <x v="3"/>
    <s v="B2C"/>
    <x v="3"/>
    <n v="0.3"/>
    <n v="784636.2"/>
    <n v="28.974909388345946"/>
    <n v="270798.5"/>
    <n v="9"/>
    <x v="0"/>
    <n v="1"/>
  </r>
  <r>
    <x v="170"/>
    <x v="136"/>
    <d v="2024-07-12T00:00:00"/>
    <n v="34512.86"/>
    <n v="27.966376301471392"/>
    <x v="2"/>
    <s v="B2B"/>
    <x v="3"/>
    <n v="0.87"/>
    <n v="999712.49"/>
    <n v="28.966376301471392"/>
    <n v="345128.6"/>
    <n v="9"/>
    <x v="0"/>
    <n v="1"/>
  </r>
  <r>
    <x v="171"/>
    <x v="137"/>
    <d v="2024-03-21T00:00:00"/>
    <n v="16063.49"/>
    <n v="53.040757021045863"/>
    <x v="0"/>
    <s v="B2B"/>
    <x v="1"/>
    <n v="0.69"/>
    <n v="868083.16"/>
    <n v="54.040757021045863"/>
    <n v="160634.9"/>
    <n v="9"/>
    <x v="0"/>
    <n v="1"/>
  </r>
  <r>
    <x v="172"/>
    <x v="134"/>
    <d v="2023-11-20T00:00:00"/>
    <n v="61343.199999999997"/>
    <n v="14.380910190534568"/>
    <x v="3"/>
    <s v="B2B"/>
    <x v="3"/>
    <n v="0.73"/>
    <n v="943514.25"/>
    <n v="15.380910190534568"/>
    <n v="613432"/>
    <n v="9.0000000000000018"/>
    <x v="0"/>
    <n v="1.0000000000000004"/>
  </r>
  <r>
    <x v="173"/>
    <x v="138"/>
    <d v="2023-12-25T00:00:00"/>
    <n v="39585.980000000003"/>
    <n v="21.458386529776451"/>
    <x v="1"/>
    <s v="B2B"/>
    <x v="1"/>
    <n v="0.99"/>
    <n v="889037.24"/>
    <n v="22.458386529776448"/>
    <n v="395859.80000000005"/>
    <n v="9.0000000000000018"/>
    <x v="0"/>
    <n v="1.0000000000000004"/>
  </r>
  <r>
    <x v="174"/>
    <x v="139"/>
    <d v="2023-09-05T00:00:00"/>
    <n v="99535.21"/>
    <n v="0.43345133847610301"/>
    <x v="3"/>
    <s v="B2B"/>
    <x v="2"/>
    <n v="0.15"/>
    <n v="142678.88"/>
    <n v="1.433451338476103"/>
    <n v="142678.88"/>
    <n v="0.43345133847610301"/>
    <x v="1"/>
    <n v="-0.80348392874187302"/>
  </r>
  <r>
    <x v="175"/>
    <x v="140"/>
    <d v="2024-07-28T00:00:00"/>
    <n v="44466.83"/>
    <n v="10.349827050860158"/>
    <x v="2"/>
    <s v="B2B"/>
    <x v="1"/>
    <n v="0.31"/>
    <n v="504690.83"/>
    <n v="11.349827050860158"/>
    <n v="444668.30000000005"/>
    <n v="9"/>
    <x v="0"/>
    <n v="1"/>
  </r>
  <r>
    <x v="176"/>
    <x v="141"/>
    <d v="2023-10-12T00:00:00"/>
    <n v="70841.820000000007"/>
    <n v="4.7439784861540817"/>
    <x v="1"/>
    <s v="B2C"/>
    <x v="2"/>
    <n v="0.76"/>
    <n v="406913.89"/>
    <n v="5.7439784861540817"/>
    <n v="406913.89"/>
    <n v="4.7439784861540817"/>
    <x v="0"/>
    <n v="0.10399547076928028"/>
  </r>
  <r>
    <x v="177"/>
    <x v="142"/>
    <d v="2024-03-18T00:00:00"/>
    <n v="62752.63"/>
    <n v="3.8987634462491849"/>
    <x v="1"/>
    <s v="B2C"/>
    <x v="2"/>
    <n v="0.32"/>
    <n v="307410.28999999998"/>
    <n v="4.8987634462491849"/>
    <n v="307410.28999999998"/>
    <n v="3.8987634462491849"/>
    <x v="0"/>
    <n v="-7.3944537631750573E-2"/>
  </r>
  <r>
    <x v="178"/>
    <x v="13"/>
    <d v="2024-04-09T00:00:00"/>
    <n v="97748.2"/>
    <n v="4.5588888593344938"/>
    <x v="0"/>
    <s v="B2C"/>
    <x v="3"/>
    <n v="0.96"/>
    <n v="543371.38"/>
    <n v="5.5588888593344947"/>
    <n v="543371.38"/>
    <n v="4.5588888593344938"/>
    <x v="0"/>
    <n v="6.5029233544104059E-2"/>
  </r>
  <r>
    <x v="179"/>
    <x v="123"/>
    <d v="2024-04-16T00:00:00"/>
    <n v="67048.320000000007"/>
    <n v="2.6732607170470484"/>
    <x v="2"/>
    <s v="B2B"/>
    <x v="0"/>
    <n v="0.42"/>
    <n v="246285.96"/>
    <n v="3.6732607170470484"/>
    <n v="246285.96"/>
    <n v="2.6732607170470484"/>
    <x v="0"/>
    <n v="-0.3319451122006214"/>
  </r>
  <r>
    <x v="180"/>
    <x v="143"/>
    <d v="2023-12-31T00:00:00"/>
    <n v="34303.919999999998"/>
    <n v="11.266961326868767"/>
    <x v="2"/>
    <s v="B2C"/>
    <x v="2"/>
    <n v="0.48"/>
    <n v="420804.86"/>
    <n v="12.266961326868767"/>
    <n v="343039.19999999995"/>
    <n v="9"/>
    <x v="0"/>
    <n v="1"/>
  </r>
  <r>
    <x v="181"/>
    <x v="144"/>
    <d v="2024-01-18T00:00:00"/>
    <n v="52871.17"/>
    <n v="10.571139810221712"/>
    <x v="2"/>
    <s v="B2B"/>
    <x v="1"/>
    <n v="0.53"/>
    <n v="611779.69999999995"/>
    <n v="11.571139810221714"/>
    <n v="528711.69999999995"/>
    <n v="9"/>
    <x v="0"/>
    <n v="1"/>
  </r>
  <r>
    <x v="182"/>
    <x v="83"/>
    <d v="2023-08-19T00:00:00"/>
    <n v="53678.65"/>
    <n v="1.4216872071112072"/>
    <x v="0"/>
    <s v="B2B"/>
    <x v="1"/>
    <n v="0.24"/>
    <n v="129992.9"/>
    <n v="2.4216872071112068"/>
    <n v="129992.9"/>
    <n v="1.4216872071112072"/>
    <x v="0"/>
    <n v="-0.5954342721871142"/>
  </r>
  <r>
    <x v="183"/>
    <x v="145"/>
    <d v="2023-11-26T00:00:00"/>
    <n v="21921.72"/>
    <n v="31.902252195539401"/>
    <x v="2"/>
    <s v="B2C"/>
    <x v="0"/>
    <n v="0.55000000000000004"/>
    <n v="721273.96"/>
    <n v="32.902252195539397"/>
    <n v="219217.2"/>
    <n v="9"/>
    <x v="0"/>
    <n v="1"/>
  </r>
  <r>
    <x v="184"/>
    <x v="146"/>
    <d v="2023-08-21T00:00:00"/>
    <n v="98706.34"/>
    <n v="4.0620699744312274"/>
    <x v="0"/>
    <s v="B2C"/>
    <x v="1"/>
    <n v="0.92"/>
    <n v="499658.4"/>
    <n v="5.0620699744312274"/>
    <n v="499658.4"/>
    <n v="4.0620699744312274"/>
    <x v="0"/>
    <n v="-3.9564215909215328E-2"/>
  </r>
  <r>
    <x v="185"/>
    <x v="147"/>
    <d v="2024-04-20T00:00:00"/>
    <n v="16290.7"/>
    <n v="9.6133990559030611"/>
    <x v="2"/>
    <s v="B2C"/>
    <x v="1"/>
    <n v="0.99"/>
    <n v="172899.7"/>
    <n v="10.613399055903061"/>
    <n v="162907"/>
    <n v="8.9999999999999982"/>
    <x v="0"/>
    <n v="0.99999999999999956"/>
  </r>
  <r>
    <x v="186"/>
    <x v="132"/>
    <d v="2023-11-25T00:00:00"/>
    <n v="24936.91"/>
    <n v="20.708091339303866"/>
    <x v="2"/>
    <s v="B2B"/>
    <x v="1"/>
    <n v="0.37"/>
    <n v="541332.72"/>
    <n v="21.708091339303866"/>
    <n v="249369.1"/>
    <n v="9"/>
    <x v="0"/>
    <n v="1"/>
  </r>
  <r>
    <x v="187"/>
    <x v="148"/>
    <d v="2024-05-12T00:00:00"/>
    <n v="20401.62"/>
    <n v="41.906147649059243"/>
    <x v="1"/>
    <s v="B2B"/>
    <x v="2"/>
    <n v="0.28000000000000003"/>
    <n v="875354.92"/>
    <n v="42.906147649059243"/>
    <n v="204016.19999999998"/>
    <n v="9"/>
    <x v="0"/>
    <n v="1"/>
  </r>
  <r>
    <x v="188"/>
    <x v="149"/>
    <d v="2024-05-03T00:00:00"/>
    <n v="33675.46"/>
    <n v="5.0431207175789137"/>
    <x v="0"/>
    <s v="B2B"/>
    <x v="1"/>
    <n v="0.89"/>
    <n v="203504.87"/>
    <n v="6.0431207175789137"/>
    <n v="203504.87"/>
    <n v="5.0431207175789137"/>
    <x v="0"/>
    <n v="0.16697278264819237"/>
  </r>
  <r>
    <x v="189"/>
    <x v="150"/>
    <d v="2024-07-26T00:00:00"/>
    <n v="87618.4"/>
    <n v="2.1308710270902003"/>
    <x v="1"/>
    <s v="B2C"/>
    <x v="1"/>
    <n v="0.5"/>
    <n v="274321.90999999997"/>
    <n v="3.1308710270902003"/>
    <n v="274321.90999999997"/>
    <n v="2.1308710270902003"/>
    <x v="0"/>
    <n v="-0.44613241534943149"/>
  </r>
  <r>
    <x v="190"/>
    <x v="151"/>
    <d v="2024-02-11T00:00:00"/>
    <n v="33524.69"/>
    <n v="27.95210514996559"/>
    <x v="1"/>
    <s v="B2C"/>
    <x v="2"/>
    <n v="0.19"/>
    <n v="970610.35"/>
    <n v="28.95210514996559"/>
    <n v="335246.90000000002"/>
    <n v="9"/>
    <x v="0"/>
    <n v="1"/>
  </r>
  <r>
    <x v="191"/>
    <x v="152"/>
    <d v="2024-05-29T00:00:00"/>
    <n v="86623.59"/>
    <n v="0.23677580206500343"/>
    <x v="2"/>
    <s v="B2C"/>
    <x v="0"/>
    <n v="0.23"/>
    <n v="107133.96"/>
    <n v="1.2367758020650035"/>
    <n v="107133.96"/>
    <n v="0.23677580206500343"/>
    <x v="1"/>
    <n v="-0.84488930482842028"/>
  </r>
  <r>
    <x v="192"/>
    <x v="153"/>
    <d v="2024-01-08T00:00:00"/>
    <n v="8473.58"/>
    <n v="98.236921112445984"/>
    <x v="3"/>
    <s v="B2B"/>
    <x v="0"/>
    <n v="0.93"/>
    <n v="840891.99"/>
    <n v="99.236921112445984"/>
    <n v="84735.8"/>
    <n v="9"/>
    <x v="0"/>
    <n v="1"/>
  </r>
  <r>
    <x v="193"/>
    <x v="107"/>
    <d v="2024-04-09T00:00:00"/>
    <n v="20951.3"/>
    <n v="46.457981604960075"/>
    <x v="3"/>
    <s v="B2C"/>
    <x v="0"/>
    <n v="0.24"/>
    <n v="994306.41"/>
    <n v="47.457981604960075"/>
    <n v="209513"/>
    <n v="9"/>
    <x v="0"/>
    <n v="1"/>
  </r>
  <r>
    <x v="194"/>
    <x v="154"/>
    <d v="2024-07-06T00:00:00"/>
    <n v="36331.800000000003"/>
    <n v="16.137586632096397"/>
    <x v="3"/>
    <s v="B2B"/>
    <x v="1"/>
    <n v="0.76"/>
    <n v="622639.37"/>
    <n v="17.137586632096397"/>
    <n v="363318"/>
    <n v="9"/>
    <x v="0"/>
    <n v="1"/>
  </r>
  <r>
    <x v="195"/>
    <x v="155"/>
    <d v="2024-04-04T00:00:00"/>
    <n v="19401.939999999999"/>
    <n v="30.80135079275578"/>
    <x v="0"/>
    <s v="B2B"/>
    <x v="0"/>
    <n v="0.25"/>
    <n v="617007.9"/>
    <n v="31.80135079275578"/>
    <n v="194019.4"/>
    <n v="9"/>
    <x v="0"/>
    <n v="1"/>
  </r>
  <r>
    <x v="196"/>
    <x v="156"/>
    <d v="2023-11-06T00:00:00"/>
    <n v="59532.42"/>
    <n v="11.99608398247543"/>
    <x v="2"/>
    <s v="B2B"/>
    <x v="2"/>
    <n v="0.9"/>
    <n v="773688.33"/>
    <n v="12.996083982475431"/>
    <n v="595324.19999999995"/>
    <n v="8.9999999999999982"/>
    <x v="0"/>
    <n v="0.99999999999999956"/>
  </r>
  <r>
    <x v="197"/>
    <x v="157"/>
    <d v="2024-04-26T00:00:00"/>
    <n v="98089.919999999998"/>
    <n v="4.3240096433965896"/>
    <x v="2"/>
    <s v="B2C"/>
    <x v="2"/>
    <n v="0.22"/>
    <n v="522231.68"/>
    <n v="5.3240096433965896"/>
    <n v="522231.68"/>
    <n v="4.3240096433965896"/>
    <x v="0"/>
    <n v="1.558097755717669E-2"/>
  </r>
  <r>
    <x v="198"/>
    <x v="158"/>
    <d v="2023-10-29T00:00:00"/>
    <n v="16308.37"/>
    <n v="30.354750352119801"/>
    <x v="2"/>
    <s v="B2C"/>
    <x v="1"/>
    <n v="0.37"/>
    <n v="511344.87"/>
    <n v="31.354750352119801"/>
    <n v="163083.70000000001"/>
    <n v="9"/>
    <x v="0"/>
    <n v="1"/>
  </r>
  <r>
    <x v="199"/>
    <x v="159"/>
    <d v="2023-11-06T00:00:00"/>
    <n v="36824.239999999998"/>
    <n v="25.381452543216099"/>
    <x v="0"/>
    <s v="B2B"/>
    <x v="1"/>
    <n v="0.42"/>
    <n v="971476.94"/>
    <n v="26.381452543216099"/>
    <n v="368242.39999999997"/>
    <n v="9"/>
    <x v="0"/>
    <n v="1"/>
  </r>
  <r>
    <x v="200"/>
    <x v="160"/>
    <d v="2023-12-24T00:00:00"/>
    <n v="62406.71"/>
    <n v="0.98565010076640802"/>
    <x v="2"/>
    <s v="B2B"/>
    <x v="1"/>
    <n v="0.67"/>
    <n v="123917.89"/>
    <n v="1.985650100766408"/>
    <n v="123917.89"/>
    <n v="0.98565010076640802"/>
    <x v="0"/>
    <n v="-0.68723155773338784"/>
  </r>
  <r>
    <x v="201"/>
    <x v="47"/>
    <d v="2024-07-22T00:00:00"/>
    <n v="96713.47"/>
    <n v="9.2916441732470147"/>
    <x v="1"/>
    <s v="B2C"/>
    <x v="2"/>
    <n v="0.63"/>
    <n v="995340.62"/>
    <n v="10.291644173247015"/>
    <n v="967134.7"/>
    <n v="9"/>
    <x v="0"/>
    <n v="1"/>
  </r>
  <r>
    <x v="202"/>
    <x v="56"/>
    <d v="2024-01-28T00:00:00"/>
    <n v="91490.92"/>
    <n v="-0.5780784584962092"/>
    <x v="2"/>
    <s v="B2C"/>
    <x v="3"/>
    <n v="0.95"/>
    <n v="38601.99"/>
    <n v="0.42192154150379074"/>
    <n v="45745.46"/>
    <n v="-0.5"/>
    <x v="1"/>
    <n v="-1"/>
  </r>
  <r>
    <x v="203"/>
    <x v="53"/>
    <d v="2024-05-29T00:00:00"/>
    <n v="12246.32"/>
    <n v="79.612403562866248"/>
    <x v="0"/>
    <s v="B2B"/>
    <x v="3"/>
    <n v="0.44"/>
    <n v="987205.29"/>
    <n v="80.612403562866234"/>
    <n v="122463.2"/>
    <n v="9"/>
    <x v="0"/>
    <n v="1"/>
  </r>
  <r>
    <x v="204"/>
    <x v="135"/>
    <d v="2024-06-07T00:00:00"/>
    <n v="29724.33"/>
    <n v="31.34453526791016"/>
    <x v="1"/>
    <s v="B2C"/>
    <x v="1"/>
    <n v="0.27"/>
    <n v="961419.64"/>
    <n v="32.34453526791016"/>
    <n v="297243.30000000005"/>
    <n v="9"/>
    <x v="0"/>
    <n v="1"/>
  </r>
  <r>
    <x v="205"/>
    <x v="146"/>
    <d v="2023-11-27T00:00:00"/>
    <n v="32343.79"/>
    <n v="0.70182869725533081"/>
    <x v="3"/>
    <s v="B2B"/>
    <x v="2"/>
    <n v="0.5"/>
    <n v="55043.59"/>
    <n v="1.7018286972553307"/>
    <n v="55043.59"/>
    <n v="0.70182869725533081"/>
    <x v="0"/>
    <n v="-0.74698343215677254"/>
  </r>
  <r>
    <x v="206"/>
    <x v="161"/>
    <d v="2024-04-16T00:00:00"/>
    <n v="59590.26"/>
    <n v="8.6443573161117264"/>
    <x v="1"/>
    <s v="B2B"/>
    <x v="3"/>
    <n v="0.99"/>
    <n v="574709.76000000001"/>
    <n v="9.6443573161117264"/>
    <n v="574709.76000000001"/>
    <n v="8.6443573161117264"/>
    <x v="0"/>
    <n v="0.92512785602352143"/>
  </r>
  <r>
    <x v="207"/>
    <x v="81"/>
    <d v="2023-08-18T00:00:00"/>
    <n v="77582.36"/>
    <n v="4.5189852435527875"/>
    <x v="1"/>
    <s v="B2C"/>
    <x v="1"/>
    <n v="0.47"/>
    <n v="428175.9"/>
    <n v="5.5189852435527875"/>
    <n v="428175.9"/>
    <n v="4.5189852435527875"/>
    <x v="0"/>
    <n v="5.6628472326902601E-2"/>
  </r>
  <r>
    <x v="208"/>
    <x v="69"/>
    <d v="2023-12-16T00:00:00"/>
    <n v="23477.599999999999"/>
    <n v="8.3307535693597305"/>
    <x v="0"/>
    <s v="B2B"/>
    <x v="2"/>
    <n v="0.34"/>
    <n v="219063.7"/>
    <n v="9.3307535693597305"/>
    <n v="219063.7"/>
    <n v="8.3307535693597305"/>
    <x v="0"/>
    <n v="0.85910601460204861"/>
  </r>
  <r>
    <x v="209"/>
    <x v="162"/>
    <d v="2024-05-08T00:00:00"/>
    <n v="9666.1299999999992"/>
    <n v="4.4871929096753309"/>
    <x v="0"/>
    <s v="B2C"/>
    <x v="3"/>
    <n v="0.65"/>
    <n v="53039.92"/>
    <n v="5.4871929096753309"/>
    <n v="53039.92"/>
    <n v="4.4871929096753309"/>
    <x v="0"/>
    <n v="4.993534940533273E-2"/>
  </r>
  <r>
    <x v="210"/>
    <x v="163"/>
    <d v="2023-08-06T00:00:00"/>
    <n v="63938.71"/>
    <n v="12.928491675856458"/>
    <x v="0"/>
    <s v="B2C"/>
    <x v="3"/>
    <n v="0.49"/>
    <n v="890569.79"/>
    <n v="13.928491675856458"/>
    <n v="639387.1"/>
    <n v="9"/>
    <x v="0"/>
    <n v="1"/>
  </r>
  <r>
    <x v="211"/>
    <x v="4"/>
    <d v="2023-12-31T00:00:00"/>
    <n v="44248.38"/>
    <n v="6.0826443815570199"/>
    <x v="2"/>
    <s v="B2B"/>
    <x v="2"/>
    <n v="0.65"/>
    <n v="313395.53999999998"/>
    <n v="7.0826443815570199"/>
    <n v="313395.53999999998"/>
    <n v="6.0826443815570199"/>
    <x v="0"/>
    <n v="0.38581986980147787"/>
  </r>
  <r>
    <x v="212"/>
    <x v="164"/>
    <d v="2024-02-13T00:00:00"/>
    <n v="97083.41"/>
    <n v="2.8969078239011168"/>
    <x v="1"/>
    <s v="B2B"/>
    <x v="1"/>
    <n v="0.25"/>
    <n v="378325.1"/>
    <n v="3.8969078239011172"/>
    <n v="378325.1"/>
    <n v="2.8969078239011168"/>
    <x v="0"/>
    <n v="-0.28486151075765964"/>
  </r>
  <r>
    <x v="213"/>
    <x v="83"/>
    <d v="2023-10-03T00:00:00"/>
    <n v="18706.919999999998"/>
    <n v="28.662935961665525"/>
    <x v="2"/>
    <s v="B2B"/>
    <x v="3"/>
    <n v="0.44"/>
    <n v="554902.17000000004"/>
    <n v="29.662935961665529"/>
    <n v="187069.19999999998"/>
    <n v="9"/>
    <x v="0"/>
    <n v="1"/>
  </r>
  <r>
    <x v="214"/>
    <x v="78"/>
    <d v="2023-10-12T00:00:00"/>
    <n v="92742.9"/>
    <n v="7.1494368841172751"/>
    <x v="2"/>
    <s v="B2B"/>
    <x v="0"/>
    <n v="0.33"/>
    <n v="755802.41"/>
    <n v="8.1494368841172751"/>
    <n v="755802.41"/>
    <n v="7.1494368841172751"/>
    <x v="0"/>
    <n v="0.61040776507732097"/>
  </r>
  <r>
    <x v="215"/>
    <x v="165"/>
    <d v="2024-04-26T00:00:00"/>
    <n v="14418.29"/>
    <n v="46.412897784688752"/>
    <x v="0"/>
    <s v="B2B"/>
    <x v="1"/>
    <n v="0.67"/>
    <n v="683612.91"/>
    <n v="47.412897784688752"/>
    <n v="144182.90000000002"/>
    <n v="9"/>
    <x v="0"/>
    <n v="1"/>
  </r>
  <r>
    <x v="216"/>
    <x v="166"/>
    <d v="2024-04-13T00:00:00"/>
    <n v="55644.28"/>
    <n v="12.733875431580747"/>
    <x v="1"/>
    <s v="B2C"/>
    <x v="3"/>
    <n v="0.68"/>
    <n v="764211.61"/>
    <n v="13.733875431580749"/>
    <n v="556442.80000000005"/>
    <n v="9"/>
    <x v="0"/>
    <n v="1"/>
  </r>
  <r>
    <x v="217"/>
    <x v="54"/>
    <d v="2024-05-03T00:00:00"/>
    <n v="49973.41"/>
    <n v="5.1051903402229302"/>
    <x v="1"/>
    <s v="B2B"/>
    <x v="1"/>
    <n v="0.4"/>
    <n v="305097.18"/>
    <n v="6.1051903402229302"/>
    <n v="305097.18"/>
    <n v="5.1051903402229302"/>
    <x v="0"/>
    <n v="0.18004007162588009"/>
  </r>
  <r>
    <x v="218"/>
    <x v="147"/>
    <d v="2024-05-27T00:00:00"/>
    <n v="52495.87"/>
    <n v="6.1540574525195977"/>
    <x v="2"/>
    <s v="B2B"/>
    <x v="1"/>
    <n v="0.56000000000000005"/>
    <n v="375558.47"/>
    <n v="7.1540574525195977"/>
    <n v="375558.47"/>
    <n v="6.1540574525195977"/>
    <x v="0"/>
    <n v="0.40085420053044163"/>
  </r>
  <r>
    <x v="219"/>
    <x v="167"/>
    <d v="2023-08-13T00:00:00"/>
    <n v="22905.15"/>
    <n v="39.325862087783747"/>
    <x v="1"/>
    <s v="B2C"/>
    <x v="2"/>
    <n v="0.2"/>
    <n v="923669.92"/>
    <n v="40.325862087783754"/>
    <n v="229051.5"/>
    <n v="9"/>
    <x v="0"/>
    <n v="1"/>
  </r>
  <r>
    <x v="220"/>
    <x v="6"/>
    <d v="2023-11-20T00:00:00"/>
    <n v="70871.649999999994"/>
    <n v="1.7317202294570537"/>
    <x v="0"/>
    <s v="B2C"/>
    <x v="0"/>
    <n v="0.46"/>
    <n v="193601.52"/>
    <n v="2.731720229457054"/>
    <n v="193601.52"/>
    <n v="1.7317202294570537"/>
    <x v="0"/>
    <n v="-0.53016416221956764"/>
  </r>
  <r>
    <x v="221"/>
    <x v="130"/>
    <d v="2023-08-07T00:00:00"/>
    <n v="91280.14"/>
    <n v="7.3744491408536401"/>
    <x v="3"/>
    <s v="B2B"/>
    <x v="2"/>
    <n v="0.24"/>
    <n v="764420.89"/>
    <n v="8.3744491408536401"/>
    <n v="764420.89"/>
    <n v="7.3744491408536401"/>
    <x v="0"/>
    <n v="0.65777876649550326"/>
  </r>
  <r>
    <x v="222"/>
    <x v="168"/>
    <d v="2024-02-26T00:00:00"/>
    <n v="43142.37"/>
    <n v="16.865166656351981"/>
    <x v="2"/>
    <s v="B2C"/>
    <x v="3"/>
    <n v="0.9"/>
    <n v="770745.63"/>
    <n v="17.865166656351981"/>
    <n v="431423.7"/>
    <n v="9"/>
    <x v="0"/>
    <n v="1"/>
  </r>
  <r>
    <x v="223"/>
    <x v="55"/>
    <d v="2023-11-11T00:00:00"/>
    <n v="90807.23"/>
    <n v="0.6917452498000437"/>
    <x v="0"/>
    <s v="B2B"/>
    <x v="3"/>
    <n v="0.76"/>
    <n v="153622.70000000001"/>
    <n v="1.6917452498000436"/>
    <n v="153622.70000000001"/>
    <n v="0.6917452498000437"/>
    <x v="0"/>
    <n v="-0.74910626319999074"/>
  </r>
  <r>
    <x v="224"/>
    <x v="169"/>
    <d v="2024-04-15T00:00:00"/>
    <n v="32622.799999999999"/>
    <n v="16.417088661917429"/>
    <x v="1"/>
    <s v="B2C"/>
    <x v="1"/>
    <n v="0.3"/>
    <n v="568194.19999999995"/>
    <n v="17.417088661917433"/>
    <n v="326228"/>
    <n v="9"/>
    <x v="0"/>
    <n v="1"/>
  </r>
  <r>
    <x v="225"/>
    <x v="170"/>
    <d v="2023-10-18T00:00:00"/>
    <n v="25277.14"/>
    <n v="0.94091380591316898"/>
    <x v="0"/>
    <s v="B2C"/>
    <x v="0"/>
    <n v="0.92"/>
    <n v="49060.75"/>
    <n v="1.940913805913169"/>
    <n v="49060.75"/>
    <n v="0.94091380591316898"/>
    <x v="0"/>
    <n v="-0.69664972507091183"/>
  </r>
  <r>
    <x v="226"/>
    <x v="163"/>
    <d v="2023-10-09T00:00:00"/>
    <n v="84489.59"/>
    <n v="8.3108930934568406"/>
    <x v="3"/>
    <s v="B2B"/>
    <x v="1"/>
    <n v="0.83"/>
    <n v="786673.54"/>
    <n v="9.3108930934568406"/>
    <n v="786673.54"/>
    <n v="8.3108930934568406"/>
    <x v="0"/>
    <n v="0.85492486178038751"/>
  </r>
  <r>
    <x v="227"/>
    <x v="171"/>
    <d v="2024-06-11T00:00:00"/>
    <n v="28928.55"/>
    <n v="3.496704812373935"/>
    <x v="0"/>
    <s v="B2C"/>
    <x v="3"/>
    <n v="0.12"/>
    <n v="130083.15"/>
    <n v="4.4967048123739346"/>
    <n v="130083.15"/>
    <n v="3.496704812373935"/>
    <x v="0"/>
    <n v="-0.1585884605528558"/>
  </r>
  <r>
    <x v="228"/>
    <x v="172"/>
    <d v="2024-03-22T00:00:00"/>
    <n v="9774.56"/>
    <n v="92.945455345304538"/>
    <x v="0"/>
    <s v="B2B"/>
    <x v="2"/>
    <n v="0.6"/>
    <n v="918275.49"/>
    <n v="93.945455345304552"/>
    <n v="97745.599999999991"/>
    <n v="9"/>
    <x v="0"/>
    <n v="1"/>
  </r>
  <r>
    <x v="229"/>
    <x v="47"/>
    <d v="2023-08-31T00:00:00"/>
    <n v="59889.62"/>
    <n v="1.3873627850702677"/>
    <x v="2"/>
    <s v="B2C"/>
    <x v="3"/>
    <n v="0.85"/>
    <n v="142978.25"/>
    <n v="2.3873627850702674"/>
    <n v="142978.25"/>
    <n v="1.3873627850702677"/>
    <x v="0"/>
    <n v="-0.60266046630099623"/>
  </r>
  <r>
    <x v="230"/>
    <x v="173"/>
    <d v="2023-10-09T00:00:00"/>
    <n v="90656.1"/>
    <n v="8.7766056558797469"/>
    <x v="1"/>
    <s v="B2C"/>
    <x v="0"/>
    <n v="0.56000000000000005"/>
    <n v="886308.94"/>
    <n v="9.7766056558797469"/>
    <n v="886308.94"/>
    <n v="8.7766056558797469"/>
    <x v="0"/>
    <n v="0.95296961176415729"/>
  </r>
  <r>
    <x v="231"/>
    <x v="174"/>
    <d v="2024-02-21T00:00:00"/>
    <n v="84627.74"/>
    <n v="7.6481203444638837"/>
    <x v="1"/>
    <s v="B2C"/>
    <x v="2"/>
    <n v="0.75"/>
    <n v="731870.88"/>
    <n v="8.6481203444638837"/>
    <n v="731870.88"/>
    <n v="7.6481203444638837"/>
    <x v="0"/>
    <n v="0.71539375672923877"/>
  </r>
  <r>
    <x v="232"/>
    <x v="84"/>
    <d v="2023-12-01T00:00:00"/>
    <n v="61961.66"/>
    <n v="11.826318081213445"/>
    <x v="2"/>
    <s v="B2B"/>
    <x v="0"/>
    <n v="0.81"/>
    <n v="794739.96"/>
    <n v="12.826318081213445"/>
    <n v="619616.60000000009"/>
    <n v="9"/>
    <x v="0"/>
    <n v="1"/>
  </r>
  <r>
    <x v="233"/>
    <x v="33"/>
    <d v="2024-02-11T00:00:00"/>
    <n v="67729.899999999994"/>
    <n v="12.458675415141615"/>
    <x v="2"/>
    <s v="B2B"/>
    <x v="1"/>
    <n v="0.44"/>
    <n v="911554.74"/>
    <n v="13.458675415141615"/>
    <n v="677299"/>
    <n v="9"/>
    <x v="0"/>
    <n v="1"/>
  </r>
  <r>
    <x v="234"/>
    <x v="175"/>
    <d v="2023-09-18T00:00:00"/>
    <n v="53669.55"/>
    <n v="11.112223225273919"/>
    <x v="1"/>
    <s v="B2B"/>
    <x v="2"/>
    <n v="0.22"/>
    <n v="650057.56999999995"/>
    <n v="12.112223225273921"/>
    <n v="536695.5"/>
    <n v="9"/>
    <x v="0"/>
    <n v="1"/>
  </r>
  <r>
    <x v="235"/>
    <x v="164"/>
    <d v="2023-12-14T00:00:00"/>
    <n v="45957.86"/>
    <n v="19.487202189135871"/>
    <x v="1"/>
    <s v="B2B"/>
    <x v="3"/>
    <n v="0.56999999999999995"/>
    <n v="941547.97"/>
    <n v="20.487202189135871"/>
    <n v="459578.6"/>
    <n v="9"/>
    <x v="0"/>
    <n v="1"/>
  </r>
  <r>
    <x v="236"/>
    <x v="176"/>
    <d v="2023-10-09T00:00:00"/>
    <n v="77240.69"/>
    <n v="6.0805016112621466"/>
    <x v="0"/>
    <s v="B2C"/>
    <x v="1"/>
    <n v="0.93"/>
    <n v="546902.82999999996"/>
    <n v="7.0805016112621466"/>
    <n v="546902.82999999996"/>
    <n v="6.0805016112621466"/>
    <x v="0"/>
    <n v="0.38536876026571498"/>
  </r>
  <r>
    <x v="237"/>
    <x v="143"/>
    <d v="2024-03-01T00:00:00"/>
    <n v="27897.65"/>
    <n v="25.758871804614365"/>
    <x v="1"/>
    <s v="B2C"/>
    <x v="3"/>
    <n v="0.36"/>
    <n v="746509.64"/>
    <n v="26.758871804614365"/>
    <n v="278976.5"/>
    <n v="9"/>
    <x v="0"/>
    <n v="1"/>
  </r>
  <r>
    <x v="238"/>
    <x v="0"/>
    <d v="2024-02-20T00:00:00"/>
    <n v="81083.98"/>
    <n v="0.18297399806965581"/>
    <x v="1"/>
    <s v="B2C"/>
    <x v="2"/>
    <n v="0.9"/>
    <n v="95920.24"/>
    <n v="1.1829739980696559"/>
    <n v="95920.24"/>
    <n v="0.18297399806965581"/>
    <x v="1"/>
    <n v="-0.85621600040638823"/>
  </r>
  <r>
    <x v="239"/>
    <x v="112"/>
    <d v="2024-04-16T00:00:00"/>
    <n v="81664.5"/>
    <n v="9.5655436572807027"/>
    <x v="3"/>
    <s v="B2C"/>
    <x v="2"/>
    <n v="0.3"/>
    <n v="862829.84"/>
    <n v="10.565543657280703"/>
    <n v="816645"/>
    <n v="9"/>
    <x v="0"/>
    <n v="1"/>
  </r>
  <r>
    <x v="240"/>
    <x v="177"/>
    <d v="2023-08-24T00:00:00"/>
    <n v="78742.39"/>
    <n v="-0.86978678193537173"/>
    <x v="3"/>
    <s v="B2C"/>
    <x v="3"/>
    <n v="0.79"/>
    <n v="10253.299999999999"/>
    <n v="0.13021321806462821"/>
    <n v="39371.195"/>
    <n v="-0.5"/>
    <x v="1"/>
    <n v="-1"/>
  </r>
  <r>
    <x v="241"/>
    <x v="178"/>
    <d v="2024-05-05T00:00:00"/>
    <n v="1580.69"/>
    <n v="150.064294706742"/>
    <x v="1"/>
    <s v="B2B"/>
    <x v="0"/>
    <n v="0.17"/>
    <n v="238785.82"/>
    <n v="151.064294706742"/>
    <n v="15806.900000000001"/>
    <n v="9"/>
    <x v="0"/>
    <n v="1"/>
  </r>
  <r>
    <x v="242"/>
    <x v="17"/>
    <d v="2024-05-10T00:00:00"/>
    <n v="3889.42"/>
    <n v="196.89677895418851"/>
    <x v="3"/>
    <s v="B2C"/>
    <x v="1"/>
    <n v="0.2"/>
    <n v="769703.69"/>
    <n v="197.89677895418853"/>
    <n v="38894.199999999997"/>
    <n v="9"/>
    <x v="0"/>
    <n v="1"/>
  </r>
  <r>
    <x v="243"/>
    <x v="179"/>
    <d v="2024-05-07T00:00:00"/>
    <n v="45499.9"/>
    <n v="5.4344486471398845"/>
    <x v="3"/>
    <s v="B2C"/>
    <x v="0"/>
    <n v="0.19"/>
    <n v="292766.77"/>
    <n v="6.4344486471398836"/>
    <n v="292766.77"/>
    <n v="5.4344486471398845"/>
    <x v="0"/>
    <n v="0.24935760992418632"/>
  </r>
  <r>
    <x v="244"/>
    <x v="70"/>
    <d v="2024-03-10T00:00:00"/>
    <n v="98544.63"/>
    <n v="7.155125753681352"/>
    <x v="1"/>
    <s v="B2C"/>
    <x v="3"/>
    <n v="0.95"/>
    <n v="803643.85"/>
    <n v="8.155125753681352"/>
    <n v="803643.85"/>
    <n v="7.155125753681352"/>
    <x v="0"/>
    <n v="0.61160542182765298"/>
  </r>
  <r>
    <x v="245"/>
    <x v="180"/>
    <d v="2023-09-26T00:00:00"/>
    <n v="96004.64"/>
    <n v="5.1783070068280033"/>
    <x v="1"/>
    <s v="B2B"/>
    <x v="1"/>
    <n v="0.33"/>
    <n v="593146.14"/>
    <n v="6.1783070068280033"/>
    <n v="593146.14"/>
    <n v="5.1783070068280033"/>
    <x v="0"/>
    <n v="0.19543305406905342"/>
  </r>
  <r>
    <x v="246"/>
    <x v="181"/>
    <d v="2023-10-23T00:00:00"/>
    <n v="23192.5"/>
    <n v="11.014323595990083"/>
    <x v="2"/>
    <s v="B2B"/>
    <x v="3"/>
    <n v="0.53"/>
    <n v="278642.2"/>
    <n v="12.014323595990083"/>
    <n v="231925"/>
    <n v="9"/>
    <x v="0"/>
    <n v="1"/>
  </r>
  <r>
    <x v="247"/>
    <x v="64"/>
    <d v="2023-11-29T00:00:00"/>
    <n v="28757.86"/>
    <n v="6.489227640721527"/>
    <x v="0"/>
    <s v="B2C"/>
    <x v="3"/>
    <n v="0.3"/>
    <n v="215374.16"/>
    <n v="7.4892276407215279"/>
    <n v="215374.16"/>
    <n v="6.489227640721527"/>
    <x v="0"/>
    <n v="0.47141634541505839"/>
  </r>
  <r>
    <x v="248"/>
    <x v="182"/>
    <d v="2023-12-02T00:00:00"/>
    <n v="97448.7"/>
    <n v="0.32255104480613911"/>
    <x v="0"/>
    <s v="B2C"/>
    <x v="2"/>
    <n v="0.51"/>
    <n v="128880.88"/>
    <n v="1.3225510448061391"/>
    <n v="128880.88"/>
    <n v="0.32255104480613911"/>
    <x v="1"/>
    <n v="-0.82683135898818128"/>
  </r>
  <r>
    <x v="249"/>
    <x v="162"/>
    <d v="2024-04-18T00:00:00"/>
    <n v="58194.33"/>
    <n v="2.5967278942811101"/>
    <x v="3"/>
    <s v="B2C"/>
    <x v="0"/>
    <n v="0.57999999999999996"/>
    <n v="209309.17"/>
    <n v="3.5967278942811096"/>
    <n v="209309.17"/>
    <n v="2.5967278942811101"/>
    <x v="0"/>
    <n v="-0.34805728541450309"/>
  </r>
  <r>
    <x v="250"/>
    <x v="183"/>
    <d v="2024-02-12T00:00:00"/>
    <n v="36038.699999999997"/>
    <n v="6.1439147361031345"/>
    <x v="2"/>
    <s v="B2B"/>
    <x v="3"/>
    <n v="0.5"/>
    <n v="257457.4"/>
    <n v="7.1439147361031337"/>
    <n v="257457.4"/>
    <n v="6.1439147361031345"/>
    <x v="0"/>
    <n v="0.39871889181118614"/>
  </r>
  <r>
    <x v="251"/>
    <x v="184"/>
    <d v="2023-12-29T00:00:00"/>
    <n v="53597.41"/>
    <n v="16.151196485054033"/>
    <x v="1"/>
    <s v="B2C"/>
    <x v="2"/>
    <n v="0.68"/>
    <n v="919259.71"/>
    <n v="17.151196485054033"/>
    <n v="535974.10000000009"/>
    <n v="9"/>
    <x v="0"/>
    <n v="1"/>
  </r>
  <r>
    <x v="252"/>
    <x v="129"/>
    <d v="2023-10-25T00:00:00"/>
    <n v="1052.57"/>
    <n v="884.75899940146508"/>
    <x v="0"/>
    <s v="B2C"/>
    <x v="1"/>
    <n v="0.44"/>
    <n v="932323.35"/>
    <n v="885.75899940146496"/>
    <n v="10525.699999999999"/>
    <n v="9"/>
    <x v="0"/>
    <n v="1"/>
  </r>
  <r>
    <x v="253"/>
    <x v="185"/>
    <d v="2023-10-20T00:00:00"/>
    <n v="81795.53"/>
    <n v="7.6610566616537596"/>
    <x v="2"/>
    <s v="B2C"/>
    <x v="0"/>
    <n v="0.98"/>
    <n v="708435.72"/>
    <n v="8.6610566616537596"/>
    <n v="708435.72"/>
    <n v="7.6610566616537596"/>
    <x v="0"/>
    <n v="0.71811719192710721"/>
  </r>
  <r>
    <x v="254"/>
    <x v="128"/>
    <d v="2023-08-26T00:00:00"/>
    <n v="97675.33"/>
    <n v="8.8457815294813944"/>
    <x v="0"/>
    <s v="B2B"/>
    <x v="0"/>
    <n v="0.77"/>
    <n v="961689.96"/>
    <n v="9.8457815294813944"/>
    <n v="961689.96"/>
    <n v="8.8457815294813944"/>
    <x v="0"/>
    <n v="0.96753295357503033"/>
  </r>
  <r>
    <x v="255"/>
    <x v="186"/>
    <d v="2024-06-06T00:00:00"/>
    <n v="32997.589999999997"/>
    <n v="3.3934835847102778"/>
    <x v="1"/>
    <s v="B2B"/>
    <x v="2"/>
    <n v="0.21"/>
    <n v="144974.37"/>
    <n v="4.3934835847102773"/>
    <n v="144974.37"/>
    <n v="3.3934835847102778"/>
    <x v="0"/>
    <n v="-0.180319245324152"/>
  </r>
  <r>
    <x v="256"/>
    <x v="187"/>
    <d v="2024-01-19T00:00:00"/>
    <n v="85249.47"/>
    <n v="-0.5936374736405986"/>
    <x v="3"/>
    <s v="B2B"/>
    <x v="2"/>
    <n v="0.9"/>
    <n v="34642.19"/>
    <n v="0.40636252635940145"/>
    <n v="42624.735000000001"/>
    <n v="-0.5"/>
    <x v="1"/>
    <n v="-1"/>
  </r>
  <r>
    <x v="257"/>
    <x v="63"/>
    <d v="2024-07-29T00:00:00"/>
    <n v="8645.67"/>
    <n v="110.21773673989406"/>
    <x v="0"/>
    <s v="B2B"/>
    <x v="2"/>
    <n v="0.37"/>
    <n v="961551.85"/>
    <n v="111.21773673989406"/>
    <n v="86456.7"/>
    <n v="9"/>
    <x v="0"/>
    <n v="1"/>
  </r>
  <r>
    <x v="258"/>
    <x v="122"/>
    <d v="2024-07-29T00:00:00"/>
    <n v="7952.59"/>
    <n v="78.563843980388782"/>
    <x v="0"/>
    <s v="B2C"/>
    <x v="0"/>
    <n v="0.64"/>
    <n v="632738.63"/>
    <n v="79.563843980388782"/>
    <n v="79525.899999999994"/>
    <n v="9"/>
    <x v="0"/>
    <n v="1"/>
  </r>
  <r>
    <x v="259"/>
    <x v="17"/>
    <d v="2023-12-01T00:00:00"/>
    <n v="97730.37"/>
    <n v="8.2205857810627343"/>
    <x v="2"/>
    <s v="B2C"/>
    <x v="0"/>
    <n v="0.34"/>
    <n v="901131.26"/>
    <n v="9.2205857810627343"/>
    <n v="901131.26"/>
    <n v="8.2205857810627343"/>
    <x v="0"/>
    <n v="0.83591279601320712"/>
  </r>
  <r>
    <x v="260"/>
    <x v="91"/>
    <d v="2023-08-19T00:00:00"/>
    <n v="6626.65"/>
    <n v="97.172631721910776"/>
    <x v="0"/>
    <s v="B2C"/>
    <x v="3"/>
    <n v="0.78"/>
    <n v="650555.67000000004"/>
    <n v="98.172631721910776"/>
    <n v="66266.5"/>
    <n v="9"/>
    <x v="0"/>
    <n v="1"/>
  </r>
  <r>
    <x v="261"/>
    <x v="188"/>
    <d v="2024-06-25T00:00:00"/>
    <n v="59892.4"/>
    <n v="14.231491641677406"/>
    <x v="0"/>
    <s v="B2C"/>
    <x v="3"/>
    <n v="0.37"/>
    <n v="912250.59"/>
    <n v="15.231491641677406"/>
    <n v="598924"/>
    <n v="9"/>
    <x v="0"/>
    <n v="1"/>
  </r>
  <r>
    <x v="262"/>
    <x v="94"/>
    <d v="2024-07-02T00:00:00"/>
    <n v="37166.31"/>
    <n v="14.41203982854365"/>
    <x v="2"/>
    <s v="B2B"/>
    <x v="3"/>
    <n v="0.9"/>
    <n v="572808.65"/>
    <n v="15.412039828543648"/>
    <n v="371663.1"/>
    <n v="9"/>
    <x v="0"/>
    <n v="1"/>
  </r>
  <r>
    <x v="263"/>
    <x v="53"/>
    <d v="2024-02-04T00:00:00"/>
    <n v="56570.94"/>
    <n v="0.47509763846950398"/>
    <x v="1"/>
    <s v="B2C"/>
    <x v="3"/>
    <n v="0.96"/>
    <n v="83447.66"/>
    <n v="1.475097638469504"/>
    <n v="83447.66"/>
    <n v="0.47509763846950398"/>
    <x v="1"/>
    <n v="-0.79471628663799909"/>
  </r>
  <r>
    <x v="264"/>
    <x v="189"/>
    <d v="2023-09-23T00:00:00"/>
    <n v="91764.9"/>
    <n v="8.6919349337273832"/>
    <x v="2"/>
    <s v="B2C"/>
    <x v="0"/>
    <n v="0.61"/>
    <n v="889379.44"/>
    <n v="9.6919349337273832"/>
    <n v="889379.44"/>
    <n v="8.6919349337273832"/>
    <x v="0"/>
    <n v="0.93514419657418602"/>
  </r>
  <r>
    <x v="265"/>
    <x v="87"/>
    <d v="2023-11-16T00:00:00"/>
    <n v="91247.27"/>
    <n v="5.3478099673557349"/>
    <x v="3"/>
    <s v="B2B"/>
    <x v="3"/>
    <n v="0"/>
    <n v="579220.32999999996"/>
    <n v="6.3478099673557349"/>
    <n v="579220.32999999996"/>
    <n v="5.3478099673557349"/>
    <x v="0"/>
    <n v="0.23111788786436516"/>
  </r>
  <r>
    <x v="266"/>
    <x v="190"/>
    <d v="2024-02-18T00:00:00"/>
    <n v="59201.77"/>
    <n v="12.252620149701604"/>
    <x v="3"/>
    <s v="B2B"/>
    <x v="1"/>
    <n v="0.65"/>
    <n v="784578.57"/>
    <n v="13.252620149701604"/>
    <n v="592017.69999999995"/>
    <n v="9"/>
    <x v="0"/>
    <n v="1"/>
  </r>
  <r>
    <x v="267"/>
    <x v="191"/>
    <d v="2024-06-29T00:00:00"/>
    <n v="93497.4"/>
    <n v="-0.37615377539910194"/>
    <x v="0"/>
    <s v="B2B"/>
    <x v="1"/>
    <n v="0.37"/>
    <n v="58328"/>
    <n v="0.623846224600898"/>
    <n v="58328"/>
    <n v="-0.37615377539910194"/>
    <x v="1"/>
    <n v="-0.97392711061033721"/>
  </r>
  <r>
    <x v="268"/>
    <x v="2"/>
    <d v="2023-10-06T00:00:00"/>
    <n v="18364.990000000002"/>
    <n v="22.60334201107651"/>
    <x v="2"/>
    <s v="B2B"/>
    <x v="2"/>
    <n v="0.85"/>
    <n v="433475.14"/>
    <n v="23.60334201107651"/>
    <n v="183649.90000000002"/>
    <n v="9.0000000000000018"/>
    <x v="0"/>
    <n v="1.0000000000000004"/>
  </r>
  <r>
    <x v="269"/>
    <x v="192"/>
    <d v="2023-10-02T00:00:00"/>
    <n v="63250.91"/>
    <n v="-0.49335653826956799"/>
    <x v="0"/>
    <s v="B2C"/>
    <x v="2"/>
    <n v="0.76"/>
    <n v="32045.66"/>
    <n v="0.50664346173043195"/>
    <n v="32045.66"/>
    <n v="-0.49335653826956799"/>
    <x v="1"/>
    <n v="-0.99860137647780378"/>
  </r>
  <r>
    <x v="270"/>
    <x v="193"/>
    <d v="2023-12-19T00:00:00"/>
    <n v="52277.41"/>
    <n v="15.037568999688391"/>
    <x v="2"/>
    <s v="B2C"/>
    <x v="1"/>
    <n v="0.84"/>
    <n v="838402.57"/>
    <n v="16.037568999688393"/>
    <n v="522774.10000000003"/>
    <n v="9"/>
    <x v="0"/>
    <n v="1"/>
  </r>
  <r>
    <x v="271"/>
    <x v="194"/>
    <d v="2024-07-25T00:00:00"/>
    <n v="41022.86"/>
    <n v="12.495975170916898"/>
    <x v="0"/>
    <s v="B2B"/>
    <x v="1"/>
    <n v="0.53"/>
    <n v="553643.5"/>
    <n v="13.495975170916898"/>
    <n v="410228.6"/>
    <n v="9"/>
    <x v="0"/>
    <n v="1"/>
  </r>
  <r>
    <x v="272"/>
    <x v="155"/>
    <d v="2023-10-11T00:00:00"/>
    <n v="69490.13"/>
    <n v="8.937552282604738"/>
    <x v="0"/>
    <s v="B2C"/>
    <x v="2"/>
    <n v="0.5"/>
    <n v="690561.8"/>
    <n v="9.937552282604738"/>
    <n v="690561.8"/>
    <n v="8.937552282604738"/>
    <x v="0"/>
    <n v="0.98685311212731319"/>
  </r>
  <r>
    <x v="273"/>
    <x v="26"/>
    <d v="2024-05-08T00:00:00"/>
    <n v="16205.28"/>
    <n v="38.028592532804119"/>
    <x v="0"/>
    <s v="B2B"/>
    <x v="3"/>
    <n v="0.86"/>
    <n v="632469.27"/>
    <n v="39.028592532804126"/>
    <n v="162052.80000000002"/>
    <n v="9"/>
    <x v="0"/>
    <n v="1"/>
  </r>
  <r>
    <x v="274"/>
    <x v="157"/>
    <d v="2024-06-06T00:00:00"/>
    <n v="71575.570000000007"/>
    <n v="3.1218104165988474"/>
    <x v="0"/>
    <s v="B2C"/>
    <x v="1"/>
    <n v="0.81"/>
    <n v="295020.93"/>
    <n v="4.1218104165988478"/>
    <n v="295020.93"/>
    <n v="3.1218104165988474"/>
    <x v="0"/>
    <n v="-0.23751359650550585"/>
  </r>
  <r>
    <x v="275"/>
    <x v="195"/>
    <d v="2023-09-24T00:00:00"/>
    <n v="78034.3"/>
    <n v="8.2131478080792668"/>
    <x v="1"/>
    <s v="B2B"/>
    <x v="2"/>
    <n v="0.36"/>
    <n v="718941.54"/>
    <n v="9.2131478080792686"/>
    <n v="718941.54"/>
    <n v="8.2131478080792668"/>
    <x v="0"/>
    <n v="0.83434690696405611"/>
  </r>
  <r>
    <x v="276"/>
    <x v="196"/>
    <d v="2024-02-25T00:00:00"/>
    <n v="87156.45"/>
    <n v="9.314571669681361E-2"/>
    <x v="3"/>
    <s v="B2C"/>
    <x v="3"/>
    <n v="0.99"/>
    <n v="95274.7"/>
    <n v="1.0931457166968137"/>
    <n v="95274.7"/>
    <n v="9.314571669681361E-2"/>
    <x v="1"/>
    <n v="-0.87512721753751288"/>
  </r>
  <r>
    <x v="277"/>
    <x v="103"/>
    <d v="2023-10-27T00:00:00"/>
    <n v="28984.240000000002"/>
    <n v="6.7425121376306567"/>
    <x v="2"/>
    <s v="B2C"/>
    <x v="2"/>
    <n v="0.93"/>
    <n v="224410.83"/>
    <n v="7.7425121376306567"/>
    <n v="224410.83"/>
    <n v="6.7425121376306567"/>
    <x v="0"/>
    <n v="0.52473939739592779"/>
  </r>
  <r>
    <x v="278"/>
    <x v="172"/>
    <d v="2024-06-25T00:00:00"/>
    <n v="39758.97"/>
    <n v="1.0542486387348564"/>
    <x v="3"/>
    <s v="B2C"/>
    <x v="1"/>
    <n v="0.56000000000000005"/>
    <n v="81674.81"/>
    <n v="2.0542486387348564"/>
    <n v="81674.81"/>
    <n v="1.0542486387348564"/>
    <x v="0"/>
    <n v="-0.67278976026634596"/>
  </r>
  <r>
    <x v="279"/>
    <x v="170"/>
    <d v="2024-07-06T00:00:00"/>
    <n v="46618.3"/>
    <n v="17.321406614998828"/>
    <x v="0"/>
    <s v="B2C"/>
    <x v="0"/>
    <n v="0.23"/>
    <n v="854112.83"/>
    <n v="18.321406614998828"/>
    <n v="466183"/>
    <n v="9"/>
    <x v="0"/>
    <n v="1"/>
  </r>
  <r>
    <x v="280"/>
    <x v="197"/>
    <d v="2024-06-03T00:00:00"/>
    <n v="96380.65"/>
    <n v="-0.63653046539943436"/>
    <x v="0"/>
    <s v="B2B"/>
    <x v="3"/>
    <n v="0.18"/>
    <n v="35031.43"/>
    <n v="0.36346953460056558"/>
    <n v="48190.324999999997"/>
    <n v="-0.5"/>
    <x v="1"/>
    <n v="-1"/>
  </r>
  <r>
    <x v="281"/>
    <x v="198"/>
    <d v="2023-11-04T00:00:00"/>
    <n v="44406.38"/>
    <n v="8.8804077251962443"/>
    <x v="0"/>
    <s v="B2B"/>
    <x v="1"/>
    <n v="0.21"/>
    <n v="438753.14"/>
    <n v="9.8804077251962461"/>
    <n v="438753.14"/>
    <n v="8.8804077251962443"/>
    <x v="0"/>
    <n v="0.97482267898868291"/>
  </r>
  <r>
    <x v="282"/>
    <x v="199"/>
    <d v="2023-11-04T00:00:00"/>
    <n v="31010.799999999999"/>
    <n v="23.489700362454368"/>
    <x v="0"/>
    <s v="B2B"/>
    <x v="3"/>
    <n v="0.32"/>
    <n v="759445.2"/>
    <n v="24.489700362454371"/>
    <n v="310108"/>
    <n v="9"/>
    <x v="0"/>
    <n v="1"/>
  </r>
  <r>
    <x v="283"/>
    <x v="129"/>
    <d v="2023-10-06T00:00:00"/>
    <n v="19288.560000000001"/>
    <n v="6.2046669113712989"/>
    <x v="2"/>
    <s v="B2B"/>
    <x v="1"/>
    <n v="0.44"/>
    <n v="138967.65"/>
    <n v="7.2046669113712989"/>
    <n v="138967.65"/>
    <n v="6.2046669113712989"/>
    <x v="0"/>
    <n v="0.41150882344658934"/>
  </r>
  <r>
    <x v="284"/>
    <x v="26"/>
    <d v="2024-06-28T00:00:00"/>
    <n v="54317.78"/>
    <n v="2.5147152552994618"/>
    <x v="3"/>
    <s v="B2C"/>
    <x v="2"/>
    <n v="0.35"/>
    <n v="190911.53"/>
    <n v="3.5147152552994618"/>
    <n v="190911.53"/>
    <n v="2.5147152552994618"/>
    <x v="0"/>
    <n v="-0.3653231041474817"/>
  </r>
  <r>
    <x v="285"/>
    <x v="129"/>
    <d v="2023-08-30T00:00:00"/>
    <n v="41357.61"/>
    <n v="20.035099223576992"/>
    <x v="3"/>
    <s v="B2B"/>
    <x v="2"/>
    <n v="0.65"/>
    <n v="869961.43"/>
    <n v="21.035099223576992"/>
    <n v="413576.1"/>
    <n v="9"/>
    <x v="0"/>
    <n v="1"/>
  </r>
  <r>
    <x v="286"/>
    <x v="40"/>
    <d v="2024-06-12T00:00:00"/>
    <n v="16261.19"/>
    <n v="32.637653824843085"/>
    <x v="2"/>
    <s v="B2C"/>
    <x v="3"/>
    <n v="0.52"/>
    <n v="546988.28"/>
    <n v="33.637653824843078"/>
    <n v="162611.9"/>
    <n v="9"/>
    <x v="0"/>
    <n v="1"/>
  </r>
  <r>
    <x v="287"/>
    <x v="131"/>
    <d v="2024-06-07T00:00:00"/>
    <n v="27126.77"/>
    <n v="25.757293994087757"/>
    <x v="2"/>
    <s v="B2C"/>
    <x v="1"/>
    <n v="0.79"/>
    <n v="725838.96"/>
    <n v="26.757293994087757"/>
    <n v="271267.7"/>
    <n v="9"/>
    <x v="0"/>
    <n v="1"/>
  </r>
  <r>
    <x v="288"/>
    <x v="129"/>
    <d v="2023-12-10T00:00:00"/>
    <n v="97754.27"/>
    <n v="2.7662216699076159"/>
    <x v="3"/>
    <s v="B2C"/>
    <x v="0"/>
    <n v="0.56000000000000005"/>
    <n v="368164.25"/>
    <n v="3.7662216699076163"/>
    <n v="368164.25"/>
    <n v="2.7662216699076159"/>
    <x v="0"/>
    <n v="-0.31237438528260719"/>
  </r>
  <r>
    <x v="289"/>
    <x v="74"/>
    <d v="2023-08-02T00:00:00"/>
    <n v="86507.56"/>
    <n v="4.4161295267141973"/>
    <x v="0"/>
    <s v="B2C"/>
    <x v="2"/>
    <n v="0.4"/>
    <n v="468536.15"/>
    <n v="5.4161295267141973"/>
    <n v="468536.15"/>
    <n v="4.4161295267141973"/>
    <x v="0"/>
    <n v="3.4974637202988879E-2"/>
  </r>
  <r>
    <x v="290"/>
    <x v="200"/>
    <d v="2024-07-29T00:00:00"/>
    <n v="75067.13"/>
    <n v="11.886573657471651"/>
    <x v="1"/>
    <s v="B2C"/>
    <x v="1"/>
    <n v="0.44"/>
    <n v="967358.1"/>
    <n v="12.886573657471651"/>
    <n v="750671.3"/>
    <n v="9"/>
    <x v="0"/>
    <n v="1"/>
  </r>
  <r>
    <x v="291"/>
    <x v="110"/>
    <d v="2023-09-19T00:00:00"/>
    <n v="46839.92"/>
    <n v="2.5868831543691795"/>
    <x v="3"/>
    <s v="B2B"/>
    <x v="2"/>
    <n v="0.28000000000000003"/>
    <n v="168009.32"/>
    <n v="3.5868831543691795"/>
    <n v="168009.32"/>
    <n v="2.5868831543691795"/>
    <x v="0"/>
    <n v="-0.35012986223806752"/>
  </r>
  <r>
    <x v="292"/>
    <x v="201"/>
    <d v="2024-02-25T00:00:00"/>
    <n v="73305.279999999999"/>
    <n v="9.5904083580336916"/>
    <x v="1"/>
    <s v="B2C"/>
    <x v="2"/>
    <n v="0.48"/>
    <n v="776332.85"/>
    <n v="10.590408358033692"/>
    <n v="733052.8"/>
    <n v="9"/>
    <x v="0"/>
    <n v="1"/>
  </r>
  <r>
    <x v="293"/>
    <x v="4"/>
    <d v="2024-05-15T00:00:00"/>
    <n v="90612.4"/>
    <n v="0.36374215890981815"/>
    <x v="0"/>
    <s v="B2B"/>
    <x v="0"/>
    <n v="0.69"/>
    <n v="123571.95"/>
    <n v="1.3637421589098182"/>
    <n v="123571.95"/>
    <n v="0.36374215890981815"/>
    <x v="1"/>
    <n v="-0.81815954549266989"/>
  </r>
  <r>
    <x v="294"/>
    <x v="121"/>
    <d v="2024-03-31T00:00:00"/>
    <n v="18541.27"/>
    <n v="41.281294647022563"/>
    <x v="0"/>
    <s v="B2B"/>
    <x v="2"/>
    <n v="0.71"/>
    <n v="783948.9"/>
    <n v="42.281294647022563"/>
    <n v="185412.7"/>
    <n v="9.0000000000000018"/>
    <x v="0"/>
    <n v="1.0000000000000004"/>
  </r>
  <r>
    <x v="295"/>
    <x v="202"/>
    <d v="2024-02-17T00:00:00"/>
    <n v="73723.399999999994"/>
    <n v="-0.15144431754368343"/>
    <x v="2"/>
    <s v="B2C"/>
    <x v="1"/>
    <n v="0.21"/>
    <n v="62558.41"/>
    <n v="0.84855568245631652"/>
    <n v="62558.41"/>
    <n v="-0.15144431754368343"/>
    <x v="1"/>
    <n v="-0.926619856324986"/>
  </r>
  <r>
    <x v="296"/>
    <x v="162"/>
    <d v="2024-07-28T00:00:00"/>
    <n v="60705.69"/>
    <n v="8.4745705056642944"/>
    <x v="2"/>
    <s v="B2B"/>
    <x v="3"/>
    <n v="0.19"/>
    <n v="575160.34"/>
    <n v="9.4745705056642944"/>
    <n v="575160.34"/>
    <n v="8.4745705056642944"/>
    <x v="0"/>
    <n v="0.88938326435037784"/>
  </r>
  <r>
    <x v="297"/>
    <x v="202"/>
    <d v="2024-02-10T00:00:00"/>
    <n v="14777.5"/>
    <n v="57.580602943664353"/>
    <x v="0"/>
    <s v="B2C"/>
    <x v="1"/>
    <n v="0.38"/>
    <n v="865674.86"/>
    <n v="58.580602943664353"/>
    <n v="147775"/>
    <n v="9"/>
    <x v="0"/>
    <n v="1"/>
  </r>
  <r>
    <x v="298"/>
    <x v="18"/>
    <d v="2024-07-24T00:00:00"/>
    <n v="81086.350000000006"/>
    <n v="6.3586966240310483"/>
    <x v="1"/>
    <s v="B2C"/>
    <x v="0"/>
    <n v="0.32"/>
    <n v="596689.85"/>
    <n v="7.3586966240310474"/>
    <n v="596689.85"/>
    <n v="6.3586966240310483"/>
    <x v="0"/>
    <n v="0.44393613137495747"/>
  </r>
  <r>
    <x v="299"/>
    <x v="68"/>
    <d v="2023-09-07T00:00:00"/>
    <n v="39534.14"/>
    <n v="10.639142776344698"/>
    <x v="3"/>
    <s v="B2B"/>
    <x v="1"/>
    <n v="0.49"/>
    <n v="460143.5"/>
    <n v="11.639142776344698"/>
    <n v="395341.4"/>
    <n v="9"/>
    <x v="0"/>
    <n v="1"/>
  </r>
  <r>
    <x v="300"/>
    <x v="29"/>
    <d v="2023-12-26T00:00:00"/>
    <n v="63786.13"/>
    <n v="0.43415378860576742"/>
    <x v="1"/>
    <s v="B2C"/>
    <x v="0"/>
    <n v="0.43"/>
    <n v="91479.12"/>
    <n v="1.4341537886057674"/>
    <n v="91479.12"/>
    <n v="0.43415378860576742"/>
    <x v="1"/>
    <n v="-0.80333604450404894"/>
  </r>
  <r>
    <x v="301"/>
    <x v="82"/>
    <d v="2024-04-04T00:00:00"/>
    <n v="63889.54"/>
    <n v="14.411134749131078"/>
    <x v="2"/>
    <s v="B2C"/>
    <x v="2"/>
    <n v="0.95"/>
    <n v="984610.31"/>
    <n v="15.41113474913108"/>
    <n v="638895.4"/>
    <n v="9"/>
    <x v="0"/>
    <n v="1"/>
  </r>
  <r>
    <x v="302"/>
    <x v="203"/>
    <d v="2023-11-27T00:00:00"/>
    <n v="14378.29"/>
    <n v="46.975096482265968"/>
    <x v="3"/>
    <s v="B2B"/>
    <x v="0"/>
    <n v="0.59"/>
    <n v="689799.85"/>
    <n v="47.975096482265968"/>
    <n v="143782.90000000002"/>
    <n v="9"/>
    <x v="0"/>
    <n v="1"/>
  </r>
  <r>
    <x v="303"/>
    <x v="188"/>
    <d v="2023-08-16T00:00:00"/>
    <n v="57635.88"/>
    <n v="2.340309022782336"/>
    <x v="2"/>
    <s v="B2B"/>
    <x v="0"/>
    <n v="0.16"/>
    <n v="192521.65"/>
    <n v="3.3403090227823364"/>
    <n v="192521.65"/>
    <n v="2.340309022782336"/>
    <x v="0"/>
    <n v="-0.40204020573003452"/>
  </r>
  <r>
    <x v="304"/>
    <x v="204"/>
    <d v="2023-08-27T00:00:00"/>
    <n v="78080.7"/>
    <n v="3.7794380685623974"/>
    <x v="3"/>
    <s v="B2B"/>
    <x v="1"/>
    <n v="0.6"/>
    <n v="373181.87"/>
    <n v="4.7794380685623974"/>
    <n v="373181.87"/>
    <n v="3.7794380685623974"/>
    <x v="0"/>
    <n v="-9.9065669776337351E-2"/>
  </r>
  <r>
    <x v="305"/>
    <x v="176"/>
    <d v="2024-07-10T00:00:00"/>
    <n v="95263.32"/>
    <n v="2.7019039437214656"/>
    <x v="1"/>
    <s v="B2B"/>
    <x v="1"/>
    <n v="0.33"/>
    <n v="352655.66"/>
    <n v="3.7019039437214656"/>
    <n v="352655.66"/>
    <n v="2.7019039437214656"/>
    <x v="0"/>
    <n v="-0.32591495921653357"/>
  </r>
  <r>
    <x v="306"/>
    <x v="113"/>
    <d v="2023-12-02T00:00:00"/>
    <n v="54198.81"/>
    <n v="13.481328833603543"/>
    <x v="2"/>
    <s v="B2C"/>
    <x v="3"/>
    <n v="0.4"/>
    <n v="784870.79"/>
    <n v="14.481328833603543"/>
    <n v="541988.1"/>
    <n v="9"/>
    <x v="0"/>
    <n v="1"/>
  </r>
  <r>
    <x v="307"/>
    <x v="123"/>
    <d v="2024-03-22T00:00:00"/>
    <n v="65189.68"/>
    <n v="11.522377775132506"/>
    <x v="1"/>
    <s v="B2C"/>
    <x v="3"/>
    <n v="0.5"/>
    <n v="816329.8"/>
    <n v="12.522377775132506"/>
    <n v="651896.80000000005"/>
    <n v="9"/>
    <x v="0"/>
    <n v="1"/>
  </r>
  <r>
    <x v="308"/>
    <x v="135"/>
    <d v="2024-06-29T00:00:00"/>
    <n v="85772.21"/>
    <n v="7.8110220081772397"/>
    <x v="1"/>
    <s v="B2B"/>
    <x v="0"/>
    <n v="0.86"/>
    <n v="755740.83"/>
    <n v="8.8110220081772397"/>
    <n v="755740.83"/>
    <n v="7.8110220081772397"/>
    <x v="0"/>
    <n v="0.74968884382678724"/>
  </r>
  <r>
    <x v="309"/>
    <x v="205"/>
    <d v="2024-07-25T00:00:00"/>
    <n v="85190.24"/>
    <n v="9.5733353961674474"/>
    <x v="2"/>
    <s v="B2C"/>
    <x v="1"/>
    <n v="0.48"/>
    <n v="900744.98"/>
    <n v="10.573335396167447"/>
    <n v="851902.4"/>
    <n v="9"/>
    <x v="0"/>
    <n v="1"/>
  </r>
  <r>
    <x v="310"/>
    <x v="63"/>
    <d v="2023-08-20T00:00:00"/>
    <n v="87931.71"/>
    <n v="2.282247325794073"/>
    <x v="0"/>
    <s v="B2C"/>
    <x v="3"/>
    <n v="0.77"/>
    <n v="288613.62"/>
    <n v="3.2822473257940734"/>
    <n v="288613.62"/>
    <n v="2.282247325794073"/>
    <x v="0"/>
    <n v="-0.41426372088545838"/>
  </r>
  <r>
    <x v="311"/>
    <x v="188"/>
    <d v="2024-04-24T00:00:00"/>
    <n v="34658.910000000003"/>
    <n v="16.211277850342089"/>
    <x v="3"/>
    <s v="B2B"/>
    <x v="0"/>
    <n v="0.59"/>
    <n v="596524.13"/>
    <n v="17.211277850342089"/>
    <n v="346589.10000000003"/>
    <n v="9"/>
    <x v="0"/>
    <n v="1"/>
  </r>
  <r>
    <x v="312"/>
    <x v="100"/>
    <d v="2024-01-28T00:00:00"/>
    <n v="57845.8"/>
    <n v="3.63036970704874"/>
    <x v="1"/>
    <s v="B2C"/>
    <x v="2"/>
    <n v="0.7"/>
    <n v="267847.44"/>
    <n v="4.6303697070487395"/>
    <n v="267847.44"/>
    <n v="3.63036970704874"/>
    <x v="0"/>
    <n v="-0.13044848272658116"/>
  </r>
  <r>
    <x v="313"/>
    <x v="206"/>
    <d v="2024-01-13T00:00:00"/>
    <n v="65653.98"/>
    <n v="3.8836420884156606"/>
    <x v="3"/>
    <s v="B2C"/>
    <x v="2"/>
    <n v="0.96"/>
    <n v="320630.53999999998"/>
    <n v="4.8836420884156606"/>
    <n v="320630.53999999998"/>
    <n v="3.8836420884156606"/>
    <x v="0"/>
    <n v="-7.7127981386176714E-2"/>
  </r>
  <r>
    <x v="314"/>
    <x v="95"/>
    <d v="2024-03-15T00:00:00"/>
    <n v="69996.240000000005"/>
    <n v="12.376207636295891"/>
    <x v="3"/>
    <s v="B2C"/>
    <x v="2"/>
    <n v="0.86"/>
    <n v="936284.24"/>
    <n v="13.376207636295891"/>
    <n v="699962.4"/>
    <n v="9"/>
    <x v="0"/>
    <n v="1"/>
  </r>
  <r>
    <x v="315"/>
    <x v="207"/>
    <d v="2024-07-18T00:00:00"/>
    <n v="2554.1799999999998"/>
    <n v="224.15726769452425"/>
    <x v="3"/>
    <s v="B2B"/>
    <x v="3"/>
    <n v="0.33"/>
    <n v="575092.18999999994"/>
    <n v="225.15726769452425"/>
    <n v="25541.8"/>
    <n v="9"/>
    <x v="0"/>
    <n v="1"/>
  </r>
  <r>
    <x v="316"/>
    <x v="208"/>
    <d v="2023-10-08T00:00:00"/>
    <n v="11294.95"/>
    <n v="33.548058203002228"/>
    <x v="0"/>
    <s v="B2C"/>
    <x v="2"/>
    <n v="0.95"/>
    <n v="390218.59"/>
    <n v="34.548058203002228"/>
    <n v="112949.5"/>
    <n v="9"/>
    <x v="0"/>
    <n v="1"/>
  </r>
  <r>
    <x v="317"/>
    <x v="209"/>
    <d v="2023-11-26T00:00:00"/>
    <n v="15971.25"/>
    <n v="17.541742193003053"/>
    <x v="0"/>
    <s v="B2B"/>
    <x v="0"/>
    <n v="0.85"/>
    <n v="296134.8"/>
    <n v="18.541742193003053"/>
    <n v="159712.5"/>
    <n v="9"/>
    <x v="0"/>
    <n v="1"/>
  </r>
  <r>
    <x v="318"/>
    <x v="210"/>
    <d v="2024-04-30T00:00:00"/>
    <n v="36838.480000000003"/>
    <n v="20.414342557021893"/>
    <x v="0"/>
    <s v="B2B"/>
    <x v="3"/>
    <n v="0.72"/>
    <n v="788871.83"/>
    <n v="21.414342557021893"/>
    <n v="368384.80000000005"/>
    <n v="9.0000000000000018"/>
    <x v="0"/>
    <n v="1.0000000000000004"/>
  </r>
  <r>
    <x v="319"/>
    <x v="211"/>
    <d v="2024-03-21T00:00:00"/>
    <n v="24501.77"/>
    <n v="31.188311293429003"/>
    <x v="1"/>
    <s v="B2B"/>
    <x v="3"/>
    <n v="0.87"/>
    <n v="788670.6"/>
    <n v="32.188311293429003"/>
    <n v="245017.7"/>
    <n v="9"/>
    <x v="0"/>
    <n v="1"/>
  </r>
  <r>
    <x v="320"/>
    <x v="212"/>
    <d v="2024-05-07T00:00:00"/>
    <n v="49505.24"/>
    <n v="13.216438098270004"/>
    <x v="2"/>
    <s v="B2B"/>
    <x v="1"/>
    <n v="0.87"/>
    <n v="703788.18"/>
    <n v="14.216438098270004"/>
    <n v="495052.39999999997"/>
    <n v="9"/>
    <x v="0"/>
    <n v="1"/>
  </r>
  <r>
    <x v="321"/>
    <x v="213"/>
    <d v="2024-04-25T00:00:00"/>
    <n v="5479.95"/>
    <n v="140.44796029160852"/>
    <x v="3"/>
    <s v="B2B"/>
    <x v="0"/>
    <n v="0.62"/>
    <n v="775127.75"/>
    <n v="141.4479602916085"/>
    <n v="54799.5"/>
    <n v="9"/>
    <x v="0"/>
    <n v="1"/>
  </r>
  <r>
    <x v="322"/>
    <x v="214"/>
    <d v="2023-11-28T00:00:00"/>
    <n v="13686.9"/>
    <n v="20.798194624056581"/>
    <x v="1"/>
    <s v="B2B"/>
    <x v="3"/>
    <n v="0.68"/>
    <n v="298349.71000000002"/>
    <n v="21.798194624056581"/>
    <n v="136869"/>
    <n v="9"/>
    <x v="0"/>
    <n v="1"/>
  </r>
  <r>
    <x v="323"/>
    <x v="114"/>
    <d v="2024-01-11T00:00:00"/>
    <n v="7306.71"/>
    <n v="73.042254311447977"/>
    <x v="2"/>
    <s v="B2B"/>
    <x v="2"/>
    <n v="0.97"/>
    <n v="541005.28"/>
    <n v="74.042254311447977"/>
    <n v="73067.100000000006"/>
    <n v="9"/>
    <x v="0"/>
    <n v="1"/>
  </r>
  <r>
    <x v="324"/>
    <x v="215"/>
    <d v="2023-11-18T00:00:00"/>
    <n v="96168.8"/>
    <n v="0.43500501202053043"/>
    <x v="0"/>
    <s v="B2C"/>
    <x v="1"/>
    <n v="0.26"/>
    <n v="138002.71"/>
    <n v="1.4350050120205304"/>
    <n v="138002.71"/>
    <n v="0.43500501202053043"/>
    <x v="1"/>
    <n v="-0.80315683957462514"/>
  </r>
  <r>
    <x v="325"/>
    <x v="216"/>
    <d v="2023-12-20T00:00:00"/>
    <n v="80398.7"/>
    <n v="5.9160385677877878"/>
    <x v="3"/>
    <s v="B2B"/>
    <x v="2"/>
    <n v="0.77"/>
    <n v="556040.51"/>
    <n v="6.9160385677877878"/>
    <n v="556040.51"/>
    <n v="5.9160385677877878"/>
    <x v="0"/>
    <n v="0.35074496163953417"/>
  </r>
  <r>
    <x v="326"/>
    <x v="217"/>
    <d v="2024-03-20T00:00:00"/>
    <n v="7171.11"/>
    <n v="33.093971505108698"/>
    <x v="1"/>
    <s v="B2C"/>
    <x v="3"/>
    <n v="0.57999999999999996"/>
    <n v="244491.62"/>
    <n v="34.093971505108691"/>
    <n v="71711.099999999991"/>
    <n v="9"/>
    <x v="0"/>
    <n v="1"/>
  </r>
  <r>
    <x v="327"/>
    <x v="3"/>
    <d v="2024-07-24T00:00:00"/>
    <n v="40458.71"/>
    <n v="17.511469100225888"/>
    <x v="0"/>
    <s v="B2B"/>
    <x v="0"/>
    <n v="0.6"/>
    <n v="748950.16"/>
    <n v="18.511469100225884"/>
    <n v="404587.1"/>
    <n v="8.9999999999999982"/>
    <x v="0"/>
    <n v="0.99999999999999956"/>
  </r>
  <r>
    <x v="328"/>
    <x v="116"/>
    <d v="2024-02-16T00:00:00"/>
    <n v="85035.31"/>
    <n v="5.8669056419033456"/>
    <x v="2"/>
    <s v="B2C"/>
    <x v="3"/>
    <n v="0.69"/>
    <n v="583929.44999999995"/>
    <n v="6.8669056419033456"/>
    <n v="583929.44999999995"/>
    <n v="5.8669056419033456"/>
    <x v="0"/>
    <n v="0.34040118776912531"/>
  </r>
  <r>
    <x v="329"/>
    <x v="108"/>
    <d v="2023-12-12T00:00:00"/>
    <n v="28881.52"/>
    <n v="29.740284791105179"/>
    <x v="0"/>
    <s v="B2B"/>
    <x v="3"/>
    <n v="0.74"/>
    <n v="887826.15"/>
    <n v="30.740284791105179"/>
    <n v="288815.2"/>
    <n v="9"/>
    <x v="0"/>
    <n v="1"/>
  </r>
  <r>
    <x v="330"/>
    <x v="107"/>
    <d v="2023-08-15T00:00:00"/>
    <n v="99891.35"/>
    <n v="-0.91718502152588788"/>
    <x v="0"/>
    <s v="B2C"/>
    <x v="1"/>
    <n v="0.91"/>
    <n v="8272.5"/>
    <n v="8.2814978474112122E-2"/>
    <n v="49945.675000000003"/>
    <n v="-0.5"/>
    <x v="1"/>
    <n v="-1"/>
  </r>
  <r>
    <x v="331"/>
    <x v="208"/>
    <d v="2024-04-29T00:00:00"/>
    <n v="35936.699999999997"/>
    <n v="15.020154883447843"/>
    <x v="2"/>
    <s v="B2B"/>
    <x v="3"/>
    <n v="0.13"/>
    <n v="575711.5"/>
    <n v="16.020154883447841"/>
    <n v="359367"/>
    <n v="9"/>
    <x v="0"/>
    <n v="1"/>
  </r>
  <r>
    <x v="332"/>
    <x v="165"/>
    <d v="2024-07-22T00:00:00"/>
    <n v="52088.32"/>
    <n v="0.64978233124047768"/>
    <x v="1"/>
    <s v="B2B"/>
    <x v="3"/>
    <n v="0.46"/>
    <n v="85934.39"/>
    <n v="1.6497823312404778"/>
    <n v="85934.39"/>
    <n v="0.64978233124047768"/>
    <x v="0"/>
    <n v="-0.75794056184410996"/>
  </r>
  <r>
    <x v="333"/>
    <x v="66"/>
    <d v="2023-12-31T00:00:00"/>
    <n v="19258.46"/>
    <n v="42.02596105815315"/>
    <x v="1"/>
    <s v="B2C"/>
    <x v="1"/>
    <n v="0.22"/>
    <n v="828613.75"/>
    <n v="43.025961058153143"/>
    <n v="192584.59999999998"/>
    <n v="9"/>
    <x v="0"/>
    <n v="1"/>
  </r>
  <r>
    <x v="334"/>
    <x v="0"/>
    <d v="2023-11-13T00:00:00"/>
    <n v="35095.839999999997"/>
    <n v="3.3864497900605892"/>
    <x v="3"/>
    <s v="B2C"/>
    <x v="2"/>
    <n v="0.26"/>
    <n v="153946.14000000001"/>
    <n v="4.3864497900605892"/>
    <n v="153946.14000000001"/>
    <n v="3.3864497900605892"/>
    <x v="0"/>
    <n v="-0.18180004419777074"/>
  </r>
  <r>
    <x v="335"/>
    <x v="218"/>
    <d v="2024-04-16T00:00:00"/>
    <n v="89591.74"/>
    <n v="6.9018140511614128"/>
    <x v="1"/>
    <s v="B2C"/>
    <x v="1"/>
    <n v="0.16"/>
    <n v="707937.27"/>
    <n v="7.9018140511614128"/>
    <n v="707937.27"/>
    <n v="6.9018140511614128"/>
    <x v="0"/>
    <n v="0.55827664234977115"/>
  </r>
  <r>
    <x v="336"/>
    <x v="219"/>
    <d v="2024-06-11T00:00:00"/>
    <n v="30866.33"/>
    <n v="14.779188520306754"/>
    <x v="2"/>
    <s v="B2C"/>
    <x v="2"/>
    <n v="0.51"/>
    <n v="487045.64"/>
    <n v="15.779188520306754"/>
    <n v="308663.30000000005"/>
    <n v="9"/>
    <x v="0"/>
    <n v="1"/>
  </r>
  <r>
    <x v="337"/>
    <x v="220"/>
    <d v="2023-08-02T00:00:00"/>
    <n v="60761.56"/>
    <n v="8.2313725980702266"/>
    <x v="1"/>
    <s v="B2C"/>
    <x v="2"/>
    <n v="0.46"/>
    <n v="560912.6"/>
    <n v="9.2313725980702266"/>
    <n v="560912.6"/>
    <n v="8.2313725980702266"/>
    <x v="0"/>
    <n v="0.83818370485688987"/>
  </r>
  <r>
    <x v="338"/>
    <x v="221"/>
    <d v="2023-08-27T00:00:00"/>
    <n v="82351.520000000004"/>
    <n v="4.7131819789118641"/>
    <x v="1"/>
    <s v="B2C"/>
    <x v="0"/>
    <n v="0.27"/>
    <n v="470489.22"/>
    <n v="5.7131819789118641"/>
    <n v="470489.22"/>
    <n v="4.7131819789118641"/>
    <x v="0"/>
    <n v="9.7511995560392473E-2"/>
  </r>
  <r>
    <x v="339"/>
    <x v="107"/>
    <d v="2024-03-12T00:00:00"/>
    <n v="68860.820000000007"/>
    <n v="4.2379107597034134"/>
    <x v="2"/>
    <s v="B2C"/>
    <x v="0"/>
    <n v="0.82"/>
    <n v="360686.83"/>
    <n v="5.2379107597034134"/>
    <n v="360686.83"/>
    <n v="4.2379107597034134"/>
    <x v="0"/>
    <n v="-2.5451032203340773E-3"/>
  </r>
  <r>
    <x v="340"/>
    <x v="222"/>
    <d v="2024-05-25T00:00:00"/>
    <n v="71941.119999999995"/>
    <n v="10.03146225691232"/>
    <x v="2"/>
    <s v="B2C"/>
    <x v="3"/>
    <n v="0.67"/>
    <n v="793615.75"/>
    <n v="11.03146225691232"/>
    <n v="719411.19999999995"/>
    <n v="9"/>
    <x v="0"/>
    <n v="1"/>
  </r>
  <r>
    <x v="341"/>
    <x v="126"/>
    <d v="2024-01-23T00:00:00"/>
    <n v="92487.679999999993"/>
    <n v="4.8351761012926273"/>
    <x v="3"/>
    <s v="B2C"/>
    <x v="0"/>
    <n v="0.48"/>
    <n v="539681.9"/>
    <n v="5.8351761012926273"/>
    <n v="539681.9"/>
    <n v="4.8351761012926273"/>
    <x v="0"/>
    <n v="0.1231949686931848"/>
  </r>
  <r>
    <x v="342"/>
    <x v="139"/>
    <d v="2023-08-05T00:00:00"/>
    <n v="6690.98"/>
    <n v="61.668021724769766"/>
    <x v="1"/>
    <s v="B2C"/>
    <x v="3"/>
    <n v="0.6"/>
    <n v="419310.48"/>
    <n v="62.668021724769766"/>
    <n v="66909.799999999988"/>
    <n v="9"/>
    <x v="0"/>
    <n v="1"/>
  </r>
  <r>
    <x v="343"/>
    <x v="223"/>
    <d v="2024-03-29T00:00:00"/>
    <n v="65932.3"/>
    <n v="12.174355664825887"/>
    <x v="0"/>
    <s v="B2B"/>
    <x v="2"/>
    <n v="0.64"/>
    <n v="868615.57"/>
    <n v="13.174355664825889"/>
    <n v="659323"/>
    <n v="8.9999999999999982"/>
    <x v="0"/>
    <n v="0.99999999999999956"/>
  </r>
  <r>
    <x v="344"/>
    <x v="64"/>
    <d v="2023-08-03T00:00:00"/>
    <n v="2939.44"/>
    <n v="175.18536183762893"/>
    <x v="1"/>
    <s v="B2B"/>
    <x v="3"/>
    <n v="0.34"/>
    <n v="517886.3"/>
    <n v="176.18536183762893"/>
    <n v="29394.400000000001"/>
    <n v="9"/>
    <x v="0"/>
    <n v="1"/>
  </r>
  <r>
    <x v="345"/>
    <x v="224"/>
    <d v="2023-08-05T00:00:00"/>
    <n v="89898.65"/>
    <n v="9.4633884935980692"/>
    <x v="3"/>
    <s v="B2C"/>
    <x v="2"/>
    <n v="0.94"/>
    <n v="940644.5"/>
    <n v="10.463388493598069"/>
    <n v="898986.5"/>
    <n v="9"/>
    <x v="0"/>
    <n v="1"/>
  </r>
  <r>
    <x v="346"/>
    <x v="90"/>
    <d v="2024-01-12T00:00:00"/>
    <n v="79330.100000000006"/>
    <n v="11.521322045478323"/>
    <x v="2"/>
    <s v="B2C"/>
    <x v="1"/>
    <n v="0.6"/>
    <n v="993317.73"/>
    <n v="12.521322045478323"/>
    <n v="793301"/>
    <n v="9"/>
    <x v="0"/>
    <n v="1"/>
  </r>
  <r>
    <x v="347"/>
    <x v="225"/>
    <d v="2023-09-26T00:00:00"/>
    <n v="49871.16"/>
    <n v="14.109973579920739"/>
    <x v="2"/>
    <s v="B2B"/>
    <x v="1"/>
    <n v="0.13"/>
    <n v="753551.91"/>
    <n v="15.109973579920739"/>
    <n v="498711.60000000003"/>
    <n v="9"/>
    <x v="0"/>
    <n v="1"/>
  </r>
  <r>
    <x v="348"/>
    <x v="168"/>
    <d v="2024-07-09T00:00:00"/>
    <n v="86898.8"/>
    <n v="6.2206381446003851"/>
    <x v="0"/>
    <s v="B2B"/>
    <x v="2"/>
    <n v="0.63"/>
    <n v="627464.79"/>
    <n v="7.220638144600386"/>
    <n v="627464.79"/>
    <n v="6.2206381446003851"/>
    <x v="0"/>
    <n v="0.41487118833692316"/>
  </r>
  <r>
    <x v="349"/>
    <x v="226"/>
    <d v="2024-06-07T00:00:00"/>
    <n v="88219.78"/>
    <n v="3.3654606710649237"/>
    <x v="1"/>
    <s v="B2C"/>
    <x v="0"/>
    <n v="0.9"/>
    <n v="385119.98"/>
    <n v="4.3654606710649242"/>
    <n v="385119.98"/>
    <n v="3.3654606710649237"/>
    <x v="0"/>
    <n v="-0.18621880609159502"/>
  </r>
  <r>
    <x v="350"/>
    <x v="11"/>
    <d v="2023-10-02T00:00:00"/>
    <n v="40691.9"/>
    <n v="21.717279851764111"/>
    <x v="0"/>
    <s v="B2C"/>
    <x v="0"/>
    <n v="0.5"/>
    <n v="924409.28"/>
    <n v="22.717279851764111"/>
    <n v="406919"/>
    <n v="8.9999999999999982"/>
    <x v="0"/>
    <n v="0.99999999999999956"/>
  </r>
  <r>
    <x v="351"/>
    <x v="227"/>
    <d v="2023-12-22T00:00:00"/>
    <n v="72683.100000000006"/>
    <n v="9.7126242551569746"/>
    <x v="3"/>
    <s v="B2B"/>
    <x v="2"/>
    <n v="0.71"/>
    <n v="778626.74"/>
    <n v="10.712624255156975"/>
    <n v="726831"/>
    <n v="9"/>
    <x v="0"/>
    <n v="1"/>
  </r>
  <r>
    <x v="352"/>
    <x v="185"/>
    <d v="2024-04-26T00:00:00"/>
    <n v="11646.16"/>
    <n v="0.14408526072113048"/>
    <x v="0"/>
    <s v="B2B"/>
    <x v="0"/>
    <n v="0.81"/>
    <n v="13324.2"/>
    <n v="1.1440852607211305"/>
    <n v="13324.2"/>
    <n v="0.14408526072113048"/>
    <x v="1"/>
    <n v="-0.86440310300607781"/>
  </r>
  <r>
    <x v="353"/>
    <x v="23"/>
    <d v="2023-12-23T00:00:00"/>
    <n v="89917.95"/>
    <n v="7.1944568353704694"/>
    <x v="0"/>
    <s v="B2B"/>
    <x v="1"/>
    <n v="0.24"/>
    <n v="736828.76"/>
    <n v="8.1944568353704685"/>
    <n v="736828.76"/>
    <n v="7.1944568353704694"/>
    <x v="0"/>
    <n v="0.6198856495516778"/>
  </r>
  <r>
    <x v="354"/>
    <x v="40"/>
    <d v="2024-04-19T00:00:00"/>
    <n v="78099.81"/>
    <n v="5.8511764625291658"/>
    <x v="2"/>
    <s v="B2C"/>
    <x v="0"/>
    <n v="0.35"/>
    <n v="535075.57999999996"/>
    <n v="6.8511764625291658"/>
    <n v="535075.57999999996"/>
    <n v="5.8511764625291658"/>
    <x v="0"/>
    <n v="0.33708978158508751"/>
  </r>
  <r>
    <x v="355"/>
    <x v="70"/>
    <d v="2024-07-25T00:00:00"/>
    <n v="35717.61"/>
    <n v="3.0902218821472101"/>
    <x v="1"/>
    <s v="B2C"/>
    <x v="0"/>
    <n v="0.1"/>
    <n v="146092.95000000001"/>
    <n v="4.0902218821472101"/>
    <n v="146092.95000000001"/>
    <n v="3.0902218821472101"/>
    <x v="0"/>
    <n v="-0.24416381428479783"/>
  </r>
  <r>
    <x v="356"/>
    <x v="228"/>
    <d v="2024-03-25T00:00:00"/>
    <n v="74243.839999999997"/>
    <n v="6.5808727027050331"/>
    <x v="2"/>
    <s v="B2B"/>
    <x v="1"/>
    <n v="0.95"/>
    <n v="562833.1"/>
    <n v="7.5808727027050322"/>
    <n v="562833.1"/>
    <n v="6.5808727027050331"/>
    <x v="0"/>
    <n v="0.49071004267474372"/>
  </r>
  <r>
    <x v="357"/>
    <x v="171"/>
    <d v="2024-02-08T00:00:00"/>
    <n v="25475.7"/>
    <n v="33.126753337494165"/>
    <x v="2"/>
    <s v="B2C"/>
    <x v="2"/>
    <n v="0.43"/>
    <n v="869402.93"/>
    <n v="34.126753337494165"/>
    <n v="254757"/>
    <n v="9"/>
    <x v="0"/>
    <n v="1"/>
  </r>
  <r>
    <x v="358"/>
    <x v="15"/>
    <d v="2024-04-15T00:00:00"/>
    <n v="28552.53"/>
    <n v="15.53726692520768"/>
    <x v="2"/>
    <s v="B2C"/>
    <x v="2"/>
    <n v="0.2"/>
    <n v="472180.81"/>
    <n v="16.537266925207678"/>
    <n v="285525.3"/>
    <n v="9"/>
    <x v="0"/>
    <n v="1"/>
  </r>
  <r>
    <x v="359"/>
    <x v="99"/>
    <d v="2023-08-06T00:00:00"/>
    <n v="38420.97"/>
    <n v="20.689955771548714"/>
    <x v="3"/>
    <s v="B2C"/>
    <x v="0"/>
    <n v="0.57999999999999996"/>
    <n v="833349.14"/>
    <n v="21.689955771548714"/>
    <n v="384209.7"/>
    <n v="9"/>
    <x v="0"/>
    <n v="1"/>
  </r>
  <r>
    <x v="360"/>
    <x v="207"/>
    <d v="2024-04-23T00:00:00"/>
    <n v="39225.15"/>
    <n v="2.2490662240934705"/>
    <x v="0"/>
    <s v="B2B"/>
    <x v="2"/>
    <n v="0.84"/>
    <n v="127445.11"/>
    <n v="3.2490662240934705"/>
    <n v="127445.11"/>
    <n v="2.2490662240934705"/>
    <x v="0"/>
    <n v="-0.42124921598032206"/>
  </r>
  <r>
    <x v="361"/>
    <x v="22"/>
    <d v="2024-04-06T00:00:00"/>
    <n v="1436.99"/>
    <n v="612.62183452911984"/>
    <x v="1"/>
    <s v="B2B"/>
    <x v="0"/>
    <n v="0.87"/>
    <n v="881768.44"/>
    <n v="613.62183452911984"/>
    <n v="14369.9"/>
    <n v="9"/>
    <x v="0"/>
    <n v="1"/>
  </r>
  <r>
    <x v="362"/>
    <x v="229"/>
    <d v="2024-03-18T00:00:00"/>
    <n v="11007.95"/>
    <n v="60.787181082762906"/>
    <x v="1"/>
    <s v="B2C"/>
    <x v="3"/>
    <n v="0.81"/>
    <n v="680150.2"/>
    <n v="61.787181082762906"/>
    <n v="110079.5"/>
    <n v="9"/>
    <x v="0"/>
    <n v="1"/>
  </r>
  <r>
    <x v="363"/>
    <x v="149"/>
    <d v="2024-07-09T00:00:00"/>
    <n v="94432.87"/>
    <n v="4.5584740779349397"/>
    <x v="3"/>
    <s v="B2C"/>
    <x v="0"/>
    <n v="0.2"/>
    <n v="524902.66"/>
    <n v="5.5584740779349397"/>
    <n v="524902.66"/>
    <n v="4.5584740779349397"/>
    <x v="0"/>
    <n v="6.4941911144197784E-2"/>
  </r>
  <r>
    <x v="364"/>
    <x v="207"/>
    <d v="2024-05-12T00:00:00"/>
    <n v="87100.53"/>
    <n v="10.017443636680513"/>
    <x v="1"/>
    <s v="B2B"/>
    <x v="3"/>
    <n v="0.32"/>
    <n v="959625.18"/>
    <n v="11.017443636680513"/>
    <n v="871005.3"/>
    <n v="9"/>
    <x v="0"/>
    <n v="1"/>
  </r>
  <r>
    <x v="365"/>
    <x v="210"/>
    <d v="2023-11-15T00:00:00"/>
    <n v="81473.25"/>
    <n v="4.7854792830775743"/>
    <x v="2"/>
    <s v="B2C"/>
    <x v="2"/>
    <n v="0.37"/>
    <n v="471361.8"/>
    <n v="5.7854792830775743"/>
    <n v="471361.8"/>
    <n v="4.7854792830775743"/>
    <x v="0"/>
    <n v="0.11273248064791042"/>
  </r>
  <r>
    <x v="366"/>
    <x v="174"/>
    <d v="2023-09-30T00:00:00"/>
    <n v="89921.79"/>
    <n v="3.7099106901675336"/>
    <x v="2"/>
    <s v="B2B"/>
    <x v="0"/>
    <n v="0.51"/>
    <n v="423523.6"/>
    <n v="4.7099106901675336"/>
    <n v="423523.6"/>
    <n v="3.7099106901675336"/>
    <x v="0"/>
    <n v="-0.11370301259630866"/>
  </r>
  <r>
    <x v="367"/>
    <x v="229"/>
    <d v="2023-10-22T00:00:00"/>
    <n v="93538.7"/>
    <n v="9.1493363709352398"/>
    <x v="0"/>
    <s v="B2B"/>
    <x v="0"/>
    <n v="0.4"/>
    <n v="949355.73"/>
    <n v="10.149336370935238"/>
    <n v="935387"/>
    <n v="9"/>
    <x v="0"/>
    <n v="1"/>
  </r>
  <r>
    <x v="368"/>
    <x v="35"/>
    <d v="2024-05-21T00:00:00"/>
    <n v="96760.38"/>
    <n v="2.6507832027943667"/>
    <x v="0"/>
    <s v="B2B"/>
    <x v="3"/>
    <n v="0.33"/>
    <n v="353251.17"/>
    <n v="3.6507832027943667"/>
    <n v="353251.17"/>
    <n v="2.6507832027943667"/>
    <x v="0"/>
    <n v="-0.3366772204643439"/>
  </r>
  <r>
    <x v="369"/>
    <x v="176"/>
    <d v="2024-05-10T00:00:00"/>
    <n v="90020.46"/>
    <n v="7.513526924879077"/>
    <x v="3"/>
    <s v="B2C"/>
    <x v="1"/>
    <n v="0.9"/>
    <n v="766391.61"/>
    <n v="8.513526924879077"/>
    <n v="766391.61"/>
    <n v="7.513526924879077"/>
    <x v="0"/>
    <n v="0.68705829997454249"/>
  </r>
  <r>
    <x v="370"/>
    <x v="63"/>
    <d v="2024-03-14T00:00:00"/>
    <n v="14495.84"/>
    <n v="6.2888677027340254"/>
    <x v="1"/>
    <s v="B2C"/>
    <x v="3"/>
    <n v="0.56000000000000005"/>
    <n v="105658.26"/>
    <n v="7.2888677027340254"/>
    <n v="105658.26"/>
    <n v="6.2888677027340254"/>
    <x v="0"/>
    <n v="0.42923530583874214"/>
  </r>
  <r>
    <x v="371"/>
    <x v="230"/>
    <d v="2024-05-18T00:00:00"/>
    <n v="7889.64"/>
    <n v="19.300203811580751"/>
    <x v="0"/>
    <s v="B2C"/>
    <x v="3"/>
    <n v="0.56000000000000005"/>
    <n v="160161.29999999999"/>
    <n v="20.300203811580754"/>
    <n v="78896.400000000009"/>
    <n v="9"/>
    <x v="0"/>
    <n v="1"/>
  </r>
  <r>
    <x v="372"/>
    <x v="88"/>
    <d v="2024-05-21T00:00:00"/>
    <n v="53658.92"/>
    <n v="13.187615591219503"/>
    <x v="3"/>
    <s v="B2B"/>
    <x v="1"/>
    <n v="0"/>
    <n v="761292.13"/>
    <n v="14.187615591219503"/>
    <n v="536589.19999999995"/>
    <n v="9"/>
    <x v="0"/>
    <n v="1"/>
  </r>
  <r>
    <x v="373"/>
    <x v="231"/>
    <d v="2024-03-10T00:00:00"/>
    <n v="21172.32"/>
    <n v="44.94179097992096"/>
    <x v="3"/>
    <s v="B2C"/>
    <x v="3"/>
    <n v="0.32"/>
    <n v="972694.3"/>
    <n v="45.94179097992096"/>
    <n v="211723.2"/>
    <n v="9"/>
    <x v="0"/>
    <n v="1"/>
  </r>
  <r>
    <x v="374"/>
    <x v="217"/>
    <d v="2024-04-01T00:00:00"/>
    <n v="88296.95"/>
    <n v="9.5126145353831593"/>
    <x v="2"/>
    <s v="B2C"/>
    <x v="3"/>
    <n v="0.13"/>
    <n v="928231.8"/>
    <n v="10.512614535383159"/>
    <n v="882969.5"/>
    <n v="9"/>
    <x v="0"/>
    <n v="1"/>
  </r>
  <r>
    <x v="375"/>
    <x v="97"/>
    <d v="2024-04-05T00:00:00"/>
    <n v="42970.96"/>
    <n v="7.0408096537754794"/>
    <x v="2"/>
    <s v="B2C"/>
    <x v="3"/>
    <n v="0.68"/>
    <n v="345521.31"/>
    <n v="8.0408096537754794"/>
    <n v="345521.31"/>
    <n v="7.0408096537754794"/>
    <x v="0"/>
    <n v="0.5875388744790484"/>
  </r>
  <r>
    <x v="376"/>
    <x v="35"/>
    <d v="2023-11-09T00:00:00"/>
    <n v="49418.2"/>
    <n v="17.559910923505917"/>
    <x v="3"/>
    <s v="B2B"/>
    <x v="2"/>
    <n v="0.83"/>
    <n v="917197.39"/>
    <n v="18.559910923505917"/>
    <n v="494182"/>
    <n v="9"/>
    <x v="0"/>
    <n v="1"/>
  </r>
  <r>
    <x v="377"/>
    <x v="107"/>
    <d v="2023-12-08T00:00:00"/>
    <n v="3809.12"/>
    <n v="149.66209255681102"/>
    <x v="2"/>
    <s v="B2C"/>
    <x v="3"/>
    <n v="0.2"/>
    <n v="573889.99"/>
    <n v="150.66209255681102"/>
    <n v="38091.199999999997"/>
    <n v="8.9999999999999982"/>
    <x v="0"/>
    <n v="0.99999999999999956"/>
  </r>
  <r>
    <x v="378"/>
    <x v="103"/>
    <d v="2024-02-17T00:00:00"/>
    <n v="96955.19"/>
    <n v="5.2412084386612001"/>
    <x v="2"/>
    <s v="B2B"/>
    <x v="1"/>
    <n v="0.51"/>
    <n v="605117.55000000005"/>
    <n v="6.2412084386612001"/>
    <n v="605117.55000000005"/>
    <n v="5.2412084386612001"/>
    <x v="0"/>
    <n v="0.20867546077077903"/>
  </r>
  <r>
    <x v="379"/>
    <x v="232"/>
    <d v="2024-04-27T00:00:00"/>
    <n v="22787.98"/>
    <n v="40.256298715375387"/>
    <x v="2"/>
    <s v="B2C"/>
    <x v="0"/>
    <n v="0.28999999999999998"/>
    <n v="940147.71"/>
    <n v="41.256298715375387"/>
    <n v="227879.8"/>
    <n v="9"/>
    <x v="0"/>
    <n v="1"/>
  </r>
  <r>
    <x v="380"/>
    <x v="2"/>
    <d v="2023-11-10T00:00:00"/>
    <n v="59550.27"/>
    <n v="4.8002255909167166"/>
    <x v="3"/>
    <s v="B2C"/>
    <x v="3"/>
    <n v="0.42"/>
    <n v="345405"/>
    <n v="5.8002255909167166"/>
    <n v="345405"/>
    <n v="4.8002255909167166"/>
    <x v="0"/>
    <n v="0.11583696650878239"/>
  </r>
  <r>
    <x v="381"/>
    <x v="184"/>
    <d v="2024-01-25T00:00:00"/>
    <n v="55219.7"/>
    <n v="10.659952879135528"/>
    <x v="1"/>
    <s v="B2B"/>
    <x v="1"/>
    <n v="0.64"/>
    <n v="643859.1"/>
    <n v="11.659952879135526"/>
    <n v="552197"/>
    <n v="9"/>
    <x v="0"/>
    <n v="1"/>
  </r>
  <r>
    <x v="382"/>
    <x v="60"/>
    <d v="2024-02-06T00:00:00"/>
    <n v="38978.720000000001"/>
    <n v="17.745933422133923"/>
    <x v="1"/>
    <s v="B2C"/>
    <x v="0"/>
    <n v="0.25"/>
    <n v="730692.49"/>
    <n v="18.745933422133923"/>
    <n v="389787.2"/>
    <n v="9"/>
    <x v="0"/>
    <n v="1"/>
  </r>
  <r>
    <x v="383"/>
    <x v="223"/>
    <d v="2024-04-13T00:00:00"/>
    <n v="77106.38"/>
    <n v="1.4349625802689736"/>
    <x v="1"/>
    <s v="B2C"/>
    <x v="1"/>
    <n v="0.39"/>
    <n v="187751.15"/>
    <n v="2.4349625802689738"/>
    <n v="187751.15"/>
    <n v="1.4349625802689736"/>
    <x v="0"/>
    <n v="-0.59263945678547925"/>
  </r>
  <r>
    <x v="384"/>
    <x v="233"/>
    <d v="2023-12-22T00:00:00"/>
    <n v="16485.72"/>
    <n v="-0.41075245727817777"/>
    <x v="1"/>
    <s v="B2B"/>
    <x v="3"/>
    <n v="0.41"/>
    <n v="9714.17"/>
    <n v="0.58924754272182223"/>
    <n v="9714.17"/>
    <n v="-0.41075245727817777"/>
    <x v="1"/>
    <n v="-0.9812110436375111"/>
  </r>
  <r>
    <x v="385"/>
    <x v="212"/>
    <d v="2023-08-11T00:00:00"/>
    <n v="32297.26"/>
    <n v="27.485242401367795"/>
    <x v="2"/>
    <s v="B2B"/>
    <x v="1"/>
    <n v="0.17"/>
    <n v="919995.28"/>
    <n v="28.485242401367795"/>
    <n v="322972.59999999998"/>
    <n v="9"/>
    <x v="0"/>
    <n v="1"/>
  </r>
  <r>
    <x v="386"/>
    <x v="225"/>
    <d v="2024-07-24T00:00:00"/>
    <n v="80372.5"/>
    <n v="2.2374779930946533"/>
    <x v="2"/>
    <s v="B2B"/>
    <x v="2"/>
    <n v="0.3"/>
    <n v="260204.2"/>
    <n v="3.2374779930946533"/>
    <n v="260204.2"/>
    <n v="2.2374779930946533"/>
    <x v="0"/>
    <n v="-0.42368884355902037"/>
  </r>
  <r>
    <x v="387"/>
    <x v="234"/>
    <d v="2024-03-18T00:00:00"/>
    <n v="51871.97"/>
    <n v="6.517923842105863"/>
    <x v="0"/>
    <s v="B2B"/>
    <x v="2"/>
    <n v="0.55000000000000004"/>
    <n v="389969.52"/>
    <n v="7.5179238421058621"/>
    <n v="389969.52"/>
    <n v="6.517923842105863"/>
    <x v="0"/>
    <n v="0.47745765096965531"/>
  </r>
  <r>
    <x v="388"/>
    <x v="157"/>
    <d v="2023-12-30T00:00:00"/>
    <n v="3162.85"/>
    <n v="196.62662788308015"/>
    <x v="3"/>
    <s v="B2B"/>
    <x v="0"/>
    <n v="0.71"/>
    <n v="625063.38"/>
    <n v="197.62662788308015"/>
    <n v="31628.5"/>
    <n v="9"/>
    <x v="0"/>
    <n v="1"/>
  </r>
  <r>
    <x v="389"/>
    <x v="20"/>
    <d v="2023-12-10T00:00:00"/>
    <n v="1793.79"/>
    <n v="244.92031397209263"/>
    <x v="2"/>
    <s v="B2B"/>
    <x v="1"/>
    <n v="0.3"/>
    <n v="441129.4"/>
    <n v="245.92031397209263"/>
    <n v="17937.900000000001"/>
    <n v="9"/>
    <x v="0"/>
    <n v="1"/>
  </r>
  <r>
    <x v="390"/>
    <x v="235"/>
    <d v="2023-10-28T00:00:00"/>
    <n v="52804.87"/>
    <n v="15.667144526631729"/>
    <x v="0"/>
    <s v="B2C"/>
    <x v="2"/>
    <n v="0.25"/>
    <n v="880106.4"/>
    <n v="16.667144526631727"/>
    <n v="528048.70000000007"/>
    <n v="9.0000000000000018"/>
    <x v="0"/>
    <n v="1.0000000000000004"/>
  </r>
  <r>
    <x v="391"/>
    <x v="236"/>
    <d v="2023-09-12T00:00:00"/>
    <n v="71940.27"/>
    <n v="9.0151780080892099"/>
    <x v="3"/>
    <s v="B2B"/>
    <x v="3"/>
    <n v="0.73"/>
    <n v="720494.61"/>
    <n v="10.01517800808921"/>
    <n v="719402.70000000007"/>
    <n v="9"/>
    <x v="0"/>
    <n v="1"/>
  </r>
  <r>
    <x v="392"/>
    <x v="237"/>
    <d v="2023-10-09T00:00:00"/>
    <n v="83645.539999999994"/>
    <n v="6.2683351676610606"/>
    <x v="3"/>
    <s v="B2B"/>
    <x v="3"/>
    <n v="0.27"/>
    <n v="607963.81999999995"/>
    <n v="7.2683351676610615"/>
    <n v="607963.81999999995"/>
    <n v="6.2683351676610606"/>
    <x v="0"/>
    <n v="0.42491266687601281"/>
  </r>
  <r>
    <x v="393"/>
    <x v="61"/>
    <d v="2024-03-14T00:00:00"/>
    <n v="40895.279999999999"/>
    <n v="6.8932206846364652"/>
    <x v="2"/>
    <s v="B2C"/>
    <x v="1"/>
    <n v="0.53"/>
    <n v="322795.46999999997"/>
    <n v="7.8932206846364661"/>
    <n v="322795.46999999997"/>
    <n v="6.8932206846364652"/>
    <x v="0"/>
    <n v="0.55646751255504534"/>
  </r>
  <r>
    <x v="394"/>
    <x v="238"/>
    <d v="2024-06-04T00:00:00"/>
    <n v="33898.879999999997"/>
    <n v="7.8623733291483386"/>
    <x v="3"/>
    <s v="B2B"/>
    <x v="3"/>
    <n v="0.57999999999999996"/>
    <n v="300424.53000000003"/>
    <n v="8.8623733291483386"/>
    <n v="300424.53000000003"/>
    <n v="7.8623733291483386"/>
    <x v="0"/>
    <n v="0.76049964824175542"/>
  </r>
  <r>
    <x v="395"/>
    <x v="239"/>
    <d v="2023-11-28T00:00:00"/>
    <n v="46310.28"/>
    <n v="9.4955454814784108"/>
    <x v="2"/>
    <s v="B2B"/>
    <x v="2"/>
    <n v="0.53"/>
    <n v="486051.65"/>
    <n v="10.495545481478411"/>
    <n v="463102.8"/>
    <n v="9"/>
    <x v="0"/>
    <n v="1"/>
  </r>
  <r>
    <x v="396"/>
    <x v="164"/>
    <d v="2024-05-17T00:00:00"/>
    <n v="32095.599999999999"/>
    <n v="12.781340744525732"/>
    <x v="0"/>
    <s v="B2B"/>
    <x v="1"/>
    <n v="0.37"/>
    <n v="442320.4"/>
    <n v="13.78134074452573"/>
    <n v="320956"/>
    <n v="9.0000000000000018"/>
    <x v="0"/>
    <n v="1.0000000000000004"/>
  </r>
  <r>
    <x v="397"/>
    <x v="93"/>
    <d v="2023-11-21T00:00:00"/>
    <n v="96019.69"/>
    <n v="6.1580450842946908"/>
    <x v="2"/>
    <s v="B2C"/>
    <x v="0"/>
    <n v="0.56999999999999995"/>
    <n v="687313.27"/>
    <n v="7.1580450842946899"/>
    <n v="687313.27"/>
    <n v="6.1580450842946908"/>
    <x v="0"/>
    <n v="0.40169370195677701"/>
  </r>
  <r>
    <x v="398"/>
    <x v="16"/>
    <d v="2023-08-17T00:00:00"/>
    <n v="13908.21"/>
    <n v="57.71380932557102"/>
    <x v="1"/>
    <s v="B2B"/>
    <x v="1"/>
    <n v="0.88"/>
    <n v="816603.99"/>
    <n v="58.713809325571013"/>
    <n v="139082.09999999998"/>
    <n v="9"/>
    <x v="0"/>
    <n v="1"/>
  </r>
  <r>
    <x v="399"/>
    <x v="225"/>
    <d v="2024-05-24T00:00:00"/>
    <n v="4833.32"/>
    <n v="177.84970786126308"/>
    <x v="2"/>
    <s v="B2C"/>
    <x v="1"/>
    <n v="0.22"/>
    <n v="864437.87"/>
    <n v="178.84970786126308"/>
    <n v="48333.2"/>
    <n v="9"/>
    <x v="0"/>
    <n v="1"/>
  </r>
  <r>
    <x v="400"/>
    <x v="240"/>
    <d v="2023-08-18T00:00:00"/>
    <n v="28827.53"/>
    <n v="24.462306343970504"/>
    <x v="3"/>
    <s v="B2C"/>
    <x v="2"/>
    <n v="0.94"/>
    <n v="734015.4"/>
    <n v="25.462306343970504"/>
    <n v="288275.3"/>
    <n v="9"/>
    <x v="0"/>
    <n v="1"/>
  </r>
  <r>
    <x v="401"/>
    <x v="126"/>
    <d v="2023-11-02T00:00:00"/>
    <n v="89440.320000000007"/>
    <n v="9.4172907699793562"/>
    <x v="0"/>
    <s v="B2C"/>
    <x v="1"/>
    <n v="0.85"/>
    <n v="931725.82"/>
    <n v="10.417290769979354"/>
    <n v="894403.20000000007"/>
    <n v="9"/>
    <x v="0"/>
    <n v="1"/>
  </r>
  <r>
    <x v="402"/>
    <x v="241"/>
    <d v="2024-01-14T00:00:00"/>
    <n v="31564.29"/>
    <n v="28.501161597488807"/>
    <x v="1"/>
    <s v="B2B"/>
    <x v="3"/>
    <n v="0.83"/>
    <n v="931183.22"/>
    <n v="29.501161597488807"/>
    <n v="315642.90000000002"/>
    <n v="9.0000000000000018"/>
    <x v="0"/>
    <n v="1.0000000000000004"/>
  </r>
  <r>
    <x v="403"/>
    <x v="66"/>
    <d v="2024-01-01T00:00:00"/>
    <n v="86492.2"/>
    <n v="0.41514148096591369"/>
    <x v="1"/>
    <s v="B2B"/>
    <x v="2"/>
    <n v="0.23"/>
    <n v="122398.7"/>
    <n v="1.4151414809659137"/>
    <n v="122398.7"/>
    <n v="0.41514148096591369"/>
    <x v="1"/>
    <n v="-0.8073386355861234"/>
  </r>
  <r>
    <x v="404"/>
    <x v="55"/>
    <d v="2024-06-23T00:00:00"/>
    <n v="13945.61"/>
    <n v="55.993985203945904"/>
    <x v="0"/>
    <s v="B2B"/>
    <x v="1"/>
    <n v="0.56999999999999995"/>
    <n v="794815.89"/>
    <n v="56.993985203945897"/>
    <n v="139456.1"/>
    <n v="9"/>
    <x v="0"/>
    <n v="1"/>
  </r>
  <r>
    <x v="405"/>
    <x v="110"/>
    <d v="2023-10-02T00:00:00"/>
    <n v="13105.34"/>
    <n v="37.287030325043069"/>
    <x v="3"/>
    <s v="B2B"/>
    <x v="2"/>
    <n v="0.6"/>
    <n v="501764.55"/>
    <n v="38.287030325043069"/>
    <n v="131053.4"/>
    <n v="9"/>
    <x v="0"/>
    <n v="1"/>
  </r>
  <r>
    <x v="406"/>
    <x v="242"/>
    <d v="2023-10-11T00:00:00"/>
    <n v="27771.85"/>
    <n v="23.253881898397122"/>
    <x v="3"/>
    <s v="B2B"/>
    <x v="3"/>
    <n v="0.57999999999999996"/>
    <n v="673575.17"/>
    <n v="24.253881898397122"/>
    <n v="277718.5"/>
    <n v="9"/>
    <x v="0"/>
    <n v="1"/>
  </r>
  <r>
    <x v="407"/>
    <x v="243"/>
    <d v="2023-09-29T00:00:00"/>
    <n v="30544.22"/>
    <n v="0.31767876213568391"/>
    <x v="1"/>
    <s v="B2B"/>
    <x v="0"/>
    <n v="0.47"/>
    <n v="40247.47"/>
    <n v="1.317678762135684"/>
    <n v="40247.47"/>
    <n v="0.31767876213568391"/>
    <x v="1"/>
    <n v="-0.82785710270827706"/>
  </r>
  <r>
    <x v="408"/>
    <x v="239"/>
    <d v="2023-11-22T00:00:00"/>
    <n v="35286.839999999997"/>
    <n v="4.5275349110319887"/>
    <x v="2"/>
    <s v="B2B"/>
    <x v="2"/>
    <n v="0.45"/>
    <n v="195049.24"/>
    <n v="5.5275349110319887"/>
    <n v="195049.24"/>
    <n v="4.5275349110319887"/>
    <x v="0"/>
    <n v="5.8428402322523887E-2"/>
  </r>
  <r>
    <x v="409"/>
    <x v="244"/>
    <d v="2024-05-07T00:00:00"/>
    <n v="23254.87"/>
    <n v="34.147760877614026"/>
    <x v="3"/>
    <s v="B2C"/>
    <x v="1"/>
    <n v="0.59"/>
    <n v="817356.61"/>
    <n v="35.147760877614026"/>
    <n v="232548.69999999998"/>
    <n v="9"/>
    <x v="0"/>
    <n v="1"/>
  </r>
  <r>
    <x v="410"/>
    <x v="141"/>
    <d v="2023-12-04T00:00:00"/>
    <n v="29101.58"/>
    <n v="26.439693652372139"/>
    <x v="0"/>
    <s v="B2C"/>
    <x v="3"/>
    <n v="0.56999999999999995"/>
    <n v="798538.44"/>
    <n v="27.439693652372135"/>
    <n v="291015.80000000005"/>
    <n v="9"/>
    <x v="0"/>
    <n v="1"/>
  </r>
  <r>
    <x v="411"/>
    <x v="42"/>
    <d v="2024-07-18T00:00:00"/>
    <n v="31358.99"/>
    <n v="11.079934015732013"/>
    <x v="3"/>
    <s v="B2C"/>
    <x v="3"/>
    <n v="0.86"/>
    <n v="378814.53"/>
    <n v="12.079934015732013"/>
    <n v="313589.90000000002"/>
    <n v="9"/>
    <x v="0"/>
    <n v="1"/>
  </r>
  <r>
    <x v="412"/>
    <x v="245"/>
    <d v="2023-08-23T00:00:00"/>
    <n v="51725.95"/>
    <n v="11.643937907375312"/>
    <x v="0"/>
    <s v="B2B"/>
    <x v="2"/>
    <n v="0.72"/>
    <n v="654019.69999999995"/>
    <n v="12.643937907375312"/>
    <n v="517259.5"/>
    <n v="9"/>
    <x v="0"/>
    <n v="1"/>
  </r>
  <r>
    <x v="413"/>
    <x v="168"/>
    <d v="2023-10-19T00:00:00"/>
    <n v="28468.75"/>
    <n v="4.3195837541163558"/>
    <x v="2"/>
    <s v="B2C"/>
    <x v="0"/>
    <n v="0.11"/>
    <n v="151441.9"/>
    <n v="5.3195837541163558"/>
    <n v="151441.9"/>
    <n v="4.3195837541163558"/>
    <x v="0"/>
    <n v="1.4649211392917083E-2"/>
  </r>
  <r>
    <x v="414"/>
    <x v="246"/>
    <d v="2024-03-22T00:00:00"/>
    <n v="8627.43"/>
    <n v="94.393463638650204"/>
    <x v="0"/>
    <s v="B2B"/>
    <x v="1"/>
    <n v="0.75"/>
    <n v="823000.43"/>
    <n v="95.393463638650218"/>
    <n v="86274.3"/>
    <n v="9"/>
    <x v="0"/>
    <n v="1"/>
  </r>
  <r>
    <x v="415"/>
    <x v="247"/>
    <d v="2024-02-27T00:00:00"/>
    <n v="92072.41"/>
    <n v="-0.9042935880574865"/>
    <x v="0"/>
    <s v="B2B"/>
    <x v="0"/>
    <n v="0.54"/>
    <n v="8811.92"/>
    <n v="9.5706411942513503E-2"/>
    <n v="46036.205000000002"/>
    <n v="-0.5"/>
    <x v="1"/>
    <n v="-1"/>
  </r>
  <r>
    <x v="416"/>
    <x v="248"/>
    <d v="2023-12-05T00:00:00"/>
    <n v="42804.51"/>
    <n v="14.198747281536455"/>
    <x v="1"/>
    <s v="B2C"/>
    <x v="0"/>
    <n v="0.79"/>
    <n v="650574.93000000005"/>
    <n v="15.198747281536455"/>
    <n v="428045.10000000003"/>
    <n v="9"/>
    <x v="0"/>
    <n v="1"/>
  </r>
  <r>
    <x v="417"/>
    <x v="249"/>
    <d v="2024-05-01T00:00:00"/>
    <n v="4270.96"/>
    <n v="6.238932230692865"/>
    <x v="0"/>
    <s v="B2B"/>
    <x v="1"/>
    <n v="0.8"/>
    <n v="30917.19"/>
    <n v="7.238932230692865"/>
    <n v="30917.19"/>
    <n v="6.238932230692865"/>
    <x v="0"/>
    <n v="0.41872257488270836"/>
  </r>
  <r>
    <x v="418"/>
    <x v="148"/>
    <d v="2024-02-21T00:00:00"/>
    <n v="68514.740000000005"/>
    <n v="0.79620064237272148"/>
    <x v="1"/>
    <s v="B2B"/>
    <x v="0"/>
    <n v="0.75"/>
    <n v="123066.22"/>
    <n v="1.7962006423727215"/>
    <n v="123066.22"/>
    <n v="0.79620064237272148"/>
    <x v="0"/>
    <n v="-0.72711565423732183"/>
  </r>
  <r>
    <x v="419"/>
    <x v="183"/>
    <d v="2024-07-16T00:00:00"/>
    <n v="76849"/>
    <n v="4.9034014756210231"/>
    <x v="2"/>
    <s v="B2C"/>
    <x v="1"/>
    <n v="0.45"/>
    <n v="453670.5"/>
    <n v="5.9034014756210231"/>
    <n v="453670.5"/>
    <n v="4.9034014756210231"/>
    <x v="0"/>
    <n v="0.13755820539389951"/>
  </r>
  <r>
    <x v="420"/>
    <x v="193"/>
    <d v="2024-05-23T00:00:00"/>
    <n v="74278.5"/>
    <n v="10.623926977523778"/>
    <x v="3"/>
    <s v="B2B"/>
    <x v="1"/>
    <n v="0.12"/>
    <n v="863407.86"/>
    <n v="11.623926977523778"/>
    <n v="742785"/>
    <n v="9"/>
    <x v="0"/>
    <n v="1"/>
  </r>
  <r>
    <x v="421"/>
    <x v="122"/>
    <d v="2024-04-18T00:00:00"/>
    <n v="21674.14"/>
    <n v="41.334563678189767"/>
    <x v="1"/>
    <s v="B2B"/>
    <x v="1"/>
    <n v="0.65"/>
    <n v="917565.26"/>
    <n v="42.334563678189774"/>
    <n v="216741.4"/>
    <n v="9"/>
    <x v="0"/>
    <n v="1"/>
  </r>
  <r>
    <x v="422"/>
    <x v="111"/>
    <d v="2024-05-23T00:00:00"/>
    <n v="72864.67"/>
    <n v="3.9460554751706147"/>
    <x v="3"/>
    <s v="B2C"/>
    <x v="3"/>
    <n v="0.7"/>
    <n v="360392.7"/>
    <n v="4.9460554751706143"/>
    <n v="360392.7"/>
    <n v="3.9460554751706147"/>
    <x v="0"/>
    <n v="-6.398832101671259E-2"/>
  </r>
  <r>
    <x v="423"/>
    <x v="248"/>
    <d v="2024-07-12T00:00:00"/>
    <n v="47218.62"/>
    <n v="18.73034175924667"/>
    <x v="1"/>
    <s v="B2B"/>
    <x v="3"/>
    <n v="0.96"/>
    <n v="931639.51"/>
    <n v="19.73034175924667"/>
    <n v="472186.2"/>
    <n v="9"/>
    <x v="0"/>
    <n v="1"/>
  </r>
  <r>
    <x v="424"/>
    <x v="70"/>
    <d v="2023-10-28T00:00:00"/>
    <n v="29709.16"/>
    <n v="26.326601290645712"/>
    <x v="3"/>
    <s v="B2C"/>
    <x v="3"/>
    <n v="0.12"/>
    <n v="811850.37"/>
    <n v="27.326601290645712"/>
    <n v="297091.59999999998"/>
    <n v="9"/>
    <x v="0"/>
    <n v="1"/>
  </r>
  <r>
    <x v="425"/>
    <x v="91"/>
    <d v="2023-08-07T00:00:00"/>
    <n v="55196.85"/>
    <n v="9.1644635518150039"/>
    <x v="1"/>
    <s v="B2B"/>
    <x v="1"/>
    <n v="0.4"/>
    <n v="561046.37"/>
    <n v="10.164463551815004"/>
    <n v="551968.5"/>
    <n v="9"/>
    <x v="0"/>
    <n v="1"/>
  </r>
  <r>
    <x v="426"/>
    <x v="250"/>
    <d v="2023-12-07T00:00:00"/>
    <n v="72566.45"/>
    <n v="8.8259038439940234"/>
    <x v="1"/>
    <s v="B2C"/>
    <x v="3"/>
    <n v="0.33"/>
    <n v="713030.96"/>
    <n v="9.8259038439940216"/>
    <n v="713030.96"/>
    <n v="8.8259038439940234"/>
    <x v="0"/>
    <n v="0.96334817768295222"/>
  </r>
  <r>
    <x v="427"/>
    <x v="92"/>
    <d v="2023-11-12T00:00:00"/>
    <n v="11006.3"/>
    <n v="-0.66916220709957019"/>
    <x v="1"/>
    <s v="B2C"/>
    <x v="1"/>
    <n v="0.98"/>
    <n v="3641.3"/>
    <n v="0.33083779290042981"/>
    <n v="5503.15"/>
    <n v="-0.5"/>
    <x v="1"/>
    <n v="-1"/>
  </r>
  <r>
    <x v="428"/>
    <x v="74"/>
    <d v="2024-06-09T00:00:00"/>
    <n v="9950.82"/>
    <n v="47.523171959697791"/>
    <x v="2"/>
    <s v="B2C"/>
    <x v="3"/>
    <n v="0.5"/>
    <n v="482845.35"/>
    <n v="48.523171959697791"/>
    <n v="99508.2"/>
    <n v="9"/>
    <x v="0"/>
    <n v="1"/>
  </r>
  <r>
    <x v="429"/>
    <x v="186"/>
    <d v="2024-04-04T00:00:00"/>
    <n v="38117.82"/>
    <n v="14.759245937989109"/>
    <x v="1"/>
    <s v="B2C"/>
    <x v="1"/>
    <n v="0.4"/>
    <n v="600708.1"/>
    <n v="15.759245937989109"/>
    <n v="381178.2"/>
    <n v="9"/>
    <x v="0"/>
    <n v="1"/>
  </r>
  <r>
    <x v="430"/>
    <x v="251"/>
    <d v="2024-06-14T00:00:00"/>
    <n v="74720.7"/>
    <n v="9.3634802671816519"/>
    <x v="0"/>
    <s v="B2B"/>
    <x v="2"/>
    <n v="0.49"/>
    <n v="774366.5"/>
    <n v="10.363480267181652"/>
    <n v="747207"/>
    <n v="9.0000000000000018"/>
    <x v="0"/>
    <n v="1.0000000000000004"/>
  </r>
  <r>
    <x v="431"/>
    <x v="18"/>
    <d v="2023-09-03T00:00:00"/>
    <n v="37221.22"/>
    <n v="17.305824473244027"/>
    <x v="0"/>
    <s v="B2C"/>
    <x v="0"/>
    <n v="0.1"/>
    <n v="681365.12"/>
    <n v="18.305824473244027"/>
    <n v="372212.2"/>
    <n v="9"/>
    <x v="0"/>
    <n v="1"/>
  </r>
  <r>
    <x v="432"/>
    <x v="61"/>
    <d v="2024-05-03T00:00:00"/>
    <n v="33682.83"/>
    <n v="4.6336094680880437"/>
    <x v="3"/>
    <s v="B2C"/>
    <x v="3"/>
    <n v="0.25"/>
    <n v="189755.91"/>
    <n v="5.6336094680880437"/>
    <n v="189755.91"/>
    <n v="4.6336094680880437"/>
    <x v="0"/>
    <n v="8.0759888018535619E-2"/>
  </r>
  <r>
    <x v="433"/>
    <x v="25"/>
    <d v="2023-12-03T00:00:00"/>
    <n v="1810.82"/>
    <n v="148.36956185595477"/>
    <x v="0"/>
    <s v="B2C"/>
    <x v="1"/>
    <n v="0.87"/>
    <n v="270481.39"/>
    <n v="149.36956185595477"/>
    <n v="18108.2"/>
    <n v="9"/>
    <x v="0"/>
    <n v="1"/>
  </r>
  <r>
    <x v="434"/>
    <x v="41"/>
    <d v="2024-03-06T00:00:00"/>
    <n v="29840.15"/>
    <n v="20.157657719548997"/>
    <x v="2"/>
    <s v="B2B"/>
    <x v="0"/>
    <n v="0.78"/>
    <n v="631347.68000000005"/>
    <n v="21.157657719548997"/>
    <n v="298401.5"/>
    <n v="8.9999999999999982"/>
    <x v="0"/>
    <n v="0.99999999999999956"/>
  </r>
  <r>
    <x v="435"/>
    <x v="153"/>
    <d v="2024-01-12T00:00:00"/>
    <n v="81342.100000000006"/>
    <n v="3.4507112553032186"/>
    <x v="0"/>
    <s v="B2C"/>
    <x v="1"/>
    <n v="0.91"/>
    <n v="362030.2"/>
    <n v="4.4507112553032195"/>
    <n v="362030.2"/>
    <n v="3.4507112553032186"/>
    <x v="0"/>
    <n v="-0.1682713146730066"/>
  </r>
  <r>
    <x v="436"/>
    <x v="169"/>
    <d v="2024-04-01T00:00:00"/>
    <n v="96731.22"/>
    <n v="6.7627797933283595"/>
    <x v="3"/>
    <s v="B2B"/>
    <x v="0"/>
    <n v="0.8"/>
    <n v="750903.16"/>
    <n v="7.7627797933283587"/>
    <n v="750903.16"/>
    <n v="6.7627797933283595"/>
    <x v="0"/>
    <n v="0.52900627227965469"/>
  </r>
  <r>
    <x v="437"/>
    <x v="47"/>
    <d v="2023-12-13T00:00:00"/>
    <n v="27329.38"/>
    <n v="30.966330374124841"/>
    <x v="0"/>
    <s v="B2B"/>
    <x v="0"/>
    <n v="0.6"/>
    <n v="873619.99"/>
    <n v="31.966330374124841"/>
    <n v="273293.8"/>
    <n v="8.9999999999999982"/>
    <x v="0"/>
    <n v="0.99999999999999956"/>
  </r>
  <r>
    <x v="438"/>
    <x v="252"/>
    <d v="2024-01-25T00:00:00"/>
    <n v="21718.66"/>
    <n v="37.60976782177169"/>
    <x v="3"/>
    <s v="B2C"/>
    <x v="0"/>
    <n v="0.65"/>
    <n v="838552.42"/>
    <n v="38.609767821771698"/>
    <n v="217186.6"/>
    <n v="9"/>
    <x v="0"/>
    <n v="1"/>
  </r>
  <r>
    <x v="439"/>
    <x v="72"/>
    <d v="2024-01-12T00:00:00"/>
    <n v="80659.67"/>
    <n v="5.6275062865989902"/>
    <x v="0"/>
    <s v="B2C"/>
    <x v="1"/>
    <n v="0.7"/>
    <n v="534572.47"/>
    <n v="6.6275062865989902"/>
    <n v="534572.47"/>
    <n v="5.6275062865989902"/>
    <x v="0"/>
    <n v="0.29000132349452423"/>
  </r>
  <r>
    <x v="440"/>
    <x v="37"/>
    <d v="2023-11-18T00:00:00"/>
    <n v="95913.4"/>
    <n v="5.7966513542424725"/>
    <x v="0"/>
    <s v="B2B"/>
    <x v="1"/>
    <n v="0.91"/>
    <n v="651889.93999999994"/>
    <n v="6.7966513542424725"/>
    <n v="651889.93999999994"/>
    <n v="5.7966513542424725"/>
    <x v="0"/>
    <n v="0.32561081141946779"/>
  </r>
  <r>
    <x v="441"/>
    <x v="164"/>
    <d v="2023-11-21T00:00:00"/>
    <n v="34910.160000000003"/>
    <n v="16.562000575190716"/>
    <x v="1"/>
    <s v="B2C"/>
    <x v="3"/>
    <n v="0.97"/>
    <n v="613092.25"/>
    <n v="17.562000575190716"/>
    <n v="349101.60000000003"/>
    <n v="9"/>
    <x v="0"/>
    <n v="1"/>
  </r>
  <r>
    <x v="442"/>
    <x v="204"/>
    <d v="2023-10-11T00:00:00"/>
    <n v="51394.97"/>
    <n v="15.375447052503388"/>
    <x v="0"/>
    <s v="B2B"/>
    <x v="2"/>
    <n v="0.41"/>
    <n v="841615.61"/>
    <n v="16.375447052503386"/>
    <n v="513949.7"/>
    <n v="9"/>
    <x v="0"/>
    <n v="1"/>
  </r>
  <r>
    <x v="443"/>
    <x v="166"/>
    <d v="2024-04-21T00:00:00"/>
    <n v="27577.78"/>
    <n v="23.14318302633497"/>
    <x v="1"/>
    <s v="B2B"/>
    <x v="2"/>
    <n v="0.4"/>
    <n v="665815.39"/>
    <n v="24.14318302633497"/>
    <n v="275777.8"/>
    <n v="9"/>
    <x v="0"/>
    <n v="1"/>
  </r>
  <r>
    <x v="444"/>
    <x v="84"/>
    <d v="2024-05-29T00:00:00"/>
    <n v="31618.12"/>
    <n v="13.404832418878794"/>
    <x v="2"/>
    <s v="B2C"/>
    <x v="2"/>
    <n v="0.87"/>
    <n v="455453.72"/>
    <n v="14.404832418878794"/>
    <n v="316181.2"/>
    <n v="9"/>
    <x v="0"/>
    <n v="1"/>
  </r>
  <r>
    <x v="445"/>
    <x v="196"/>
    <d v="2024-03-24T00:00:00"/>
    <n v="84055.7"/>
    <n v="2.6010913001735751"/>
    <x v="0"/>
    <s v="B2C"/>
    <x v="3"/>
    <n v="0.85"/>
    <n v="302692.25"/>
    <n v="3.6010913001735756"/>
    <n v="302692.25"/>
    <n v="2.6010913001735751"/>
    <x v="0"/>
    <n v="-0.34713867364766837"/>
  </r>
  <r>
    <x v="446"/>
    <x v="240"/>
    <d v="2024-05-09T00:00:00"/>
    <n v="28051.5"/>
    <n v="12.365083150633657"/>
    <x v="1"/>
    <s v="B2C"/>
    <x v="3"/>
    <n v="0.36"/>
    <n v="374910.63"/>
    <n v="13.365083150633657"/>
    <n v="280515"/>
    <n v="9"/>
    <x v="0"/>
    <n v="1"/>
  </r>
  <r>
    <x v="447"/>
    <x v="253"/>
    <d v="2024-07-10T00:00:00"/>
    <n v="16470.61"/>
    <n v="31.415978521742662"/>
    <x v="3"/>
    <s v="B2B"/>
    <x v="0"/>
    <n v="0.7"/>
    <n v="533910.93999999994"/>
    <n v="32.415978521742666"/>
    <n v="164706.1"/>
    <n v="9"/>
    <x v="0"/>
    <n v="1"/>
  </r>
  <r>
    <x v="448"/>
    <x v="103"/>
    <d v="2023-10-20T00:00:00"/>
    <n v="39241.75"/>
    <n v="5.4290670013442313"/>
    <x v="1"/>
    <s v="B2B"/>
    <x v="3"/>
    <n v="0.59"/>
    <n v="252287.84"/>
    <n v="6.4290670013442313"/>
    <n v="252287.84"/>
    <n v="5.4290670013442313"/>
    <x v="0"/>
    <n v="0.24822463186194343"/>
  </r>
  <r>
    <x v="449"/>
    <x v="216"/>
    <d v="2023-12-06T00:00:00"/>
    <n v="54166.71"/>
    <n v="12.576434677313799"/>
    <x v="2"/>
    <s v="B2B"/>
    <x v="2"/>
    <n v="0.15"/>
    <n v="735390.8"/>
    <n v="13.576434677313797"/>
    <n v="541667.1"/>
    <n v="9"/>
    <x v="0"/>
    <n v="1"/>
  </r>
  <r>
    <x v="450"/>
    <x v="254"/>
    <d v="2024-06-20T00:00:00"/>
    <n v="40958.699999999997"/>
    <n v="21.490512394192201"/>
    <x v="1"/>
    <s v="B2B"/>
    <x v="1"/>
    <n v="0.39"/>
    <n v="921182.15"/>
    <n v="22.490512394192201"/>
    <n v="409587"/>
    <n v="9"/>
    <x v="0"/>
    <n v="1"/>
  </r>
  <r>
    <x v="451"/>
    <x v="223"/>
    <d v="2024-02-21T00:00:00"/>
    <n v="21009.79"/>
    <n v="14.325912348481351"/>
    <x v="1"/>
    <s v="B2B"/>
    <x v="3"/>
    <n v="0.54"/>
    <n v="321994.2"/>
    <n v="15.325912348481351"/>
    <n v="210097.90000000002"/>
    <n v="9"/>
    <x v="0"/>
    <n v="1"/>
  </r>
  <r>
    <x v="452"/>
    <x v="10"/>
    <d v="2024-01-31T00:00:00"/>
    <n v="23099.8"/>
    <n v="16.179852206512614"/>
    <x v="3"/>
    <s v="B2C"/>
    <x v="2"/>
    <n v="0.98"/>
    <n v="396851.15"/>
    <n v="17.179852206512614"/>
    <n v="230998"/>
    <n v="9"/>
    <x v="0"/>
    <n v="1"/>
  </r>
  <r>
    <x v="453"/>
    <x v="246"/>
    <d v="2023-11-04T00:00:00"/>
    <n v="33618.699999999997"/>
    <n v="24.827993646393228"/>
    <x v="2"/>
    <s v="B2C"/>
    <x v="2"/>
    <n v="0.8"/>
    <n v="868303.57"/>
    <n v="25.827993646393228"/>
    <n v="336187"/>
    <n v="9"/>
    <x v="0"/>
    <n v="1"/>
  </r>
  <r>
    <x v="454"/>
    <x v="150"/>
    <d v="2023-11-26T00:00:00"/>
    <n v="55436.7"/>
    <n v="13.191062960096831"/>
    <x v="1"/>
    <s v="B2B"/>
    <x v="0"/>
    <n v="0.99"/>
    <n v="786705.7"/>
    <n v="14.191062960096831"/>
    <n v="554367"/>
    <n v="9"/>
    <x v="0"/>
    <n v="1"/>
  </r>
  <r>
    <x v="455"/>
    <x v="255"/>
    <d v="2024-06-28T00:00:00"/>
    <n v="73916.740000000005"/>
    <n v="2.1480739004452847"/>
    <x v="2"/>
    <s v="B2B"/>
    <x v="1"/>
    <n v="0.69"/>
    <n v="232695.36"/>
    <n v="3.1480739004452842"/>
    <n v="232695.36"/>
    <n v="2.1480739004452847"/>
    <x v="0"/>
    <n v="-0.44251075780099269"/>
  </r>
  <r>
    <x v="456"/>
    <x v="66"/>
    <d v="2023-11-18T00:00:00"/>
    <n v="66331.63"/>
    <n v="12.818959672783556"/>
    <x v="1"/>
    <s v="B2C"/>
    <x v="1"/>
    <n v="0.4"/>
    <n v="916634.12"/>
    <n v="13.818959672783556"/>
    <n v="663316.30000000005"/>
    <n v="9"/>
    <x v="0"/>
    <n v="1"/>
  </r>
  <r>
    <x v="457"/>
    <x v="109"/>
    <d v="2023-10-25T00:00:00"/>
    <n v="39767.24"/>
    <n v="9.2236463983922459"/>
    <x v="0"/>
    <s v="B2B"/>
    <x v="2"/>
    <n v="0.33"/>
    <n v="406566.2"/>
    <n v="10.223646398392246"/>
    <n v="397672.39999999997"/>
    <n v="9"/>
    <x v="0"/>
    <n v="1"/>
  </r>
  <r>
    <x v="458"/>
    <x v="72"/>
    <d v="2023-10-12T00:00:00"/>
    <n v="86716.38"/>
    <n v="-0.20014119593091875"/>
    <x v="0"/>
    <s v="B2B"/>
    <x v="2"/>
    <n v="0.95"/>
    <n v="69360.86"/>
    <n v="0.79985880406908128"/>
    <n v="69360.86"/>
    <n v="-0.20014119593091875"/>
    <x v="1"/>
    <n v="-0.93687183072229874"/>
  </r>
  <r>
    <x v="459"/>
    <x v="256"/>
    <d v="2024-06-14T00:00:00"/>
    <n v="69474.960000000006"/>
    <n v="0.24039193401478728"/>
    <x v="0"/>
    <s v="B2B"/>
    <x v="0"/>
    <n v="0.7"/>
    <n v="86176.18"/>
    <n v="1.2403919340147873"/>
    <n v="86176.18"/>
    <n v="0.24039193401478728"/>
    <x v="1"/>
    <n v="-0.84412801389162373"/>
  </r>
  <r>
    <x v="460"/>
    <x v="162"/>
    <d v="2024-04-07T00:00:00"/>
    <n v="7952.69"/>
    <n v="96.110096080697232"/>
    <x v="3"/>
    <s v="B2C"/>
    <x v="1"/>
    <n v="0.14000000000000001"/>
    <n v="772286.49"/>
    <n v="97.110096080697232"/>
    <n v="79526.899999999994"/>
    <n v="9"/>
    <x v="0"/>
    <n v="1"/>
  </r>
  <r>
    <x v="461"/>
    <x v="257"/>
    <d v="2023-11-15T00:00:00"/>
    <n v="92395.78"/>
    <n v="9.2785717053311316"/>
    <x v="3"/>
    <s v="B2C"/>
    <x v="0"/>
    <n v="0.31"/>
    <n v="949696.65"/>
    <n v="10.278571705331132"/>
    <n v="923957.8"/>
    <n v="9"/>
    <x v="0"/>
    <n v="1"/>
  </r>
  <r>
    <x v="462"/>
    <x v="236"/>
    <d v="2024-01-04T00:00:00"/>
    <n v="76016.600000000006"/>
    <n v="9.6440388020511314"/>
    <x v="3"/>
    <s v="B2B"/>
    <x v="1"/>
    <n v="0.38"/>
    <n v="809123.64"/>
    <n v="10.64403880205113"/>
    <n v="760166"/>
    <n v="9"/>
    <x v="0"/>
    <n v="1"/>
  </r>
  <r>
    <x v="463"/>
    <x v="69"/>
    <d v="2024-03-07T00:00:00"/>
    <n v="32965.35"/>
    <n v="24.435026778117027"/>
    <x v="0"/>
    <s v="B2C"/>
    <x v="3"/>
    <n v="0.77"/>
    <n v="838474.56"/>
    <n v="25.435026778117027"/>
    <n v="329653.5"/>
    <n v="9.0000000000000018"/>
    <x v="0"/>
    <n v="1.0000000000000004"/>
  </r>
  <r>
    <x v="464"/>
    <x v="227"/>
    <d v="2024-04-02T00:00:00"/>
    <n v="99120.34"/>
    <n v="1.2941620256750532"/>
    <x v="2"/>
    <s v="B2B"/>
    <x v="3"/>
    <n v="0.67"/>
    <n v="227398.12"/>
    <n v="2.2941620256750532"/>
    <n v="227398.12"/>
    <n v="1.2941620256750532"/>
    <x v="0"/>
    <n v="-0.62228167880525187"/>
  </r>
  <r>
    <x v="465"/>
    <x v="258"/>
    <d v="2023-10-25T00:00:00"/>
    <n v="65906.929999999993"/>
    <n v="7.2437074523119191"/>
    <x v="0"/>
    <s v="B2B"/>
    <x v="1"/>
    <n v="0.9"/>
    <n v="543317.44999999995"/>
    <n v="8.24370745231192"/>
    <n v="543317.44999999995"/>
    <n v="7.2437074523119191"/>
    <x v="0"/>
    <n v="0.63025420048671976"/>
  </r>
  <r>
    <x v="466"/>
    <x v="259"/>
    <d v="2024-03-03T00:00:00"/>
    <n v="16945.29"/>
    <n v="51.207419288781715"/>
    <x v="3"/>
    <s v="B2C"/>
    <x v="3"/>
    <n v="0.76"/>
    <n v="884669.86"/>
    <n v="52.207419288781715"/>
    <n v="169452.90000000002"/>
    <n v="9"/>
    <x v="0"/>
    <n v="1"/>
  </r>
  <r>
    <x v="467"/>
    <x v="189"/>
    <d v="2024-02-14T00:00:00"/>
    <n v="41041.24"/>
    <n v="8.6010710202713181"/>
    <x v="0"/>
    <s v="B2C"/>
    <x v="0"/>
    <n v="0.51"/>
    <n v="394039.86"/>
    <n v="9.6010710202713181"/>
    <n v="394039.86"/>
    <n v="8.6010710202713181"/>
    <x v="0"/>
    <n v="0.91601495163606694"/>
  </r>
  <r>
    <x v="468"/>
    <x v="260"/>
    <d v="2024-06-28T00:00:00"/>
    <n v="44445.2"/>
    <n v="5.7663905213611377"/>
    <x v="2"/>
    <s v="B2C"/>
    <x v="3"/>
    <n v="0.39"/>
    <n v="300733.58"/>
    <n v="6.7663905213611377"/>
    <n v="300733.58"/>
    <n v="5.7663905213611377"/>
    <x v="0"/>
    <n v="0.31924010976023953"/>
  </r>
  <r>
    <x v="469"/>
    <x v="143"/>
    <d v="2023-12-20T00:00:00"/>
    <n v="11742.47"/>
    <n v="56.248705766333664"/>
    <x v="0"/>
    <s v="B2B"/>
    <x v="0"/>
    <n v="0.2"/>
    <n v="672241.21"/>
    <n v="57.248705766333657"/>
    <n v="117424.7"/>
    <n v="9"/>
    <x v="0"/>
    <n v="1"/>
  </r>
  <r>
    <x v="470"/>
    <x v="231"/>
    <d v="2023-09-22T00:00:00"/>
    <n v="68103.5"/>
    <n v="1.8822380641229892"/>
    <x v="0"/>
    <s v="B2B"/>
    <x v="3"/>
    <n v="0.56000000000000005"/>
    <n v="196290.5"/>
    <n v="2.8822380641229892"/>
    <n v="196290.5"/>
    <n v="1.8822380641229892"/>
    <x v="0"/>
    <n v="-0.49847619702673907"/>
  </r>
  <r>
    <x v="471"/>
    <x v="205"/>
    <d v="2023-10-10T00:00:00"/>
    <n v="26563.78"/>
    <n v="31.514970008033497"/>
    <x v="3"/>
    <s v="B2B"/>
    <x v="2"/>
    <n v="0.32"/>
    <n v="863720.51"/>
    <n v="32.514970008033494"/>
    <n v="265637.8"/>
    <n v="9"/>
    <x v="0"/>
    <n v="1"/>
  </r>
  <r>
    <x v="472"/>
    <x v="9"/>
    <d v="2023-09-14T00:00:00"/>
    <n v="3104.48"/>
    <n v="112.56873614904912"/>
    <x v="2"/>
    <s v="B2C"/>
    <x v="3"/>
    <n v="0.56999999999999995"/>
    <n v="352571.87"/>
    <n v="113.56873614904912"/>
    <n v="31044.799999999999"/>
    <n v="9"/>
    <x v="0"/>
    <n v="1"/>
  </r>
  <r>
    <x v="473"/>
    <x v="261"/>
    <d v="2024-03-30T00:00:00"/>
    <n v="1480.67"/>
    <n v="524.42642857625265"/>
    <x v="3"/>
    <s v="B2C"/>
    <x v="1"/>
    <n v="0.89"/>
    <n v="777983.15"/>
    <n v="525.42642857625265"/>
    <n v="14806.7"/>
    <n v="9"/>
    <x v="0"/>
    <n v="1"/>
  </r>
  <r>
    <x v="474"/>
    <x v="150"/>
    <d v="2024-06-09T00:00:00"/>
    <n v="43263.23"/>
    <n v="5.5728652252732855"/>
    <x v="3"/>
    <s v="B2B"/>
    <x v="2"/>
    <n v="0.27"/>
    <n v="284363.38"/>
    <n v="6.5728652252732855"/>
    <n v="284363.38"/>
    <n v="5.5728652252732855"/>
    <x v="0"/>
    <n v="0.27849794216279689"/>
  </r>
  <r>
    <x v="475"/>
    <x v="253"/>
    <d v="2024-07-21T00:00:00"/>
    <n v="50643.73"/>
    <n v="11.446166583701478"/>
    <x v="0"/>
    <s v="B2B"/>
    <x v="0"/>
    <n v="0.6"/>
    <n v="630320.30000000005"/>
    <n v="12.446166583701476"/>
    <n v="506437.30000000005"/>
    <n v="9"/>
    <x v="0"/>
    <n v="1"/>
  </r>
  <r>
    <x v="476"/>
    <x v="144"/>
    <d v="2023-09-10T00:00:00"/>
    <n v="30878.98"/>
    <n v="20.592578511336839"/>
    <x v="1"/>
    <s v="B2B"/>
    <x v="1"/>
    <n v="0.7"/>
    <n v="666756.80000000005"/>
    <n v="21.592578511336839"/>
    <n v="308789.8"/>
    <n v="9"/>
    <x v="0"/>
    <n v="1"/>
  </r>
  <r>
    <x v="477"/>
    <x v="262"/>
    <d v="2023-08-07T00:00:00"/>
    <n v="30319.57"/>
    <n v="29.570789097602642"/>
    <x v="0"/>
    <s v="B2B"/>
    <x v="1"/>
    <n v="0.19"/>
    <n v="926893.18"/>
    <n v="30.570789097602638"/>
    <n v="303195.7"/>
    <n v="9"/>
    <x v="0"/>
    <n v="1"/>
  </r>
  <r>
    <x v="478"/>
    <x v="263"/>
    <d v="2023-12-03T00:00:00"/>
    <n v="89283.48"/>
    <n v="9.1619897656318958"/>
    <x v="0"/>
    <s v="B2B"/>
    <x v="3"/>
    <n v="0.67"/>
    <n v="907297.81"/>
    <n v="10.161989765631896"/>
    <n v="892834.79999999993"/>
    <n v="9"/>
    <x v="0"/>
    <n v="1"/>
  </r>
  <r>
    <x v="479"/>
    <x v="213"/>
    <d v="2024-01-28T00:00:00"/>
    <n v="64733"/>
    <n v="13.372907481500935"/>
    <x v="0"/>
    <s v="B2B"/>
    <x v="3"/>
    <n v="0.75"/>
    <n v="930401.42"/>
    <n v="14.372907481500935"/>
    <n v="647330"/>
    <n v="9"/>
    <x v="0"/>
    <n v="1"/>
  </r>
  <r>
    <x v="480"/>
    <x v="256"/>
    <d v="2024-06-17T00:00:00"/>
    <n v="1635.98"/>
    <n v="75.728761965305196"/>
    <x v="0"/>
    <s v="B2B"/>
    <x v="0"/>
    <n v="0.9"/>
    <n v="125526.72"/>
    <n v="76.728761965305196"/>
    <n v="16359.8"/>
    <n v="9"/>
    <x v="0"/>
    <n v="1"/>
  </r>
  <r>
    <x v="481"/>
    <x v="171"/>
    <d v="2024-02-15T00:00:00"/>
    <n v="11395.3"/>
    <n v="64.098401095188379"/>
    <x v="3"/>
    <s v="B2B"/>
    <x v="1"/>
    <n v="0.88"/>
    <n v="741815.81"/>
    <n v="65.098401095188379"/>
    <n v="113953"/>
    <n v="9"/>
    <x v="0"/>
    <n v="1"/>
  </r>
  <r>
    <x v="482"/>
    <x v="264"/>
    <d v="2023-09-21T00:00:00"/>
    <n v="24959.24"/>
    <n v="15.331044134356654"/>
    <x v="0"/>
    <s v="B2C"/>
    <x v="2"/>
    <n v="0.73"/>
    <n v="407610.45"/>
    <n v="16.331044134356656"/>
    <n v="249592.40000000002"/>
    <n v="9"/>
    <x v="0"/>
    <n v="1"/>
  </r>
  <r>
    <x v="483"/>
    <x v="161"/>
    <d v="2023-10-13T00:00:00"/>
    <n v="59973.81"/>
    <n v="4.24894433086709"/>
    <x v="3"/>
    <s v="B2B"/>
    <x v="2"/>
    <n v="0.7"/>
    <n v="314799.19"/>
    <n v="5.24894433086709"/>
    <n v="314799.19"/>
    <n v="4.24894433086709"/>
    <x v="0"/>
    <n v="-2.2224613324417497E-4"/>
  </r>
  <r>
    <x v="484"/>
    <x v="265"/>
    <d v="2024-06-10T00:00:00"/>
    <n v="11703.28"/>
    <n v="19.203413060270282"/>
    <x v="0"/>
    <s v="B2B"/>
    <x v="3"/>
    <n v="0.46"/>
    <n v="236446.2"/>
    <n v="20.203413060270282"/>
    <n v="117032.8"/>
    <n v="9"/>
    <x v="0"/>
    <n v="1"/>
  </r>
  <r>
    <x v="485"/>
    <x v="193"/>
    <d v="2024-03-10T00:00:00"/>
    <n v="8250.93"/>
    <n v="71.207585084348054"/>
    <x v="1"/>
    <s v="B2B"/>
    <x v="2"/>
    <n v="0.32"/>
    <n v="595779.73"/>
    <n v="72.207585084348068"/>
    <n v="82509.3"/>
    <n v="9"/>
    <x v="0"/>
    <n v="1"/>
  </r>
  <r>
    <x v="486"/>
    <x v="164"/>
    <d v="2023-09-29T00:00:00"/>
    <n v="6304.42"/>
    <n v="127.05045031898254"/>
    <x v="0"/>
    <s v="B2C"/>
    <x v="0"/>
    <n v="0.5"/>
    <n v="807283.82"/>
    <n v="128.05045031898254"/>
    <n v="63044.2"/>
    <n v="9"/>
    <x v="0"/>
    <n v="1"/>
  </r>
  <r>
    <x v="487"/>
    <x v="162"/>
    <d v="2024-06-28T00:00:00"/>
    <n v="72368.61"/>
    <n v="4.3656994379192859"/>
    <x v="1"/>
    <s v="B2B"/>
    <x v="3"/>
    <n v="0.33"/>
    <n v="388308.21"/>
    <n v="5.3656994379192859"/>
    <n v="388308.21"/>
    <n v="4.3656994379192859"/>
    <x v="0"/>
    <n v="2.4357776404060116E-2"/>
  </r>
  <r>
    <x v="488"/>
    <x v="266"/>
    <d v="2024-06-16T00:00:00"/>
    <n v="37696.449999999997"/>
    <n v="16.668183078247424"/>
    <x v="0"/>
    <s v="B2C"/>
    <x v="1"/>
    <n v="0.28000000000000003"/>
    <n v="666027.78"/>
    <n v="17.668183078247424"/>
    <n v="376964.5"/>
    <n v="9"/>
    <x v="0"/>
    <n v="1"/>
  </r>
  <r>
    <x v="489"/>
    <x v="267"/>
    <d v="2024-01-04T00:00:00"/>
    <n v="6333.7"/>
    <n v="17.912155612043513"/>
    <x v="2"/>
    <s v="B2C"/>
    <x v="0"/>
    <n v="0.61"/>
    <n v="119783.92"/>
    <n v="18.912155612043513"/>
    <n v="63337"/>
    <n v="9"/>
    <x v="0"/>
    <n v="1"/>
  </r>
  <r>
    <x v="490"/>
    <x v="0"/>
    <d v="2024-06-20T00:00:00"/>
    <n v="41704.959999999999"/>
    <n v="21.302827529387393"/>
    <x v="3"/>
    <s v="B2B"/>
    <x v="3"/>
    <n v="0.85"/>
    <n v="930138.53"/>
    <n v="22.302827529387393"/>
    <n v="417049.59999999998"/>
    <n v="9"/>
    <x v="0"/>
    <n v="1"/>
  </r>
  <r>
    <x v="491"/>
    <x v="73"/>
    <d v="2024-02-11T00:00:00"/>
    <n v="72322.94"/>
    <n v="9.7327384644484862"/>
    <x v="1"/>
    <s v="B2C"/>
    <x v="2"/>
    <n v="0.74"/>
    <n v="776223.2"/>
    <n v="10.732738464448484"/>
    <n v="723229.4"/>
    <n v="9"/>
    <x v="0"/>
    <n v="1"/>
  </r>
  <r>
    <x v="492"/>
    <x v="268"/>
    <d v="2024-04-11T00:00:00"/>
    <n v="1873.52"/>
    <n v="527.27471817754815"/>
    <x v="1"/>
    <s v="B2C"/>
    <x v="0"/>
    <n v="0.54"/>
    <n v="989733.25"/>
    <n v="528.27471817754815"/>
    <n v="18735.2"/>
    <n v="9"/>
    <x v="0"/>
    <n v="1"/>
  </r>
  <r>
    <x v="493"/>
    <x v="152"/>
    <d v="2024-05-14T00:00:00"/>
    <n v="38080.5"/>
    <n v="13.929398248447367"/>
    <x v="1"/>
    <s v="B2C"/>
    <x v="2"/>
    <n v="0.78"/>
    <n v="568518.94999999995"/>
    <n v="14.929398248447367"/>
    <n v="380805"/>
    <n v="9"/>
    <x v="0"/>
    <n v="1"/>
  </r>
  <r>
    <x v="494"/>
    <x v="4"/>
    <d v="2023-08-10T00:00:00"/>
    <n v="2412.9299999999998"/>
    <n v="269.11965535676541"/>
    <x v="3"/>
    <s v="B2C"/>
    <x v="2"/>
    <n v="0.8"/>
    <n v="651779.81999999995"/>
    <n v="270.11965535676541"/>
    <n v="24129.3"/>
    <n v="9"/>
    <x v="0"/>
    <n v="1"/>
  </r>
  <r>
    <x v="495"/>
    <x v="165"/>
    <d v="2023-12-04T00:00:00"/>
    <n v="46645.57"/>
    <n v="0.45265241693905772"/>
    <x v="2"/>
    <s v="B2C"/>
    <x v="3"/>
    <n v="0.8"/>
    <n v="67759.8"/>
    <n v="1.4526524169390578"/>
    <n v="67759.8"/>
    <n v="0.45265241693905772"/>
    <x v="1"/>
    <n v="-0.79944159643388257"/>
  </r>
  <r>
    <x v="496"/>
    <x v="48"/>
    <d v="2024-01-18T00:00:00"/>
    <n v="41799.29"/>
    <n v="21.104279043974191"/>
    <x v="3"/>
    <s v="B2B"/>
    <x v="3"/>
    <n v="0.54"/>
    <n v="923943.17"/>
    <n v="22.104279043974191"/>
    <n v="417992.9"/>
    <n v="9"/>
    <x v="0"/>
    <n v="1"/>
  </r>
  <r>
    <x v="497"/>
    <x v="114"/>
    <d v="2023-09-26T00:00:00"/>
    <n v="74447.600000000006"/>
    <n v="8.3222842643684949"/>
    <x v="0"/>
    <s v="B2C"/>
    <x v="3"/>
    <n v="0.18"/>
    <n v="694021.69"/>
    <n v="9.3222842643684931"/>
    <n v="694021.69"/>
    <n v="8.3222842643684949"/>
    <x v="0"/>
    <n v="0.85732300302494635"/>
  </r>
  <r>
    <x v="498"/>
    <x v="237"/>
    <d v="2023-10-23T00:00:00"/>
    <n v="98135.86"/>
    <n v="1.4528785909656265"/>
    <x v="3"/>
    <s v="B2C"/>
    <x v="1"/>
    <n v="0.76"/>
    <n v="240715.35"/>
    <n v="2.4528785909656268"/>
    <n v="240715.35"/>
    <n v="1.4528785909656265"/>
    <x v="0"/>
    <n v="-0.5888676650598681"/>
  </r>
  <r>
    <x v="499"/>
    <x v="108"/>
    <d v="2023-10-20T00:00:00"/>
    <n v="10464.290000000001"/>
    <n v="9.677876855477054"/>
    <x v="1"/>
    <s v="B2B"/>
    <x v="3"/>
    <n v="0.89"/>
    <n v="111736.4"/>
    <n v="10.677876855477054"/>
    <n v="104642.90000000001"/>
    <n v="9"/>
    <x v="0"/>
    <n v="1"/>
  </r>
  <r>
    <x v="500"/>
    <x v="104"/>
    <d v="2023-11-03T00:00:00"/>
    <n v="78944.710000000006"/>
    <n v="6.5611389287515269"/>
    <x v="0"/>
    <s v="B2C"/>
    <x v="3"/>
    <n v="0.24"/>
    <n v="596911.92000000004"/>
    <n v="7.5611389287515278"/>
    <n v="596911.92000000004"/>
    <n v="6.5611389287515269"/>
    <x v="0"/>
    <n v="0.48655556394768995"/>
  </r>
  <r>
    <x v="501"/>
    <x v="269"/>
    <d v="2023-09-29T00:00:00"/>
    <n v="30937.43"/>
    <n v="28.869368593318836"/>
    <x v="0"/>
    <s v="B2C"/>
    <x v="3"/>
    <n v="0.64"/>
    <n v="924081.5"/>
    <n v="29.869368593318836"/>
    <n v="309374.3"/>
    <n v="9"/>
    <x v="0"/>
    <n v="1"/>
  </r>
  <r>
    <x v="502"/>
    <x v="103"/>
    <d v="2024-03-08T00:00:00"/>
    <n v="94173.28"/>
    <n v="7.4313461313017877"/>
    <x v="2"/>
    <s v="B2C"/>
    <x v="3"/>
    <n v="0.16"/>
    <n v="794007.52"/>
    <n v="8.4313461313017886"/>
    <n v="794007.52"/>
    <n v="7.4313461313017877"/>
    <x v="0"/>
    <n v="0.66975708027406067"/>
  </r>
  <r>
    <x v="503"/>
    <x v="252"/>
    <d v="2024-07-04T00:00:00"/>
    <n v="61866.52"/>
    <n v="9.1563349611389171"/>
    <x v="1"/>
    <s v="B2C"/>
    <x v="0"/>
    <n v="0.18"/>
    <n v="628337.1"/>
    <n v="10.156334961138917"/>
    <n v="618665.19999999995"/>
    <n v="9"/>
    <x v="0"/>
    <n v="1"/>
  </r>
  <r>
    <x v="504"/>
    <x v="70"/>
    <d v="2024-06-24T00:00:00"/>
    <n v="58920.71"/>
    <n v="6.0676953824894504"/>
    <x v="3"/>
    <s v="B2B"/>
    <x v="0"/>
    <n v="0.99"/>
    <n v="416433.63"/>
    <n v="7.0676953824894504"/>
    <n v="416433.63"/>
    <n v="6.0676953824894504"/>
    <x v="0"/>
    <n v="0.38267271210304221"/>
  </r>
  <r>
    <x v="505"/>
    <x v="2"/>
    <d v="2024-02-08T00:00:00"/>
    <n v="70889.3"/>
    <n v="2.6723694549106849"/>
    <x v="2"/>
    <s v="B2C"/>
    <x v="3"/>
    <n v="0.1"/>
    <n v="260331.7"/>
    <n v="3.6723694549106849"/>
    <n v="260331.7"/>
    <n v="2.6723694549106849"/>
    <x v="0"/>
    <n v="-0.33213274633459267"/>
  </r>
  <r>
    <x v="506"/>
    <x v="219"/>
    <d v="2023-08-03T00:00:00"/>
    <n v="38390.230000000003"/>
    <n v="5.8101397152348389"/>
    <x v="1"/>
    <s v="B2B"/>
    <x v="2"/>
    <n v="0.56999999999999995"/>
    <n v="261442.83"/>
    <n v="6.8101397152348389"/>
    <n v="261442.83"/>
    <n v="5.8101397152348389"/>
    <x v="0"/>
    <n v="0.32845046636522923"/>
  </r>
  <r>
    <x v="507"/>
    <x v="270"/>
    <d v="2024-03-22T00:00:00"/>
    <n v="32272.85"/>
    <n v="16.192741267040255"/>
    <x v="0"/>
    <s v="B2B"/>
    <x v="0"/>
    <n v="0.4"/>
    <n v="554858.76"/>
    <n v="17.192741267040255"/>
    <n v="322728.5"/>
    <n v="9.0000000000000018"/>
    <x v="0"/>
    <n v="1.0000000000000004"/>
  </r>
  <r>
    <x v="508"/>
    <x v="246"/>
    <d v="2024-04-05T00:00:00"/>
    <n v="21179.55"/>
    <n v="11.548750091479754"/>
    <x v="3"/>
    <s v="B2C"/>
    <x v="2"/>
    <n v="0.76"/>
    <n v="265776.88"/>
    <n v="12.548750091479754"/>
    <n v="211795.5"/>
    <n v="9"/>
    <x v="0"/>
    <n v="1"/>
  </r>
  <r>
    <x v="509"/>
    <x v="16"/>
    <d v="2024-05-06T00:00:00"/>
    <n v="71463.45"/>
    <n v="1.0975132043023392"/>
    <x v="1"/>
    <s v="B2B"/>
    <x v="0"/>
    <n v="0.53"/>
    <n v="149895.53"/>
    <n v="2.0975132043023392"/>
    <n v="149895.53"/>
    <n v="1.0975132043023392"/>
    <x v="0"/>
    <n v="-0.66368143067319174"/>
  </r>
  <r>
    <x v="510"/>
    <x v="271"/>
    <d v="2024-05-09T00:00:00"/>
    <n v="63986.6"/>
    <n v="7.6141957847424306"/>
    <x v="3"/>
    <s v="B2C"/>
    <x v="2"/>
    <n v="0.94"/>
    <n v="551193.1"/>
    <n v="8.6141957847424298"/>
    <n v="551193.1"/>
    <n v="7.6141957847424306"/>
    <x v="0"/>
    <n v="0.70825174415630143"/>
  </r>
  <r>
    <x v="511"/>
    <x v="216"/>
    <d v="2024-07-22T00:00:00"/>
    <n v="23859.94"/>
    <n v="14.729968725822445"/>
    <x v="3"/>
    <s v="B2C"/>
    <x v="0"/>
    <n v="0.48"/>
    <n v="375316.11"/>
    <n v="15.729968725822445"/>
    <n v="238599.4"/>
    <n v="9"/>
    <x v="0"/>
    <n v="1"/>
  </r>
  <r>
    <x v="512"/>
    <x v="82"/>
    <d v="2023-12-19T00:00:00"/>
    <n v="29099.8"/>
    <n v="2.0656011381521524"/>
    <x v="1"/>
    <s v="B2B"/>
    <x v="0"/>
    <n v="0.89"/>
    <n v="89208.38"/>
    <n v="3.0656011381521524"/>
    <n v="89208.38"/>
    <n v="2.0656011381521524"/>
    <x v="0"/>
    <n v="-0.45987344459954682"/>
  </r>
  <r>
    <x v="513"/>
    <x v="247"/>
    <d v="2024-01-19T00:00:00"/>
    <n v="92494.15"/>
    <n v="7.3525661893211627"/>
    <x v="1"/>
    <s v="B2C"/>
    <x v="0"/>
    <n v="0.23"/>
    <n v="772563.51"/>
    <n v="8.3525661893211627"/>
    <n v="772563.51"/>
    <n v="7.3525661893211627"/>
    <x v="0"/>
    <n v="0.65317182933077111"/>
  </r>
  <r>
    <x v="514"/>
    <x v="57"/>
    <d v="2024-03-12T00:00:00"/>
    <n v="72412.240000000005"/>
    <n v="2.0604439249497042"/>
    <x v="2"/>
    <s v="B2C"/>
    <x v="0"/>
    <n v="0.12"/>
    <n v="221613.6"/>
    <n v="3.0604439249497046"/>
    <n v="221613.6"/>
    <n v="2.0604439249497042"/>
    <x v="0"/>
    <n v="-0.46095917369479911"/>
  </r>
  <r>
    <x v="515"/>
    <x v="272"/>
    <d v="2023-11-12T00:00:00"/>
    <n v="84482.9"/>
    <n v="2.1784975421061543"/>
    <x v="2"/>
    <s v="B2B"/>
    <x v="1"/>
    <n v="0.7"/>
    <n v="268528.69"/>
    <n v="3.1784975421061543"/>
    <n v="268528.69"/>
    <n v="2.1784975421061543"/>
    <x v="0"/>
    <n v="-0.43610578060923066"/>
  </r>
  <r>
    <x v="516"/>
    <x v="273"/>
    <d v="2023-12-21T00:00:00"/>
    <n v="46349.760000000002"/>
    <n v="7.6380382552142656"/>
    <x v="0"/>
    <s v="B2C"/>
    <x v="3"/>
    <n v="0.98"/>
    <n v="400371"/>
    <n v="8.6380382552142656"/>
    <n v="400371"/>
    <n v="7.6380382552142656"/>
    <x v="0"/>
    <n v="0.71327121162405582"/>
  </r>
  <r>
    <x v="517"/>
    <x v="37"/>
    <d v="2024-05-15T00:00:00"/>
    <n v="5574.74"/>
    <n v="152.19645041741859"/>
    <x v="2"/>
    <s v="B2B"/>
    <x v="2"/>
    <n v="0.2"/>
    <n v="854030.38"/>
    <n v="153.19645041741859"/>
    <n v="55747.399999999994"/>
    <n v="9"/>
    <x v="0"/>
    <n v="1"/>
  </r>
  <r>
    <x v="518"/>
    <x v="274"/>
    <d v="2023-09-04T00:00:00"/>
    <n v="71885.41"/>
    <n v="0.55645561456768478"/>
    <x v="0"/>
    <s v="B2B"/>
    <x v="1"/>
    <n v="0.4"/>
    <n v="111886.45"/>
    <n v="1.5564556145676847"/>
    <n v="111886.45"/>
    <n v="0.55645561456768478"/>
    <x v="0"/>
    <n v="-0.77758829166996102"/>
  </r>
  <r>
    <x v="519"/>
    <x v="150"/>
    <d v="2024-01-22T00:00:00"/>
    <n v="37473.839999999997"/>
    <n v="17.182215646968661"/>
    <x v="0"/>
    <s v="B2B"/>
    <x v="2"/>
    <n v="0.4"/>
    <n v="681357.44"/>
    <n v="18.182215646968658"/>
    <n v="374738.39999999997"/>
    <n v="9"/>
    <x v="0"/>
    <n v="1"/>
  </r>
  <r>
    <x v="520"/>
    <x v="169"/>
    <d v="2024-05-31T00:00:00"/>
    <n v="72744.5"/>
    <n v="5.6265174686746082"/>
    <x v="1"/>
    <s v="B2B"/>
    <x v="0"/>
    <n v="0.74"/>
    <n v="482042.7"/>
    <n v="6.6265174686746082"/>
    <n v="482042.7"/>
    <n v="5.6265174686746082"/>
    <x v="0"/>
    <n v="0.28979315129991745"/>
  </r>
  <r>
    <x v="521"/>
    <x v="104"/>
    <d v="2024-02-21T00:00:00"/>
    <n v="35636.25"/>
    <n v="6.5532916622820858"/>
    <x v="1"/>
    <s v="B2C"/>
    <x v="2"/>
    <n v="0.23"/>
    <n v="269170.99"/>
    <n v="7.5532916622820858"/>
    <n v="269170.99"/>
    <n v="6.5532916622820858"/>
    <x v="0"/>
    <n v="0.48490350784886016"/>
  </r>
  <r>
    <x v="522"/>
    <x v="50"/>
    <d v="2023-10-30T00:00:00"/>
    <n v="84406.19"/>
    <n v="7.7182396219992864"/>
    <x v="0"/>
    <s v="B2C"/>
    <x v="2"/>
    <n v="0.2"/>
    <n v="735873.39"/>
    <n v="8.7182396219992864"/>
    <n v="735873.39"/>
    <n v="7.7182396219992864"/>
    <x v="0"/>
    <n v="0.73015570989458656"/>
  </r>
  <r>
    <x v="523"/>
    <x v="275"/>
    <d v="2023-09-17T00:00:00"/>
    <n v="88977.21"/>
    <n v="3.454142808029157"/>
    <x v="1"/>
    <s v="B2B"/>
    <x v="1"/>
    <n v="0.13"/>
    <n v="396317.2"/>
    <n v="4.4541428080291565"/>
    <n v="396317.2"/>
    <n v="3.454142808029157"/>
    <x v="0"/>
    <n v="-0.16754888252017752"/>
  </r>
  <r>
    <x v="524"/>
    <x v="276"/>
    <d v="2024-06-05T00:00:00"/>
    <n v="41408.949999999997"/>
    <n v="2.8210072943168085"/>
    <x v="0"/>
    <s v="B2C"/>
    <x v="1"/>
    <n v="0.18"/>
    <n v="158223.9"/>
    <n v="3.8210072943168085"/>
    <n v="158223.9"/>
    <n v="2.8210072943168085"/>
    <x v="0"/>
    <n v="-0.30084056961751404"/>
  </r>
  <r>
    <x v="525"/>
    <x v="24"/>
    <d v="2024-01-09T00:00:00"/>
    <n v="9611.89"/>
    <n v="59.594458530008147"/>
    <x v="0"/>
    <s v="B2C"/>
    <x v="0"/>
    <n v="0.3"/>
    <n v="582427.27"/>
    <n v="60.594458530008154"/>
    <n v="96118.9"/>
    <n v="9"/>
    <x v="0"/>
    <n v="1"/>
  </r>
  <r>
    <x v="526"/>
    <x v="277"/>
    <d v="2023-08-02T00:00:00"/>
    <n v="67475.350000000006"/>
    <n v="-0.20628866689835632"/>
    <x v="0"/>
    <s v="B2B"/>
    <x v="1"/>
    <n v="0.22"/>
    <n v="53555.95"/>
    <n v="0.79371133310164366"/>
    <n v="53555.95"/>
    <n v="-0.20628866689835632"/>
    <x v="1"/>
    <n v="-0.9381660351364961"/>
  </r>
  <r>
    <x v="527"/>
    <x v="187"/>
    <d v="2024-07-13T00:00:00"/>
    <n v="81254.509999999995"/>
    <n v="7.4381017127541593"/>
    <x v="3"/>
    <s v="B2B"/>
    <x v="2"/>
    <n v="0.94"/>
    <n v="685633.82"/>
    <n v="8.4381017127541593"/>
    <n v="685633.82"/>
    <n v="7.4381017127541593"/>
    <x v="0"/>
    <n v="0.67117930794824399"/>
  </r>
  <r>
    <x v="528"/>
    <x v="44"/>
    <d v="2024-06-17T00:00:00"/>
    <n v="83804.53"/>
    <n v="9.7697557637994024"/>
    <x v="1"/>
    <s v="B2C"/>
    <x v="2"/>
    <n v="0.36"/>
    <n v="902554.32"/>
    <n v="10.769755763799402"/>
    <n v="838045.3"/>
    <n v="9"/>
    <x v="0"/>
    <n v="1"/>
  </r>
  <r>
    <x v="529"/>
    <x v="80"/>
    <d v="2023-08-14T00:00:00"/>
    <n v="41307.730000000003"/>
    <n v="16.662907886732096"/>
    <x v="1"/>
    <s v="B2C"/>
    <x v="3"/>
    <n v="0.53"/>
    <n v="729614.63"/>
    <n v="17.662907886732096"/>
    <n v="413077.30000000005"/>
    <n v="9"/>
    <x v="0"/>
    <n v="1"/>
  </r>
  <r>
    <x v="530"/>
    <x v="169"/>
    <d v="2023-09-20T00:00:00"/>
    <n v="78803.16"/>
    <n v="6.1345460004395758"/>
    <x v="0"/>
    <s v="B2B"/>
    <x v="0"/>
    <n v="0.75"/>
    <n v="562224.77"/>
    <n v="7.1345460004395758"/>
    <n v="562224.77"/>
    <n v="6.1345460004395758"/>
    <x v="0"/>
    <n v="0.39674652640833163"/>
  </r>
  <r>
    <x v="531"/>
    <x v="16"/>
    <d v="2023-08-24T00:00:00"/>
    <n v="64551.199999999997"/>
    <n v="3.3448914969822408"/>
    <x v="0"/>
    <s v="B2C"/>
    <x v="1"/>
    <n v="0.12"/>
    <n v="280467.96000000002"/>
    <n v="4.3448914969822408"/>
    <n v="280467.96000000002"/>
    <n v="3.3448914969822408"/>
    <x v="0"/>
    <n v="-0.19054915853005461"/>
  </r>
  <r>
    <x v="532"/>
    <x v="5"/>
    <d v="2024-05-17T00:00:00"/>
    <n v="14126.24"/>
    <n v="36.5678793507685"/>
    <x v="2"/>
    <s v="B2B"/>
    <x v="3"/>
    <n v="0.82"/>
    <n v="530692.88"/>
    <n v="37.5678793507685"/>
    <n v="141262.39999999999"/>
    <n v="9"/>
    <x v="0"/>
    <n v="1"/>
  </r>
  <r>
    <x v="533"/>
    <x v="228"/>
    <d v="2024-06-09T00:00:00"/>
    <n v="35614.300000000003"/>
    <n v="17.325524297824185"/>
    <x v="3"/>
    <s v="B2C"/>
    <x v="0"/>
    <n v="0.19"/>
    <n v="652650.72"/>
    <n v="18.325524297824185"/>
    <n v="356143"/>
    <n v="9"/>
    <x v="0"/>
    <n v="1"/>
  </r>
  <r>
    <x v="534"/>
    <x v="116"/>
    <d v="2023-09-05T00:00:00"/>
    <n v="42616.800000000003"/>
    <n v="11.033497353156502"/>
    <x v="0"/>
    <s v="B2B"/>
    <x v="0"/>
    <n v="0.48"/>
    <n v="512829.15"/>
    <n v="12.033497353156502"/>
    <n v="426168"/>
    <n v="9"/>
    <x v="0"/>
    <n v="1"/>
  </r>
  <r>
    <x v="535"/>
    <x v="111"/>
    <d v="2024-04-09T00:00:00"/>
    <n v="59207.21"/>
    <n v="14.443601041156983"/>
    <x v="3"/>
    <s v="B2B"/>
    <x v="2"/>
    <n v="0.48"/>
    <n v="914372.53"/>
    <n v="15.443601041156981"/>
    <n v="592072.1"/>
    <n v="9"/>
    <x v="0"/>
    <n v="1"/>
  </r>
  <r>
    <x v="536"/>
    <x v="278"/>
    <d v="2023-12-27T00:00:00"/>
    <n v="76911.16"/>
    <n v="6.3481563663842797"/>
    <x v="2"/>
    <s v="B2B"/>
    <x v="0"/>
    <n v="0.51"/>
    <n v="565155.23"/>
    <n v="7.3481563663842797"/>
    <n v="565155.23"/>
    <n v="6.3481563663842797"/>
    <x v="0"/>
    <n v="0.44171712976511146"/>
  </r>
  <r>
    <x v="537"/>
    <x v="214"/>
    <d v="2024-05-21T00:00:00"/>
    <n v="10395.39"/>
    <n v="91.6904021878929"/>
    <x v="3"/>
    <s v="B2C"/>
    <x v="0"/>
    <n v="0.95"/>
    <n v="963552.88"/>
    <n v="92.690402187892914"/>
    <n v="103953.9"/>
    <n v="9"/>
    <x v="0"/>
    <n v="1"/>
  </r>
  <r>
    <x v="538"/>
    <x v="105"/>
    <d v="2023-11-23T00:00:00"/>
    <n v="78873.149999999994"/>
    <n v="2.6450323082062783"/>
    <x v="2"/>
    <s v="B2C"/>
    <x v="1"/>
    <n v="0.6"/>
    <n v="287495.18"/>
    <n v="3.6450323082062783"/>
    <n v="287495.18"/>
    <n v="2.6450323082062783"/>
    <x v="0"/>
    <n v="-0.33788793511446769"/>
  </r>
  <r>
    <x v="539"/>
    <x v="142"/>
    <d v="2024-01-22T00:00:00"/>
    <n v="18458.169999999998"/>
    <n v="27.173004149382091"/>
    <x v="0"/>
    <s v="B2B"/>
    <x v="1"/>
    <n v="0.88"/>
    <n v="520022.1"/>
    <n v="28.173004149382091"/>
    <n v="184581.69999999998"/>
    <n v="9"/>
    <x v="0"/>
    <n v="1"/>
  </r>
  <r>
    <x v="540"/>
    <x v="17"/>
    <d v="2023-11-02T00:00:00"/>
    <n v="37360.800000000003"/>
    <n v="25.214707393845952"/>
    <x v="0"/>
    <s v="B2B"/>
    <x v="0"/>
    <n v="0.82"/>
    <n v="979402.44"/>
    <n v="26.214707393845952"/>
    <n v="373608"/>
    <n v="9"/>
    <x v="0"/>
    <n v="1"/>
  </r>
  <r>
    <x v="541"/>
    <x v="279"/>
    <d v="2024-06-19T00:00:00"/>
    <n v="94502.9"/>
    <n v="7.715402596110807"/>
    <x v="1"/>
    <s v="B2C"/>
    <x v="3"/>
    <n v="0.2"/>
    <n v="823630.82"/>
    <n v="8.7154025961108079"/>
    <n v="823630.82"/>
    <n v="7.715402596110807"/>
    <x v="0"/>
    <n v="0.7295584412864855"/>
  </r>
  <r>
    <x v="542"/>
    <x v="280"/>
    <d v="2024-07-01T00:00:00"/>
    <n v="90021.62"/>
    <n v="4.0502920298479408"/>
    <x v="3"/>
    <s v="B2B"/>
    <x v="3"/>
    <n v="0.43"/>
    <n v="454635.47"/>
    <n v="5.0502920298479408"/>
    <n v="454635.47"/>
    <n v="4.0502920298479408"/>
    <x v="0"/>
    <n v="-4.2043783189907202E-2"/>
  </r>
  <r>
    <x v="543"/>
    <x v="281"/>
    <d v="2023-12-14T00:00:00"/>
    <n v="5777.28"/>
    <n v="71.967143707765587"/>
    <x v="0"/>
    <s v="B2C"/>
    <x v="1"/>
    <n v="0.27"/>
    <n v="421551.62"/>
    <n v="72.967143707765601"/>
    <n v="57772.799999999996"/>
    <n v="9"/>
    <x v="0"/>
    <n v="1"/>
  </r>
  <r>
    <x v="544"/>
    <x v="135"/>
    <d v="2024-07-06T00:00:00"/>
    <n v="62734.3"/>
    <n v="13.434522741147983"/>
    <x v="2"/>
    <s v="B2B"/>
    <x v="1"/>
    <n v="0.59"/>
    <n v="905539.68"/>
    <n v="14.434522741147985"/>
    <n v="627343"/>
    <n v="8.9999999999999982"/>
    <x v="0"/>
    <n v="0.99999999999999956"/>
  </r>
  <r>
    <x v="545"/>
    <x v="198"/>
    <d v="2023-12-29T00:00:00"/>
    <n v="61172.36"/>
    <n v="3.5393906659805179"/>
    <x v="1"/>
    <s v="B2C"/>
    <x v="3"/>
    <n v="0.13"/>
    <n v="277685.24"/>
    <n v="4.5393906659805179"/>
    <n v="277685.24"/>
    <n v="3.5393906659805179"/>
    <x v="0"/>
    <n v="-0.14960196505673307"/>
  </r>
  <r>
    <x v="546"/>
    <x v="282"/>
    <d v="2023-08-11T00:00:00"/>
    <n v="27219.52"/>
    <n v="30.864911651638234"/>
    <x v="1"/>
    <s v="B2B"/>
    <x v="0"/>
    <n v="0.6"/>
    <n v="867347.6"/>
    <n v="31.864911651638234"/>
    <n v="272195.20000000001"/>
    <n v="9"/>
    <x v="0"/>
    <n v="1"/>
  </r>
  <r>
    <x v="547"/>
    <x v="246"/>
    <d v="2024-04-16T00:00:00"/>
    <n v="66351.490000000005"/>
    <n v="2.7857428672664319"/>
    <x v="3"/>
    <s v="B2C"/>
    <x v="3"/>
    <n v="0.5"/>
    <n v="251189.68"/>
    <n v="3.7857428672664319"/>
    <n v="251189.68"/>
    <n v="2.7857428672664319"/>
    <x v="0"/>
    <n v="-0.30826465952285642"/>
  </r>
  <r>
    <x v="548"/>
    <x v="213"/>
    <d v="2023-12-15T00:00:00"/>
    <n v="20786.400000000001"/>
    <n v="11.20264884732325"/>
    <x v="1"/>
    <s v="B2C"/>
    <x v="2"/>
    <n v="0.53"/>
    <n v="253649.14"/>
    <n v="12.20264884732325"/>
    <n v="207864"/>
    <n v="9"/>
    <x v="0"/>
    <n v="1"/>
  </r>
  <r>
    <x v="549"/>
    <x v="73"/>
    <d v="2023-10-26T00:00:00"/>
    <n v="32177.54"/>
    <n v="13.440538338232196"/>
    <x v="2"/>
    <s v="B2B"/>
    <x v="0"/>
    <n v="0.5"/>
    <n v="464661"/>
    <n v="14.440538338232194"/>
    <n v="321775.40000000002"/>
    <n v="9.0000000000000018"/>
    <x v="0"/>
    <n v="1.0000000000000004"/>
  </r>
  <r>
    <x v="550"/>
    <x v="249"/>
    <d v="2023-10-27T00:00:00"/>
    <n v="90484.19"/>
    <n v="9.8584590302460562"/>
    <x v="1"/>
    <s v="B2C"/>
    <x v="1"/>
    <n v="0.54"/>
    <n v="982518.87"/>
    <n v="10.858459030246056"/>
    <n v="904841.9"/>
    <n v="9"/>
    <x v="0"/>
    <n v="1"/>
  </r>
  <r>
    <x v="551"/>
    <x v="237"/>
    <d v="2024-01-29T00:00:00"/>
    <n v="71007.37"/>
    <n v="9.9475924823014861"/>
    <x v="0"/>
    <s v="B2C"/>
    <x v="2"/>
    <n v="0.92"/>
    <n v="777359.75"/>
    <n v="10.947592482301486"/>
    <n v="710073.7"/>
    <n v="9"/>
    <x v="0"/>
    <n v="1"/>
  </r>
  <r>
    <x v="552"/>
    <x v="65"/>
    <d v="2024-04-06T00:00:00"/>
    <n v="65209.95"/>
    <n v="0.83795571074659625"/>
    <x v="0"/>
    <s v="B2B"/>
    <x v="0"/>
    <n v="0.48"/>
    <n v="119853"/>
    <n v="1.8379557107465962"/>
    <n v="119853"/>
    <n v="0.83795571074659625"/>
    <x v="0"/>
    <n v="-0.71832511352703232"/>
  </r>
  <r>
    <x v="553"/>
    <x v="37"/>
    <d v="2024-02-13T00:00:00"/>
    <n v="54554.48"/>
    <n v="3.0827299609491279"/>
    <x v="1"/>
    <s v="B2B"/>
    <x v="1"/>
    <n v="0.89"/>
    <n v="222731.21"/>
    <n v="4.0827299609491279"/>
    <n v="222731.21"/>
    <n v="3.0827299609491279"/>
    <x v="0"/>
    <n v="-0.24574106085281522"/>
  </r>
  <r>
    <x v="554"/>
    <x v="270"/>
    <d v="2023-08-20T00:00:00"/>
    <n v="18530.72"/>
    <n v="16.038393543262213"/>
    <x v="3"/>
    <s v="B2C"/>
    <x v="1"/>
    <n v="0.79"/>
    <n v="315733.7"/>
    <n v="17.038393543262217"/>
    <n v="185307.2"/>
    <n v="9"/>
    <x v="0"/>
    <n v="1"/>
  </r>
  <r>
    <x v="555"/>
    <x v="114"/>
    <d v="2023-08-31T00:00:00"/>
    <n v="56508.18"/>
    <n v="13.858386874254311"/>
    <x v="2"/>
    <s v="B2B"/>
    <x v="2"/>
    <n v="0.71"/>
    <n v="839620.4"/>
    <n v="14.858386874254311"/>
    <n v="565081.80000000005"/>
    <n v="9.0000000000000018"/>
    <x v="0"/>
    <n v="1.0000000000000004"/>
  </r>
  <r>
    <x v="556"/>
    <x v="283"/>
    <d v="2024-05-20T00:00:00"/>
    <n v="23692.97"/>
    <n v="28.076182935275739"/>
    <x v="2"/>
    <s v="B2B"/>
    <x v="0"/>
    <n v="0.77"/>
    <n v="688901.13"/>
    <n v="29.076182935275735"/>
    <n v="236929.7"/>
    <n v="9"/>
    <x v="0"/>
    <n v="1"/>
  </r>
  <r>
    <x v="557"/>
    <x v="9"/>
    <d v="2024-04-21T00:00:00"/>
    <n v="74431.67"/>
    <n v="-0.71813973809804343"/>
    <x v="0"/>
    <s v="B2B"/>
    <x v="1"/>
    <n v="0.52"/>
    <n v="20979.33"/>
    <n v="0.28186026190195657"/>
    <n v="37215.834999999999"/>
    <n v="-0.5"/>
    <x v="1"/>
    <n v="-1"/>
  </r>
  <r>
    <x v="558"/>
    <x v="284"/>
    <d v="2023-12-05T00:00:00"/>
    <n v="6793.37"/>
    <n v="57.400206377688839"/>
    <x v="0"/>
    <s v="B2C"/>
    <x v="2"/>
    <n v="0.72"/>
    <n v="396734.21"/>
    <n v="58.400206377688839"/>
    <n v="67933.7"/>
    <n v="9"/>
    <x v="0"/>
    <n v="1"/>
  </r>
  <r>
    <x v="559"/>
    <x v="95"/>
    <d v="2024-02-12T00:00:00"/>
    <n v="69644.399999999994"/>
    <n v="5.1246576896347733"/>
    <x v="1"/>
    <s v="B2B"/>
    <x v="3"/>
    <n v="0.2"/>
    <n v="426548.11"/>
    <n v="6.1246576896347733"/>
    <n v="426548.11"/>
    <n v="5.1246576896347733"/>
    <x v="0"/>
    <n v="0.18413846097574171"/>
  </r>
  <r>
    <x v="560"/>
    <x v="285"/>
    <d v="2024-06-16T00:00:00"/>
    <n v="66054.48"/>
    <n v="12.106674974960065"/>
    <x v="0"/>
    <s v="B2B"/>
    <x v="2"/>
    <n v="0.31"/>
    <n v="865754.6"/>
    <n v="13.106674974960063"/>
    <n v="660544.79999999993"/>
    <n v="9"/>
    <x v="0"/>
    <n v="1"/>
  </r>
  <r>
    <x v="561"/>
    <x v="259"/>
    <d v="2023-12-25T00:00:00"/>
    <n v="68408.100000000006"/>
    <n v="1.238368117225884"/>
    <x v="2"/>
    <s v="B2B"/>
    <x v="3"/>
    <n v="0.11"/>
    <n v="153122.51"/>
    <n v="2.238368117225884"/>
    <n v="153122.51"/>
    <n v="1.238368117225884"/>
    <x v="0"/>
    <n v="-0.6340277647945507"/>
  </r>
  <r>
    <x v="562"/>
    <x v="23"/>
    <d v="2024-04-23T00:00:00"/>
    <n v="44314.41"/>
    <n v="9.4161413860638099"/>
    <x v="1"/>
    <s v="B2B"/>
    <x v="0"/>
    <n v="0.53"/>
    <n v="461585.16"/>
    <n v="10.41614138606381"/>
    <n v="443144.10000000003"/>
    <n v="9"/>
    <x v="0"/>
    <n v="1"/>
  </r>
  <r>
    <x v="563"/>
    <x v="203"/>
    <d v="2024-07-24T00:00:00"/>
    <n v="31427.3"/>
    <n v="4.5088302208589353"/>
    <x v="3"/>
    <s v="B2C"/>
    <x v="1"/>
    <n v="0.39"/>
    <n v="173127.66"/>
    <n v="5.5088302208589353"/>
    <n v="173127.66"/>
    <n v="4.5088302208589353"/>
    <x v="0"/>
    <n v="5.4490572812407434E-2"/>
  </r>
  <r>
    <x v="564"/>
    <x v="141"/>
    <d v="2024-01-08T00:00:00"/>
    <n v="80418.44"/>
    <n v="4.9214893996948961"/>
    <x v="2"/>
    <s v="B2B"/>
    <x v="1"/>
    <n v="0.91"/>
    <n v="476196.94"/>
    <n v="5.9214893996948961"/>
    <n v="476196.94"/>
    <n v="4.9214893996948961"/>
    <x v="0"/>
    <n v="0.14136618940945178"/>
  </r>
  <r>
    <x v="565"/>
    <x v="252"/>
    <d v="2023-12-13T00:00:00"/>
    <n v="20633.509999999998"/>
    <n v="18.388499581506007"/>
    <x v="2"/>
    <s v="B2C"/>
    <x v="0"/>
    <n v="0.51"/>
    <n v="400052.8"/>
    <n v="19.388499581506007"/>
    <n v="206335.09999999998"/>
    <n v="9"/>
    <x v="0"/>
    <n v="1"/>
  </r>
  <r>
    <x v="566"/>
    <x v="26"/>
    <d v="2024-05-19T00:00:00"/>
    <n v="2792.69"/>
    <n v="179.22754405250851"/>
    <x v="2"/>
    <s v="B2C"/>
    <x v="3"/>
    <n v="0.43"/>
    <n v="503319.66"/>
    <n v="180.22754405250851"/>
    <n v="27926.9"/>
    <n v="9"/>
    <x v="0"/>
    <n v="1"/>
  </r>
  <r>
    <x v="567"/>
    <x v="286"/>
    <d v="2023-10-30T00:00:00"/>
    <n v="8053.59"/>
    <n v="96.025258300956466"/>
    <x v="0"/>
    <s v="B2B"/>
    <x v="0"/>
    <n v="0.46"/>
    <n v="781401.65"/>
    <n v="97.025258300956466"/>
    <n v="80535.899999999994"/>
    <n v="9"/>
    <x v="0"/>
    <n v="1"/>
  </r>
  <r>
    <x v="568"/>
    <x v="284"/>
    <d v="2023-11-10T00:00:00"/>
    <n v="62167.9"/>
    <n v="5.7538414519390226"/>
    <x v="0"/>
    <s v="B2C"/>
    <x v="2"/>
    <n v="0.85"/>
    <n v="419872.14"/>
    <n v="6.7538414519390235"/>
    <n v="419872.14"/>
    <n v="5.7538414519390226"/>
    <x v="0"/>
    <n v="0.31659820040821529"/>
  </r>
  <r>
    <x v="569"/>
    <x v="238"/>
    <d v="2023-12-16T00:00:00"/>
    <n v="63741.760000000002"/>
    <n v="1.2179563287866539"/>
    <x v="3"/>
    <s v="B2C"/>
    <x v="1"/>
    <n v="0.1"/>
    <n v="141376.44"/>
    <n v="2.2179563287866539"/>
    <n v="141376.44"/>
    <n v="1.2179563287866539"/>
    <x v="0"/>
    <n v="-0.63832498341333599"/>
  </r>
  <r>
    <x v="570"/>
    <x v="111"/>
    <d v="2024-06-18T00:00:00"/>
    <n v="49202.14"/>
    <n v="10.467382109802541"/>
    <x v="0"/>
    <s v="B2B"/>
    <x v="1"/>
    <n v="0.9"/>
    <n v="564219.74"/>
    <n v="11.467382109802541"/>
    <n v="492021.4"/>
    <n v="9"/>
    <x v="0"/>
    <n v="1"/>
  </r>
  <r>
    <x v="571"/>
    <x v="192"/>
    <d v="2023-11-18T00:00:00"/>
    <n v="44567.53"/>
    <n v="3.7512727315155225"/>
    <x v="1"/>
    <s v="B2B"/>
    <x v="3"/>
    <n v="0.7"/>
    <n v="211752.49"/>
    <n v="4.7512727315155221"/>
    <n v="211752.49"/>
    <n v="3.7512727315155225"/>
    <x v="0"/>
    <n v="-0.10499521441778481"/>
  </r>
  <r>
    <x v="572"/>
    <x v="287"/>
    <d v="2023-09-09T00:00:00"/>
    <n v="89826.92"/>
    <n v="6.94451807988073"/>
    <x v="2"/>
    <s v="B2B"/>
    <x v="1"/>
    <n v="0.52"/>
    <n v="713631.59"/>
    <n v="7.94451807988073"/>
    <n v="713631.59"/>
    <n v="6.94451807988073"/>
    <x v="0"/>
    <n v="0.56726696418541689"/>
  </r>
  <r>
    <x v="573"/>
    <x v="247"/>
    <d v="2024-03-30T00:00:00"/>
    <n v="86447.45"/>
    <n v="7.8582733209597286"/>
    <x v="2"/>
    <s v="B2C"/>
    <x v="3"/>
    <n v="0.65"/>
    <n v="765775.14"/>
    <n v="8.8582733209597286"/>
    <n v="765775.14"/>
    <n v="7.8582733209597286"/>
    <x v="0"/>
    <n v="0.75963648862310085"/>
  </r>
  <r>
    <x v="574"/>
    <x v="198"/>
    <d v="2024-03-29T00:00:00"/>
    <n v="11421.4"/>
    <n v="22.210756124468105"/>
    <x v="3"/>
    <s v="B2B"/>
    <x v="3"/>
    <n v="0.4"/>
    <n v="265099.33"/>
    <n v="23.210756124468105"/>
    <n v="114214"/>
    <n v="9"/>
    <x v="0"/>
    <n v="1"/>
  </r>
  <r>
    <x v="575"/>
    <x v="55"/>
    <d v="2024-06-13T00:00:00"/>
    <n v="68334.64"/>
    <n v="1.4813154792357139"/>
    <x v="3"/>
    <s v="B2C"/>
    <x v="1"/>
    <n v="0.97"/>
    <n v="169559.8"/>
    <n v="2.4813154792357142"/>
    <n v="169559.8"/>
    <n v="1.4813154792357139"/>
    <x v="0"/>
    <n v="-0.58288095173984966"/>
  </r>
  <r>
    <x v="576"/>
    <x v="227"/>
    <d v="2024-06-27T00:00:00"/>
    <n v="21878.6"/>
    <n v="20.245573757004564"/>
    <x v="1"/>
    <s v="B2B"/>
    <x v="2"/>
    <n v="0.8"/>
    <n v="464823.41"/>
    <n v="21.245573757004561"/>
    <n v="218786"/>
    <n v="9"/>
    <x v="0"/>
    <n v="1"/>
  </r>
  <r>
    <x v="577"/>
    <x v="84"/>
    <d v="2024-05-28T00:00:00"/>
    <n v="12949.94"/>
    <n v="37.216851969970513"/>
    <x v="3"/>
    <s v="B2B"/>
    <x v="3"/>
    <n v="0.77"/>
    <n v="494905.94"/>
    <n v="38.216851969970513"/>
    <n v="129499.40000000001"/>
    <n v="9"/>
    <x v="0"/>
    <n v="1"/>
  </r>
  <r>
    <x v="578"/>
    <x v="111"/>
    <d v="2024-07-13T00:00:00"/>
    <n v="9569.17"/>
    <n v="58.700996011148298"/>
    <x v="2"/>
    <s v="B2B"/>
    <x v="1"/>
    <n v="0.55000000000000004"/>
    <n v="571288.98"/>
    <n v="59.700996011148298"/>
    <n v="95691.7"/>
    <n v="9"/>
    <x v="0"/>
    <n v="1"/>
  </r>
  <r>
    <x v="579"/>
    <x v="98"/>
    <d v="2024-07-16T00:00:00"/>
    <n v="88518.7"/>
    <n v="1.0080902679320869"/>
    <x v="0"/>
    <s v="B2B"/>
    <x v="1"/>
    <n v="0.57999999999999996"/>
    <n v="177753.54"/>
    <n v="2.0080902679320869"/>
    <n v="177753.54"/>
    <n v="1.0080902679320869"/>
    <x v="0"/>
    <n v="-0.68250731201429748"/>
  </r>
  <r>
    <x v="580"/>
    <x v="6"/>
    <d v="2023-12-08T00:00:00"/>
    <n v="25282.77"/>
    <n v="15.457567347248739"/>
    <x v="1"/>
    <s v="B2B"/>
    <x v="1"/>
    <n v="0.61"/>
    <n v="416092.89"/>
    <n v="16.457567347248741"/>
    <n v="252827.7"/>
    <n v="9"/>
    <x v="0"/>
    <n v="1"/>
  </r>
  <r>
    <x v="581"/>
    <x v="88"/>
    <d v="2023-10-07T00:00:00"/>
    <n v="17151.7"/>
    <n v="29.297075508550169"/>
    <x v="2"/>
    <s v="B2B"/>
    <x v="3"/>
    <n v="0.8"/>
    <n v="519646.35"/>
    <n v="30.297075508550169"/>
    <n v="171517"/>
    <n v="8.9999999999999982"/>
    <x v="0"/>
    <n v="0.99999999999999956"/>
  </r>
  <r>
    <x v="582"/>
    <x v="181"/>
    <d v="2024-07-03T00:00:00"/>
    <n v="53821.3"/>
    <n v="8.3799848758762785"/>
    <x v="2"/>
    <s v="B2C"/>
    <x v="0"/>
    <n v="0.64"/>
    <n v="504842.98"/>
    <n v="9.3799848758762785"/>
    <n v="504842.98"/>
    <n v="8.3799848758762785"/>
    <x v="0"/>
    <n v="0.86947050018447958"/>
  </r>
  <r>
    <x v="583"/>
    <x v="271"/>
    <d v="2024-04-08T00:00:00"/>
    <n v="57242"/>
    <n v="4.3038062960763073"/>
    <x v="1"/>
    <s v="B2B"/>
    <x v="3"/>
    <n v="0.39"/>
    <n v="303600.48"/>
    <n v="5.3038062960763073"/>
    <n v="303600.48"/>
    <n v="4.3038062960763073"/>
    <x v="0"/>
    <n v="1.1327641279222478E-2"/>
  </r>
  <r>
    <x v="584"/>
    <x v="156"/>
    <d v="2023-08-21T00:00:00"/>
    <n v="60540.160000000003"/>
    <n v="5.0114338977630712"/>
    <x v="3"/>
    <s v="B2B"/>
    <x v="2"/>
    <n v="0.77"/>
    <n v="363933.17"/>
    <n v="6.0114338977630712"/>
    <n v="363933.17"/>
    <n v="5.0114338977630712"/>
    <x v="0"/>
    <n v="0.16030187321327816"/>
  </r>
  <r>
    <x v="585"/>
    <x v="0"/>
    <d v="2024-02-26T00:00:00"/>
    <n v="58942.77"/>
    <n v="-0.63348855169175111"/>
    <x v="2"/>
    <s v="B2B"/>
    <x v="1"/>
    <n v="0.36"/>
    <n v="21603.200000000001"/>
    <n v="0.36651144830824889"/>
    <n v="29471.384999999998"/>
    <n v="-0.5"/>
    <x v="1"/>
    <n v="-1"/>
  </r>
  <r>
    <x v="586"/>
    <x v="140"/>
    <d v="2024-05-04T00:00:00"/>
    <n v="29071.82"/>
    <n v="6.9215718176570986"/>
    <x v="1"/>
    <s v="B2B"/>
    <x v="3"/>
    <n v="0.76"/>
    <n v="230294.51"/>
    <n v="7.9215718176570995"/>
    <n v="230294.51"/>
    <n v="6.9215718176570986"/>
    <x v="0"/>
    <n v="0.56243617213833663"/>
  </r>
  <r>
    <x v="587"/>
    <x v="288"/>
    <d v="2023-10-18T00:00:00"/>
    <n v="5676.22"/>
    <n v="29.6056918160325"/>
    <x v="1"/>
    <s v="B2C"/>
    <x v="0"/>
    <n v="0.2"/>
    <n v="173724.64"/>
    <n v="30.6056918160325"/>
    <n v="56762.200000000004"/>
    <n v="9"/>
    <x v="0"/>
    <n v="1"/>
  </r>
  <r>
    <x v="588"/>
    <x v="289"/>
    <d v="2024-04-29T00:00:00"/>
    <n v="73071.429999999993"/>
    <n v="5.7822022916480496"/>
    <x v="0"/>
    <s v="B2B"/>
    <x v="0"/>
    <n v="0.71"/>
    <n v="495585.22"/>
    <n v="6.7822022916480496"/>
    <n v="495585.22"/>
    <n v="5.7822022916480496"/>
    <x v="0"/>
    <n v="0.32256890350485246"/>
  </r>
  <r>
    <x v="589"/>
    <x v="276"/>
    <d v="2023-08-31T00:00:00"/>
    <n v="82353.710000000006"/>
    <n v="4.5957114743221634"/>
    <x v="1"/>
    <s v="B2C"/>
    <x v="2"/>
    <n v="0.12"/>
    <n v="460827.6"/>
    <n v="5.5957114743221643"/>
    <n v="460827.6"/>
    <n v="4.5957114743221634"/>
    <x v="0"/>
    <n v="7.2781363015192335E-2"/>
  </r>
  <r>
    <x v="590"/>
    <x v="275"/>
    <d v="2024-06-29T00:00:00"/>
    <n v="98712.39"/>
    <n v="6.6573919444154877"/>
    <x v="0"/>
    <s v="B2C"/>
    <x v="0"/>
    <n v="0.42"/>
    <n v="755879.46"/>
    <n v="7.6573919444154877"/>
    <n v="755879.46"/>
    <n v="6.6573919444154877"/>
    <x v="0"/>
    <n v="0.50681935671904998"/>
  </r>
  <r>
    <x v="591"/>
    <x v="203"/>
    <d v="2024-07-30T00:00:00"/>
    <n v="10934.43"/>
    <n v="80.609302908336318"/>
    <x v="2"/>
    <s v="B2C"/>
    <x v="1"/>
    <n v="0.66"/>
    <n v="892351.21"/>
    <n v="81.609302908336318"/>
    <n v="109344.3"/>
    <n v="9"/>
    <x v="0"/>
    <n v="1"/>
  </r>
  <r>
    <x v="592"/>
    <x v="42"/>
    <d v="2024-05-09T00:00:00"/>
    <n v="17049.14"/>
    <n v="32.538987303758432"/>
    <x v="1"/>
    <s v="B2B"/>
    <x v="3"/>
    <n v="0.49"/>
    <n v="571810.89"/>
    <n v="33.538987303758432"/>
    <n v="170491.4"/>
    <n v="9"/>
    <x v="0"/>
    <n v="1"/>
  </r>
  <r>
    <x v="593"/>
    <x v="95"/>
    <d v="2024-06-19T00:00:00"/>
    <n v="85238.23"/>
    <n v="5.9894155474603368"/>
    <x v="3"/>
    <s v="B2C"/>
    <x v="2"/>
    <n v="0.92"/>
    <n v="595765.41"/>
    <n v="6.9894155474603359"/>
    <n v="595765.41"/>
    <n v="5.9894155474603368"/>
    <x v="0"/>
    <n v="0.36619274683375513"/>
  </r>
  <r>
    <x v="594"/>
    <x v="203"/>
    <d v="2023-11-27T00:00:00"/>
    <n v="55709.15"/>
    <n v="11.236597758177965"/>
    <x v="3"/>
    <s v="B2B"/>
    <x v="1"/>
    <n v="0.73"/>
    <n v="681690.46"/>
    <n v="12.236597758177965"/>
    <n v="557091.5"/>
    <n v="9"/>
    <x v="0"/>
    <n v="1"/>
  </r>
  <r>
    <x v="595"/>
    <x v="144"/>
    <d v="2023-10-26T00:00:00"/>
    <n v="39804.32"/>
    <n v="12.126521191669648"/>
    <x v="2"/>
    <s v="B2C"/>
    <x v="3"/>
    <n v="0.52"/>
    <n v="522492.25"/>
    <n v="13.126521191669648"/>
    <n v="398043.2"/>
    <n v="9"/>
    <x v="0"/>
    <n v="1"/>
  </r>
  <r>
    <x v="596"/>
    <x v="228"/>
    <d v="2023-10-17T00:00:00"/>
    <n v="92196.9"/>
    <n v="3.32354309092822"/>
    <x v="0"/>
    <s v="B2B"/>
    <x v="1"/>
    <n v="0.87"/>
    <n v="398617.27"/>
    <n v="4.3235430909282204"/>
    <n v="398617.27"/>
    <n v="3.32354309092822"/>
    <x v="0"/>
    <n v="-0.19504355980458532"/>
  </r>
  <r>
    <x v="597"/>
    <x v="161"/>
    <d v="2023-09-13T00:00:00"/>
    <n v="73821.98"/>
    <n v="1.3442626437275185"/>
    <x v="0"/>
    <s v="B2C"/>
    <x v="1"/>
    <n v="0.35"/>
    <n v="173058.11"/>
    <n v="2.3442626437275185"/>
    <n v="173058.11"/>
    <n v="1.3442626437275185"/>
    <x v="0"/>
    <n v="-0.61173418026789084"/>
  </r>
  <r>
    <x v="598"/>
    <x v="14"/>
    <d v="2023-08-13T00:00:00"/>
    <n v="57144.480000000003"/>
    <n v="8.0330217371826649"/>
    <x v="2"/>
    <s v="B2C"/>
    <x v="3"/>
    <n v="0.9"/>
    <n v="516187.33"/>
    <n v="9.0330217371826631"/>
    <n v="516187.33"/>
    <n v="8.0330217371826649"/>
    <x v="0"/>
    <n v="0.79642562888056112"/>
  </r>
  <r>
    <x v="599"/>
    <x v="290"/>
    <d v="2024-01-31T00:00:00"/>
    <n v="24300.83"/>
    <n v="30.463547952888849"/>
    <x v="1"/>
    <s v="B2B"/>
    <x v="3"/>
    <n v="0.64"/>
    <n v="764590.33"/>
    <n v="31.463547952888849"/>
    <n v="243008.30000000002"/>
    <n v="9"/>
    <x v="0"/>
    <n v="1"/>
  </r>
  <r>
    <x v="600"/>
    <x v="40"/>
    <d v="2023-08-08T00:00:00"/>
    <n v="94697.82"/>
    <n v="2.6737893227109133"/>
    <x v="1"/>
    <s v="B2C"/>
    <x v="2"/>
    <n v="0.78"/>
    <n v="347899.84"/>
    <n v="3.6737893227109133"/>
    <n v="347899.84"/>
    <n v="2.6737893227109133"/>
    <x v="0"/>
    <n v="-0.33183382679770246"/>
  </r>
  <r>
    <x v="601"/>
    <x v="133"/>
    <d v="2024-04-07T00:00:00"/>
    <n v="97456.14"/>
    <n v="1.6293352065862652"/>
    <x v="3"/>
    <s v="B2B"/>
    <x v="0"/>
    <n v="0.63"/>
    <n v="256244.86"/>
    <n v="2.6293352065862652"/>
    <n v="256244.86"/>
    <n v="1.6293352065862652"/>
    <x v="0"/>
    <n v="-0.55171890387657574"/>
  </r>
  <r>
    <x v="602"/>
    <x v="242"/>
    <d v="2024-04-22T00:00:00"/>
    <n v="87665.600000000006"/>
    <n v="-0.88299401361537488"/>
    <x v="1"/>
    <s v="B2B"/>
    <x v="1"/>
    <n v="0.56000000000000005"/>
    <n v="10257.4"/>
    <n v="0.1170059863846252"/>
    <n v="43832.800000000003"/>
    <n v="-0.5"/>
    <x v="1"/>
    <n v="-1"/>
  </r>
  <r>
    <x v="603"/>
    <x v="12"/>
    <d v="2023-12-29T00:00:00"/>
    <n v="86652.2"/>
    <n v="2.0154634273567207"/>
    <x v="3"/>
    <s v="B2C"/>
    <x v="1"/>
    <n v="0.56000000000000005"/>
    <n v="261296.54"/>
    <n v="3.0154634273567207"/>
    <n v="261296.54"/>
    <n v="2.0154634273567207"/>
    <x v="0"/>
    <n v="-0.47042875213542723"/>
  </r>
  <r>
    <x v="604"/>
    <x v="276"/>
    <d v="2023-08-22T00:00:00"/>
    <n v="69094.64"/>
    <n v="9.2656321821779528"/>
    <x v="0"/>
    <s v="B2B"/>
    <x v="3"/>
    <n v="0.49"/>
    <n v="709300.16"/>
    <n v="10.265632182177953"/>
    <n v="690946.4"/>
    <n v="9"/>
    <x v="0"/>
    <n v="1"/>
  </r>
  <r>
    <x v="605"/>
    <x v="253"/>
    <d v="2024-07-09T00:00:00"/>
    <n v="97758.67"/>
    <n v="5.3879706014822011"/>
    <x v="1"/>
    <s v="B2C"/>
    <x v="3"/>
    <n v="0.82"/>
    <n v="624479.51"/>
    <n v="6.3879706014822011"/>
    <n v="624479.51"/>
    <n v="5.3879706014822011"/>
    <x v="0"/>
    <n v="0.23957275820677926"/>
  </r>
  <r>
    <x v="606"/>
    <x v="291"/>
    <d v="2024-04-16T00:00:00"/>
    <n v="83834.2"/>
    <n v="9.6915099088438854"/>
    <x v="2"/>
    <s v="B2B"/>
    <x v="0"/>
    <n v="0.31"/>
    <n v="896314.18"/>
    <n v="10.691509908843885"/>
    <n v="838342"/>
    <n v="9"/>
    <x v="0"/>
    <n v="1"/>
  </r>
  <r>
    <x v="607"/>
    <x v="212"/>
    <d v="2024-07-03T00:00:00"/>
    <n v="14858.38"/>
    <n v="20.398336157777631"/>
    <x v="0"/>
    <s v="B2B"/>
    <x v="1"/>
    <n v="0.56999999999999995"/>
    <n v="317944.61"/>
    <n v="21.398336157777631"/>
    <n v="148583.79999999999"/>
    <n v="9"/>
    <x v="0"/>
    <n v="1"/>
  </r>
  <r>
    <x v="608"/>
    <x v="292"/>
    <d v="2024-05-15T00:00:00"/>
    <n v="57198.5"/>
    <n v="15.05467101410002"/>
    <x v="0"/>
    <s v="B2C"/>
    <x v="3"/>
    <n v="0.38"/>
    <n v="918303.1"/>
    <n v="16.05467101410002"/>
    <n v="571985"/>
    <n v="9"/>
    <x v="0"/>
    <n v="1"/>
  </r>
  <r>
    <x v="609"/>
    <x v="293"/>
    <d v="2024-07-30T00:00:00"/>
    <n v="94357.67"/>
    <n v="9.4725085941609191"/>
    <x v="0"/>
    <s v="B2C"/>
    <x v="0"/>
    <n v="0.14000000000000001"/>
    <n v="988161.51"/>
    <n v="10.472508594160921"/>
    <n v="943576.7"/>
    <n v="9"/>
    <x v="0"/>
    <n v="1"/>
  </r>
  <r>
    <x v="610"/>
    <x v="43"/>
    <d v="2024-03-11T00:00:00"/>
    <n v="19142.150000000001"/>
    <n v="30.220377543797323"/>
    <x v="1"/>
    <s v="B2C"/>
    <x v="3"/>
    <n v="0.18"/>
    <n v="597625.15"/>
    <n v="31.220377543797326"/>
    <n v="191421.5"/>
    <n v="9"/>
    <x v="0"/>
    <n v="1"/>
  </r>
  <r>
    <x v="611"/>
    <x v="42"/>
    <d v="2024-07-31T00:00:00"/>
    <n v="32039.7"/>
    <n v="9.4256057328876359"/>
    <x v="3"/>
    <s v="B2B"/>
    <x v="3"/>
    <n v="0.97"/>
    <n v="334033.28000000003"/>
    <n v="10.425605732887638"/>
    <n v="320397"/>
    <n v="9"/>
    <x v="0"/>
    <n v="1"/>
  </r>
  <r>
    <x v="612"/>
    <x v="183"/>
    <d v="2024-05-07T00:00:00"/>
    <n v="82834.559999999998"/>
    <n v="6.1557020403078146"/>
    <x v="0"/>
    <s v="B2C"/>
    <x v="2"/>
    <n v="0.18"/>
    <n v="592739.43000000005"/>
    <n v="7.1557020403078146"/>
    <n v="592739.43000000005"/>
    <n v="6.1557020403078146"/>
    <x v="0"/>
    <n v="0.40120042953848722"/>
  </r>
  <r>
    <x v="613"/>
    <x v="165"/>
    <d v="2024-06-22T00:00:00"/>
    <n v="86489.51"/>
    <n v="8.4296623948962139"/>
    <x v="2"/>
    <s v="B2C"/>
    <x v="2"/>
    <n v="0.76"/>
    <n v="815566.88"/>
    <n v="9.4296623948962139"/>
    <n v="815566.88"/>
    <n v="8.4296623948962139"/>
    <x v="0"/>
    <n v="0.87992892524130828"/>
  </r>
  <r>
    <x v="614"/>
    <x v="246"/>
    <d v="2023-12-25T00:00:00"/>
    <n v="67375.899999999994"/>
    <n v="6.6246318045473247"/>
    <x v="2"/>
    <s v="B2B"/>
    <x v="3"/>
    <n v="0.77"/>
    <n v="513716.43"/>
    <n v="7.6246318045473238"/>
    <n v="513716.43"/>
    <n v="6.6246318045473247"/>
    <x v="0"/>
    <n v="0.49992248516785787"/>
  </r>
  <r>
    <x v="615"/>
    <x v="266"/>
    <d v="2023-12-09T00:00:00"/>
    <n v="17355.98"/>
    <n v="-0.44134874550443126"/>
    <x v="3"/>
    <s v="B2B"/>
    <x v="3"/>
    <n v="0.48"/>
    <n v="9695.94"/>
    <n v="0.55865125449556874"/>
    <n v="9695.94"/>
    <n v="-0.44134874550443126"/>
    <x v="1"/>
    <n v="-0.98765236747461715"/>
  </r>
  <r>
    <x v="616"/>
    <x v="56"/>
    <d v="2023-08-02T00:00:00"/>
    <n v="22675.22"/>
    <n v="16.769217233614487"/>
    <x v="2"/>
    <s v="B2B"/>
    <x v="3"/>
    <n v="0.78"/>
    <n v="402920.91"/>
    <n v="17.769217233614491"/>
    <n v="226752.2"/>
    <n v="9"/>
    <x v="0"/>
    <n v="1"/>
  </r>
  <r>
    <x v="617"/>
    <x v="260"/>
    <d v="2023-10-02T00:00:00"/>
    <n v="68727.53"/>
    <n v="2.8768986751015202"/>
    <x v="2"/>
    <s v="B2B"/>
    <x v="3"/>
    <n v="0.12"/>
    <n v="266449.67"/>
    <n v="3.8768986751015202"/>
    <n v="266449.67"/>
    <n v="2.8768986751015202"/>
    <x v="0"/>
    <n v="-0.28907396313652212"/>
  </r>
  <r>
    <x v="618"/>
    <x v="265"/>
    <d v="2024-01-06T00:00:00"/>
    <n v="65864.61"/>
    <n v="14.172304519832426"/>
    <x v="3"/>
    <s v="B2B"/>
    <x v="1"/>
    <n v="0.19"/>
    <n v="999317.92"/>
    <n v="15.172304519832426"/>
    <n v="658646.1"/>
    <n v="9"/>
    <x v="0"/>
    <n v="1"/>
  </r>
  <r>
    <x v="619"/>
    <x v="267"/>
    <d v="2024-04-29T00:00:00"/>
    <n v="20823.669999999998"/>
    <n v="30.13786522740708"/>
    <x v="0"/>
    <s v="B2C"/>
    <x v="2"/>
    <n v="0.38"/>
    <n v="648404.63"/>
    <n v="31.137865227407083"/>
    <n v="208236.69999999998"/>
    <n v="9"/>
    <x v="0"/>
    <n v="1"/>
  </r>
  <r>
    <x v="620"/>
    <x v="15"/>
    <d v="2023-11-07T00:00:00"/>
    <n v="22088.95"/>
    <n v="30.380839741137539"/>
    <x v="1"/>
    <s v="B2C"/>
    <x v="0"/>
    <n v="0.71"/>
    <n v="693169.8"/>
    <n v="31.380839741137539"/>
    <n v="220889.5"/>
    <n v="9"/>
    <x v="0"/>
    <n v="1"/>
  </r>
  <r>
    <x v="621"/>
    <x v="294"/>
    <d v="2023-08-15T00:00:00"/>
    <n v="39804.699999999997"/>
    <n v="21.972591176418867"/>
    <x v="0"/>
    <s v="B2C"/>
    <x v="1"/>
    <n v="0.96"/>
    <n v="914417.1"/>
    <n v="22.972591176418867"/>
    <n v="398047"/>
    <n v="9"/>
    <x v="0"/>
    <n v="1"/>
  </r>
  <r>
    <x v="622"/>
    <x v="165"/>
    <d v="2024-03-28T00:00:00"/>
    <n v="54266.94"/>
    <n v="9.5749334677798306"/>
    <x v="0"/>
    <s v="B2C"/>
    <x v="0"/>
    <n v="0.64"/>
    <n v="573869.28"/>
    <n v="10.574933467779831"/>
    <n v="542669.4"/>
    <n v="9"/>
    <x v="0"/>
    <n v="1"/>
  </r>
  <r>
    <x v="623"/>
    <x v="295"/>
    <d v="2023-12-12T00:00:00"/>
    <n v="59805.35"/>
    <n v="15.295194326260111"/>
    <x v="1"/>
    <s v="B2C"/>
    <x v="2"/>
    <n v="0.64"/>
    <n v="974539.8"/>
    <n v="16.295194326260109"/>
    <n v="598053.5"/>
    <n v="9"/>
    <x v="0"/>
    <n v="1"/>
  </r>
  <r>
    <x v="624"/>
    <x v="70"/>
    <d v="2023-10-21T00:00:00"/>
    <n v="59767.18"/>
    <n v="13.093331825259279"/>
    <x v="1"/>
    <s v="B2C"/>
    <x v="0"/>
    <n v="0.59"/>
    <n v="842318.7"/>
    <n v="14.093331825259281"/>
    <n v="597671.80000000005"/>
    <n v="9"/>
    <x v="0"/>
    <n v="1"/>
  </r>
  <r>
    <x v="625"/>
    <x v="260"/>
    <d v="2023-11-22T00:00:00"/>
    <n v="35082.9"/>
    <n v="4.5179480601660638"/>
    <x v="1"/>
    <s v="B2B"/>
    <x v="1"/>
    <n v="0.5"/>
    <n v="193585.62"/>
    <n v="5.5179480601660638"/>
    <n v="193585.62"/>
    <n v="4.5179480601660638"/>
    <x v="0"/>
    <n v="5.6410117929697634E-2"/>
  </r>
  <r>
    <x v="626"/>
    <x v="254"/>
    <d v="2023-10-03T00:00:00"/>
    <n v="55780.6"/>
    <n v="16.866036758299483"/>
    <x v="0"/>
    <s v="B2B"/>
    <x v="3"/>
    <n v="0.19"/>
    <n v="996578.25"/>
    <n v="17.866036758299479"/>
    <n v="557806"/>
    <n v="9"/>
    <x v="0"/>
    <n v="1"/>
  </r>
  <r>
    <x v="627"/>
    <x v="296"/>
    <d v="2023-09-24T00:00:00"/>
    <n v="34344.65"/>
    <n v="5.6520377991914312"/>
    <x v="2"/>
    <s v="B2C"/>
    <x v="3"/>
    <n v="0.91"/>
    <n v="228461.91"/>
    <n v="6.6520377991914312"/>
    <n v="228461.91"/>
    <n v="5.6520377991914312"/>
    <x v="0"/>
    <n v="0.29516585246135385"/>
  </r>
  <r>
    <x v="628"/>
    <x v="256"/>
    <d v="2023-08-19T00:00:00"/>
    <n v="62805.97"/>
    <n v="4.0770628970462521"/>
    <x v="3"/>
    <s v="B2C"/>
    <x v="3"/>
    <n v="0.62"/>
    <n v="318869.86"/>
    <n v="5.0770628970462521"/>
    <n v="318869.86"/>
    <n v="4.0770628970462521"/>
    <x v="0"/>
    <n v="-3.6407811148157498E-2"/>
  </r>
  <r>
    <x v="629"/>
    <x v="47"/>
    <d v="2023-11-03T00:00:00"/>
    <n v="12895.48"/>
    <n v="47.015473638825384"/>
    <x v="3"/>
    <s v="B2B"/>
    <x v="3"/>
    <n v="0.9"/>
    <n v="619182.57999999996"/>
    <n v="48.015473638825384"/>
    <n v="128954.79999999999"/>
    <n v="9"/>
    <x v="0"/>
    <n v="1"/>
  </r>
  <r>
    <x v="630"/>
    <x v="241"/>
    <d v="2024-06-26T00:00:00"/>
    <n v="20586.89"/>
    <n v="16.694097554317334"/>
    <x v="1"/>
    <s v="B2B"/>
    <x v="3"/>
    <n v="0.82"/>
    <n v="364266.44"/>
    <n v="17.694097554317334"/>
    <n v="205868.9"/>
    <n v="9"/>
    <x v="0"/>
    <n v="1"/>
  </r>
  <r>
    <x v="631"/>
    <x v="211"/>
    <d v="2024-04-14T00:00:00"/>
    <n v="45083.57"/>
    <n v="15.502650743940643"/>
    <x v="2"/>
    <s v="B2C"/>
    <x v="0"/>
    <n v="0.69"/>
    <n v="743998.41"/>
    <n v="16.502650743940642"/>
    <n v="450835.7"/>
    <n v="9"/>
    <x v="0"/>
    <n v="1"/>
  </r>
  <r>
    <x v="632"/>
    <x v="97"/>
    <d v="2023-11-30T00:00:00"/>
    <n v="19393.55"/>
    <n v="25.477381913058725"/>
    <x v="0"/>
    <s v="B2C"/>
    <x v="1"/>
    <n v="0.71"/>
    <n v="513490.43"/>
    <n v="26.477381913058725"/>
    <n v="193935.5"/>
    <n v="9.0000000000000018"/>
    <x v="0"/>
    <n v="1.0000000000000004"/>
  </r>
  <r>
    <x v="633"/>
    <x v="297"/>
    <d v="2023-09-20T00:00:00"/>
    <n v="77848.2"/>
    <n v="8.6852778869646308"/>
    <x v="2"/>
    <s v="B2C"/>
    <x v="2"/>
    <n v="0.74"/>
    <n v="753981.45"/>
    <n v="9.6852778869646308"/>
    <n v="753981.45"/>
    <n v="8.6852778869646308"/>
    <x v="0"/>
    <n v="0.93374271304518541"/>
  </r>
  <r>
    <x v="634"/>
    <x v="298"/>
    <d v="2024-07-11T00:00:00"/>
    <n v="13087.55"/>
    <n v="21.416783125947948"/>
    <x v="1"/>
    <s v="B2C"/>
    <x v="0"/>
    <n v="0.21"/>
    <n v="293380.77"/>
    <n v="22.416783125947944"/>
    <n v="130875.5"/>
    <n v="9"/>
    <x v="0"/>
    <n v="1"/>
  </r>
  <r>
    <x v="635"/>
    <x v="8"/>
    <d v="2024-07-17T00:00:00"/>
    <n v="41350.29"/>
    <n v="22.051324912110651"/>
    <x v="0"/>
    <s v="B2C"/>
    <x v="2"/>
    <n v="0.18"/>
    <n v="953178.97"/>
    <n v="23.051324912110651"/>
    <n v="413502.9"/>
    <n v="9"/>
    <x v="0"/>
    <n v="1"/>
  </r>
  <r>
    <x v="636"/>
    <x v="121"/>
    <d v="2023-09-09T00:00:00"/>
    <n v="82065.39"/>
    <n v="-0.35485592647521691"/>
    <x v="2"/>
    <s v="B2C"/>
    <x v="3"/>
    <n v="0.24"/>
    <n v="52944"/>
    <n v="0.64514407352478309"/>
    <n v="52944"/>
    <n v="-0.35485592647521691"/>
    <x v="1"/>
    <n v="-0.96944335294215089"/>
  </r>
  <r>
    <x v="637"/>
    <x v="54"/>
    <d v="2024-02-20T00:00:00"/>
    <n v="14225.39"/>
    <n v="14.158918665850287"/>
    <x v="2"/>
    <s v="B2C"/>
    <x v="2"/>
    <n v="0.51"/>
    <n v="215641.53"/>
    <n v="15.158918665850287"/>
    <n v="142253.9"/>
    <n v="9"/>
    <x v="0"/>
    <n v="1"/>
  </r>
  <r>
    <x v="638"/>
    <x v="21"/>
    <d v="2023-12-05T00:00:00"/>
    <n v="28165.81"/>
    <n v="8.5572554100166123"/>
    <x v="3"/>
    <s v="B2B"/>
    <x v="1"/>
    <n v="0.3"/>
    <n v="269187.84000000003"/>
    <n v="9.5572554100166123"/>
    <n v="269187.84000000003"/>
    <n v="8.5572554100166123"/>
    <x v="0"/>
    <n v="0.90679061263507621"/>
  </r>
  <r>
    <x v="639"/>
    <x v="299"/>
    <d v="2024-02-25T00:00:00"/>
    <n v="21006.57"/>
    <n v="30.126632286946421"/>
    <x v="3"/>
    <s v="B2B"/>
    <x v="2"/>
    <n v="0.59"/>
    <n v="653863.78"/>
    <n v="31.126632286946418"/>
    <n v="210065.7"/>
    <n v="9"/>
    <x v="0"/>
    <n v="1"/>
  </r>
  <r>
    <x v="640"/>
    <x v="224"/>
    <d v="2023-08-11T00:00:00"/>
    <n v="49513.98"/>
    <n v="6.3642967097373306"/>
    <x v="2"/>
    <s v="B2B"/>
    <x v="3"/>
    <n v="0.39"/>
    <n v="364635.64"/>
    <n v="7.3642967097373306"/>
    <n v="364635.64"/>
    <n v="6.3642967097373306"/>
    <x v="0"/>
    <n v="0.4451150967868065"/>
  </r>
  <r>
    <x v="641"/>
    <x v="51"/>
    <d v="2024-02-14T00:00:00"/>
    <n v="83745.94"/>
    <n v="3.9643700936427488"/>
    <x v="0"/>
    <s v="B2B"/>
    <x v="1"/>
    <n v="0.21"/>
    <n v="415745.84"/>
    <n v="4.9643700936427484"/>
    <n v="415745.84"/>
    <n v="3.9643700936427488"/>
    <x v="0"/>
    <n v="-6.0132611864684327E-2"/>
  </r>
  <r>
    <x v="642"/>
    <x v="7"/>
    <d v="2024-03-15T00:00:00"/>
    <n v="10894.5"/>
    <n v="5.8512689889393723"/>
    <x v="1"/>
    <s v="B2C"/>
    <x v="2"/>
    <n v="0.96"/>
    <n v="74641.149999999994"/>
    <n v="6.8512689889393723"/>
    <n v="74641.149999999994"/>
    <n v="5.8512689889393723"/>
    <x v="0"/>
    <n v="0.33710926082934156"/>
  </r>
  <r>
    <x v="643"/>
    <x v="279"/>
    <d v="2024-02-23T00:00:00"/>
    <n v="52366.3"/>
    <n v="15.270771469437403"/>
    <x v="1"/>
    <s v="B2B"/>
    <x v="2"/>
    <n v="0.21"/>
    <n v="852040.1"/>
    <n v="16.270771469437403"/>
    <n v="523663"/>
    <n v="9"/>
    <x v="0"/>
    <n v="1"/>
  </r>
  <r>
    <x v="644"/>
    <x v="221"/>
    <d v="2024-05-03T00:00:00"/>
    <n v="80463.240000000005"/>
    <n v="8.7024023641106165"/>
    <x v="0"/>
    <s v="B2C"/>
    <x v="2"/>
    <n v="0.88"/>
    <n v="780686.73"/>
    <n v="9.7024023641106165"/>
    <n v="780686.73"/>
    <n v="8.7024023641106165"/>
    <x v="0"/>
    <n v="0.93734786612855081"/>
  </r>
  <r>
    <x v="645"/>
    <x v="300"/>
    <d v="2024-04-18T00:00:00"/>
    <n v="2990.39"/>
    <n v="188.95125384983228"/>
    <x v="1"/>
    <s v="B2B"/>
    <x v="0"/>
    <n v="0.62"/>
    <n v="568028.32999999996"/>
    <n v="189.95125384983228"/>
    <n v="29903.899999999998"/>
    <n v="9"/>
    <x v="0"/>
    <n v="1"/>
  </r>
  <r>
    <x v="646"/>
    <x v="301"/>
    <d v="2024-05-05T00:00:00"/>
    <n v="43575.1"/>
    <n v="15.887699626621625"/>
    <x v="3"/>
    <s v="B2C"/>
    <x v="1"/>
    <n v="0.8"/>
    <n v="735883.2"/>
    <n v="16.887699626621625"/>
    <n v="435751"/>
    <n v="9"/>
    <x v="0"/>
    <n v="1"/>
  </r>
  <r>
    <x v="647"/>
    <x v="54"/>
    <d v="2023-12-06T00:00:00"/>
    <n v="26628.67"/>
    <n v="25.508634490569751"/>
    <x v="0"/>
    <s v="B2B"/>
    <x v="1"/>
    <n v="0.3"/>
    <n v="705889.68"/>
    <n v="26.508634490569754"/>
    <n v="266286.69999999995"/>
    <n v="9"/>
    <x v="0"/>
    <n v="1"/>
  </r>
  <r>
    <x v="648"/>
    <x v="200"/>
    <d v="2023-12-16T00:00:00"/>
    <n v="14188.58"/>
    <n v="37.458645614994595"/>
    <x v="0"/>
    <s v="B2B"/>
    <x v="1"/>
    <n v="0.13"/>
    <n v="545673.56999999995"/>
    <n v="38.458645614994587"/>
    <n v="141885.79999999999"/>
    <n v="8.9999999999999982"/>
    <x v="0"/>
    <n v="0.99999999999999956"/>
  </r>
  <r>
    <x v="649"/>
    <x v="302"/>
    <d v="2023-11-14T00:00:00"/>
    <n v="95454.75"/>
    <n v="5.8809925121589028"/>
    <x v="2"/>
    <s v="B2C"/>
    <x v="1"/>
    <n v="0.92"/>
    <n v="656823.42000000004"/>
    <n v="6.8809925121589028"/>
    <n v="656823.42000000004"/>
    <n v="5.8809925121589028"/>
    <x v="0"/>
    <n v="0.3433668446650322"/>
  </r>
  <r>
    <x v="650"/>
    <x v="204"/>
    <d v="2024-03-05T00:00:00"/>
    <n v="73923.820000000007"/>
    <n v="2.1754465610678668"/>
    <x v="2"/>
    <s v="B2C"/>
    <x v="1"/>
    <n v="0.91"/>
    <n v="234741.14"/>
    <n v="3.1754465610678668"/>
    <n v="234741.14"/>
    <n v="2.1754465610678668"/>
    <x v="0"/>
    <n v="-0.43674809240676493"/>
  </r>
  <r>
    <x v="651"/>
    <x v="283"/>
    <d v="2023-12-06T00:00:00"/>
    <n v="58913.37"/>
    <n v="7.7926012380551306"/>
    <x v="0"/>
    <s v="B2B"/>
    <x v="2"/>
    <n v="0"/>
    <n v="518001.77"/>
    <n v="8.7926012380551306"/>
    <n v="518001.77"/>
    <n v="7.7926012380551306"/>
    <x v="0"/>
    <n v="0.74581078695897496"/>
  </r>
  <r>
    <x v="652"/>
    <x v="148"/>
    <d v="2023-12-30T00:00:00"/>
    <n v="63015.1"/>
    <n v="4.9654882718586508"/>
    <x v="1"/>
    <s v="B2C"/>
    <x v="0"/>
    <n v="0.28000000000000003"/>
    <n v="375915.84"/>
    <n v="5.9654882718586499"/>
    <n v="375915.84"/>
    <n v="4.9654882718586508"/>
    <x v="0"/>
    <n v="0.15062910986497902"/>
  </r>
  <r>
    <x v="653"/>
    <x v="179"/>
    <d v="2024-03-23T00:00:00"/>
    <n v="13418.23"/>
    <n v="10.95254217583094"/>
    <x v="1"/>
    <s v="B2B"/>
    <x v="3"/>
    <n v="0.94"/>
    <n v="160381.96"/>
    <n v="11.95254217583094"/>
    <n v="134182.29999999999"/>
    <n v="9"/>
    <x v="0"/>
    <n v="1"/>
  </r>
  <r>
    <x v="654"/>
    <x v="109"/>
    <d v="2024-07-15T00:00:00"/>
    <n v="78420.98"/>
    <n v="8.2225801054768777"/>
    <x v="1"/>
    <s v="B2C"/>
    <x v="1"/>
    <n v="0.78"/>
    <n v="723243.77"/>
    <n v="9.2225801054768777"/>
    <n v="723243.77"/>
    <n v="8.2225801054768777"/>
    <x v="0"/>
    <n v="0.83633265378460586"/>
  </r>
  <r>
    <x v="655"/>
    <x v="121"/>
    <d v="2023-08-26T00:00:00"/>
    <n v="47487.19"/>
    <n v="14.046066739261683"/>
    <x v="1"/>
    <s v="B2B"/>
    <x v="0"/>
    <n v="0.71"/>
    <n v="714495.43"/>
    <n v="15.046066739261683"/>
    <n v="474871.9"/>
    <n v="9"/>
    <x v="0"/>
    <n v="1"/>
  </r>
  <r>
    <x v="656"/>
    <x v="29"/>
    <d v="2024-02-10T00:00:00"/>
    <n v="44782.559999999998"/>
    <n v="11.545438670768263"/>
    <x v="1"/>
    <s v="B2C"/>
    <x v="3"/>
    <n v="0.46"/>
    <n v="561816.86"/>
    <n v="12.545438670768263"/>
    <n v="447825.6"/>
    <n v="9"/>
    <x v="0"/>
    <n v="1"/>
  </r>
  <r>
    <x v="657"/>
    <x v="211"/>
    <d v="2024-01-09T00:00:00"/>
    <n v="93037.93"/>
    <n v="6.1920785425901022"/>
    <x v="1"/>
    <s v="B2B"/>
    <x v="3"/>
    <n v="0.52"/>
    <n v="669136.1"/>
    <n v="7.192078542590103"/>
    <n v="669136.1"/>
    <n v="6.1920785425901022"/>
    <x v="0"/>
    <n v="0.40885864054528476"/>
  </r>
  <r>
    <x v="658"/>
    <x v="192"/>
    <d v="2024-05-03T00:00:00"/>
    <n v="4888.71"/>
    <n v="78.157630540572043"/>
    <x v="0"/>
    <s v="B2C"/>
    <x v="3"/>
    <n v="0.76"/>
    <n v="386978.7"/>
    <n v="79.157630540572057"/>
    <n v="48887.1"/>
    <n v="9"/>
    <x v="0"/>
    <n v="1"/>
  </r>
  <r>
    <x v="659"/>
    <x v="194"/>
    <d v="2023-11-12T00:00:00"/>
    <n v="2523.19"/>
    <n v="308.54364911084775"/>
    <x v="2"/>
    <s v="B2B"/>
    <x v="1"/>
    <n v="0.69"/>
    <n v="781037.44"/>
    <n v="309.54364911084775"/>
    <n v="25231.9"/>
    <n v="9.0000000000000018"/>
    <x v="0"/>
    <n v="1.0000000000000004"/>
  </r>
  <r>
    <x v="660"/>
    <x v="303"/>
    <d v="2023-12-14T00:00:00"/>
    <n v="26419.1"/>
    <n v="1.4379445174135381"/>
    <x v="1"/>
    <s v="B2C"/>
    <x v="3"/>
    <n v="0.28999999999999998"/>
    <n v="64408.3"/>
    <n v="2.4379445174135381"/>
    <n v="64408.3"/>
    <n v="1.4379445174135381"/>
    <x v="0"/>
    <n v="-0.59201168054451836"/>
  </r>
  <r>
    <x v="661"/>
    <x v="148"/>
    <d v="2024-04-12T00:00:00"/>
    <n v="70705.990000000005"/>
    <n v="11.156012524539999"/>
    <x v="1"/>
    <s v="B2B"/>
    <x v="0"/>
    <n v="0.44"/>
    <n v="859502.9"/>
    <n v="12.156012524539999"/>
    <n v="707059.9"/>
    <n v="9"/>
    <x v="0"/>
    <n v="1"/>
  </r>
  <r>
    <x v="662"/>
    <x v="225"/>
    <d v="2024-07-24T00:00:00"/>
    <n v="49206.43"/>
    <n v="-0.32837314147764834"/>
    <x v="2"/>
    <s v="B2B"/>
    <x v="1"/>
    <n v="0.18"/>
    <n v="33048.36"/>
    <n v="0.67162685852235171"/>
    <n v="33048.36"/>
    <n v="-0.32837314147764834"/>
    <x v="1"/>
    <n v="-0.96386802978476804"/>
  </r>
  <r>
    <x v="663"/>
    <x v="54"/>
    <d v="2023-08-15T00:00:00"/>
    <n v="96511.42"/>
    <n v="4.4572085873360887"/>
    <x v="0"/>
    <s v="B2C"/>
    <x v="3"/>
    <n v="0.4"/>
    <n v="526682.94999999995"/>
    <n v="5.4572085873360887"/>
    <n v="526682.94999999995"/>
    <n v="4.4572085873360887"/>
    <x v="0"/>
    <n v="4.362286049180808E-2"/>
  </r>
  <r>
    <x v="664"/>
    <x v="301"/>
    <d v="2024-02-17T00:00:00"/>
    <n v="47198.52"/>
    <n v="5.2414745208112459"/>
    <x v="0"/>
    <s v="B2B"/>
    <x v="2"/>
    <n v="0"/>
    <n v="294588.36"/>
    <n v="6.2414745208112459"/>
    <n v="294588.36"/>
    <n v="5.2414745208112459"/>
    <x v="0"/>
    <n v="0.20873147806552539"/>
  </r>
  <r>
    <x v="665"/>
    <x v="164"/>
    <d v="2024-07-03T00:00:00"/>
    <n v="36050.730000000003"/>
    <n v="13.694895221261815"/>
    <x v="0"/>
    <s v="B2B"/>
    <x v="2"/>
    <n v="0.88"/>
    <n v="529761.69999999995"/>
    <n v="14.694895221261813"/>
    <n v="360507.30000000005"/>
    <n v="9.0000000000000018"/>
    <x v="0"/>
    <n v="1.0000000000000004"/>
  </r>
  <r>
    <x v="666"/>
    <x v="304"/>
    <d v="2023-09-21T00:00:00"/>
    <n v="92591.26"/>
    <n v="3.4946898875768619"/>
    <x v="2"/>
    <s v="B2B"/>
    <x v="0"/>
    <n v="0.75"/>
    <n v="416169"/>
    <n v="4.4946898875768619"/>
    <n v="416169"/>
    <n v="3.4946898875768619"/>
    <x v="0"/>
    <n v="-0.15901265524697639"/>
  </r>
  <r>
    <x v="667"/>
    <x v="132"/>
    <d v="2023-08-19T00:00:00"/>
    <n v="21426.33"/>
    <n v="8.267935292698283"/>
    <x v="0"/>
    <s v="B2C"/>
    <x v="3"/>
    <n v="0.21"/>
    <n v="198577.84"/>
    <n v="9.2679352926982812"/>
    <n v="198577.84"/>
    <n v="8.267935292698283"/>
    <x v="0"/>
    <n v="0.84588111425227019"/>
  </r>
  <r>
    <x v="668"/>
    <x v="159"/>
    <d v="2023-12-05T00:00:00"/>
    <n v="43491.12"/>
    <n v="4.5842841021339522"/>
    <x v="1"/>
    <s v="B2B"/>
    <x v="2"/>
    <n v="0.49"/>
    <n v="242866.77"/>
    <n v="5.5842841021339522"/>
    <n v="242866.77"/>
    <n v="4.5842841021339522"/>
    <x v="0"/>
    <n v="7.0375600449253062E-2"/>
  </r>
  <r>
    <x v="669"/>
    <x v="75"/>
    <d v="2023-12-22T00:00:00"/>
    <n v="85026.27"/>
    <n v="-0.5559902839440094"/>
    <x v="2"/>
    <s v="B2C"/>
    <x v="2"/>
    <n v="0.78"/>
    <n v="37752.49"/>
    <n v="0.44400971605599066"/>
    <n v="42513.135000000002"/>
    <n v="-0.5"/>
    <x v="1"/>
    <n v="-1"/>
  </r>
  <r>
    <x v="670"/>
    <x v="254"/>
    <d v="2024-07-27T00:00:00"/>
    <n v="70113.41"/>
    <n v="7.2277758277624775"/>
    <x v="2"/>
    <s v="B2B"/>
    <x v="0"/>
    <n v="0.15"/>
    <n v="576877.42000000004"/>
    <n v="8.2277758277624784"/>
    <n v="576877.42000000004"/>
    <n v="7.2277758277624775"/>
    <x v="0"/>
    <n v="0.6269001742657847"/>
  </r>
  <r>
    <x v="671"/>
    <x v="53"/>
    <d v="2024-06-17T00:00:00"/>
    <n v="19497.93"/>
    <n v="27.448976378518129"/>
    <x v="0"/>
    <s v="B2B"/>
    <x v="0"/>
    <n v="0.44"/>
    <n v="554696.15"/>
    <n v="28.448976378518129"/>
    <n v="194979.3"/>
    <n v="9"/>
    <x v="0"/>
    <n v="1"/>
  </r>
  <r>
    <x v="672"/>
    <x v="57"/>
    <d v="2024-03-06T00:00:00"/>
    <n v="68805.2"/>
    <n v="11.106451547266778"/>
    <x v="2"/>
    <s v="B2C"/>
    <x v="0"/>
    <n v="0.43"/>
    <n v="832986.82"/>
    <n v="12.106451547266776"/>
    <n v="688052"/>
    <n v="9.0000000000000018"/>
    <x v="0"/>
    <n v="1.0000000000000004"/>
  </r>
  <r>
    <x v="673"/>
    <x v="248"/>
    <d v="2023-12-20T00:00:00"/>
    <n v="86544.19"/>
    <n v="4.4382215605692306"/>
    <x v="0"/>
    <s v="B2C"/>
    <x v="2"/>
    <n v="0.89"/>
    <n v="470646.48"/>
    <n v="5.4382215605692306"/>
    <n v="470646.48"/>
    <n v="4.4382215605692306"/>
    <x v="0"/>
    <n v="3.9625591698785323E-2"/>
  </r>
  <r>
    <x v="674"/>
    <x v="73"/>
    <d v="2024-01-31T00:00:00"/>
    <n v="55609.69"/>
    <n v="5.0952841132543618"/>
    <x v="2"/>
    <s v="B2C"/>
    <x v="1"/>
    <n v="0.35"/>
    <n v="338956.86"/>
    <n v="6.0952841132543618"/>
    <n v="338956.86"/>
    <n v="5.0952841132543618"/>
    <x v="0"/>
    <n v="0.17795455015881312"/>
  </r>
  <r>
    <x v="675"/>
    <x v="246"/>
    <d v="2023-10-06T00:00:00"/>
    <n v="46919.95"/>
    <n v="9.2740571974181556"/>
    <x v="1"/>
    <s v="B2C"/>
    <x v="1"/>
    <n v="0.72"/>
    <n v="482058.25"/>
    <n v="10.274057197418156"/>
    <n v="469199.5"/>
    <n v="9"/>
    <x v="0"/>
    <n v="1"/>
  </r>
  <r>
    <x v="676"/>
    <x v="90"/>
    <d v="2023-08-06T00:00:00"/>
    <n v="12991.78"/>
    <n v="2.8515384343023045"/>
    <x v="3"/>
    <s v="B2B"/>
    <x v="3"/>
    <n v="0.81"/>
    <n v="50038.34"/>
    <n v="3.8515384343023045"/>
    <n v="50038.34"/>
    <n v="2.8515384343023045"/>
    <x v="0"/>
    <n v="-0.29441296119951488"/>
  </r>
  <r>
    <x v="677"/>
    <x v="269"/>
    <d v="2023-10-09T00:00:00"/>
    <n v="88842.63"/>
    <n v="7.368176853836947"/>
    <x v="2"/>
    <s v="B2C"/>
    <x v="2"/>
    <n v="0.97"/>
    <n v="743450.84"/>
    <n v="8.3681768538369461"/>
    <n v="743450.84"/>
    <n v="7.368176853836947"/>
    <x v="0"/>
    <n v="0.65645828501830472"/>
  </r>
  <r>
    <x v="678"/>
    <x v="59"/>
    <d v="2023-08-24T00:00:00"/>
    <n v="88036.35"/>
    <n v="3.2277931786131524"/>
    <x v="0"/>
    <s v="B2C"/>
    <x v="2"/>
    <n v="0.96"/>
    <n v="372199.48"/>
    <n v="4.227793178613152"/>
    <n v="372199.48"/>
    <n v="3.2277931786131524"/>
    <x v="0"/>
    <n v="-0.2152014360814416"/>
  </r>
  <r>
    <x v="679"/>
    <x v="171"/>
    <d v="2024-01-19T00:00:00"/>
    <n v="90591.66"/>
    <n v="6.7489296476077376"/>
    <x v="1"/>
    <s v="B2B"/>
    <x v="1"/>
    <n v="0.54"/>
    <n v="701988.4"/>
    <n v="7.7489296476077376"/>
    <n v="701988.4"/>
    <n v="6.7489296476077376"/>
    <x v="0"/>
    <n v="0.52609045212794481"/>
  </r>
  <r>
    <x v="680"/>
    <x v="296"/>
    <d v="2024-04-11T00:00:00"/>
    <n v="90434.18"/>
    <n v="2.3044133313311406"/>
    <x v="0"/>
    <s v="B2C"/>
    <x v="2"/>
    <n v="0.48"/>
    <n v="298831.90999999997"/>
    <n v="3.3044133313311406"/>
    <n v="298831.90999999997"/>
    <n v="2.3044133313311406"/>
    <x v="0"/>
    <n v="-0.40959719340397038"/>
  </r>
  <r>
    <x v="681"/>
    <x v="4"/>
    <d v="2023-10-03T00:00:00"/>
    <n v="38665.1"/>
    <n v="0.91497707234689685"/>
    <x v="0"/>
    <s v="B2B"/>
    <x v="2"/>
    <n v="0.28999999999999998"/>
    <n v="74042.78"/>
    <n v="1.9149770723468968"/>
    <n v="74042.78"/>
    <n v="0.91497707234689685"/>
    <x v="0"/>
    <n v="-0.70211009003223224"/>
  </r>
  <r>
    <x v="682"/>
    <x v="27"/>
    <d v="2024-06-09T00:00:00"/>
    <n v="21791.46"/>
    <n v="41.820716923051506"/>
    <x v="2"/>
    <s v="B2B"/>
    <x v="1"/>
    <n v="0.87"/>
    <n v="933125.94"/>
    <n v="42.820716923051506"/>
    <n v="217914.59999999998"/>
    <n v="9"/>
    <x v="0"/>
    <n v="1"/>
  </r>
  <r>
    <x v="683"/>
    <x v="104"/>
    <d v="2023-08-26T00:00:00"/>
    <n v="56663.23"/>
    <n v="16.195445794389059"/>
    <x v="3"/>
    <s v="B2B"/>
    <x v="3"/>
    <n v="0"/>
    <n v="974349.5"/>
    <n v="17.195445794389059"/>
    <n v="566632.30000000005"/>
    <n v="9"/>
    <x v="0"/>
    <n v="1"/>
  </r>
  <r>
    <x v="684"/>
    <x v="305"/>
    <d v="2023-09-12T00:00:00"/>
    <n v="5057.3100000000004"/>
    <n v="142.54372383737598"/>
    <x v="2"/>
    <s v="B2C"/>
    <x v="2"/>
    <n v="0.89"/>
    <n v="725945.11"/>
    <n v="143.54372383737598"/>
    <n v="50573.100000000006"/>
    <n v="9.0000000000000018"/>
    <x v="0"/>
    <n v="1.0000000000000004"/>
  </r>
  <r>
    <x v="685"/>
    <x v="145"/>
    <d v="2024-02-02T00:00:00"/>
    <n v="77036.39"/>
    <n v="2.2526552710998011"/>
    <x v="2"/>
    <s v="B2B"/>
    <x v="2"/>
    <n v="0.95"/>
    <n v="250572.82"/>
    <n v="3.2526552710998011"/>
    <n v="250572.82"/>
    <n v="2.2526552710998011"/>
    <x v="0"/>
    <n v="-0.42049362713688399"/>
  </r>
  <r>
    <x v="686"/>
    <x v="304"/>
    <d v="2023-12-21T00:00:00"/>
    <n v="37988.85"/>
    <n v="20.20843879190868"/>
    <x v="1"/>
    <s v="B2C"/>
    <x v="1"/>
    <n v="0.34"/>
    <n v="805684.2"/>
    <n v="21.208438791908677"/>
    <n v="379888.5"/>
    <n v="9.0000000000000018"/>
    <x v="0"/>
    <n v="1.0000000000000004"/>
  </r>
  <r>
    <x v="687"/>
    <x v="199"/>
    <d v="2024-06-06T00:00:00"/>
    <n v="36751.1"/>
    <n v="0.39052871886827878"/>
    <x v="2"/>
    <s v="B2B"/>
    <x v="1"/>
    <n v="0.47"/>
    <n v="51103.46"/>
    <n v="1.3905287188682789"/>
    <n v="51103.46"/>
    <n v="0.39052871886827878"/>
    <x v="1"/>
    <n v="-0.81252026971194136"/>
  </r>
  <r>
    <x v="688"/>
    <x v="203"/>
    <d v="2024-01-25T00:00:00"/>
    <n v="49256.5"/>
    <n v="5.3337681321246944"/>
    <x v="1"/>
    <s v="B2C"/>
    <x v="2"/>
    <n v="0.87"/>
    <n v="311979.25"/>
    <n v="6.3337681321246944"/>
    <n v="311979.25"/>
    <n v="5.3337681321246944"/>
    <x v="0"/>
    <n v="0.22816171202625135"/>
  </r>
  <r>
    <x v="689"/>
    <x v="129"/>
    <d v="2024-03-04T00:00:00"/>
    <n v="31145.23"/>
    <n v="9.704953214344543E-2"/>
    <x v="2"/>
    <s v="B2B"/>
    <x v="3"/>
    <n v="0.8"/>
    <n v="34167.86"/>
    <n v="1.0970495321434455"/>
    <n v="34167.86"/>
    <n v="9.704953214344543E-2"/>
    <x v="1"/>
    <n v="-0.87430536165401151"/>
  </r>
  <r>
    <x v="690"/>
    <x v="202"/>
    <d v="2023-11-17T00:00:00"/>
    <n v="41188.160000000003"/>
    <n v="18.693807152346693"/>
    <x v="3"/>
    <s v="B2B"/>
    <x v="3"/>
    <n v="0.68"/>
    <n v="811151.68"/>
    <n v="19.693807152346693"/>
    <n v="411881.60000000003"/>
    <n v="9"/>
    <x v="0"/>
    <n v="1"/>
  </r>
  <r>
    <x v="691"/>
    <x v="83"/>
    <d v="2024-01-13T00:00:00"/>
    <n v="41672.129999999997"/>
    <n v="5.287650763231925"/>
    <x v="3"/>
    <s v="B2C"/>
    <x v="1"/>
    <n v="0.2"/>
    <n v="262019.8"/>
    <n v="6.287650763231925"/>
    <n v="262019.8"/>
    <n v="5.287650763231925"/>
    <x v="0"/>
    <n v="0.21845279225935266"/>
  </r>
  <r>
    <x v="692"/>
    <x v="215"/>
    <d v="2024-07-18T00:00:00"/>
    <n v="80301.86"/>
    <n v="-3.6319706666819343E-2"/>
    <x v="1"/>
    <s v="B2B"/>
    <x v="1"/>
    <n v="0.73"/>
    <n v="77385.320000000007"/>
    <n v="0.96368029333318062"/>
    <n v="77385.320000000007"/>
    <n v="-3.6319706666819343E-2"/>
    <x v="1"/>
    <n v="-0.90238309614038303"/>
  </r>
  <r>
    <x v="693"/>
    <x v="118"/>
    <d v="2023-09-09T00:00:00"/>
    <n v="10618.97"/>
    <n v="65.373646408267476"/>
    <x v="2"/>
    <s v="B2B"/>
    <x v="1"/>
    <n v="0.92"/>
    <n v="704819.76"/>
    <n v="66.373646408267476"/>
    <n v="106189.7"/>
    <n v="9"/>
    <x v="0"/>
    <n v="1"/>
  </r>
  <r>
    <x v="694"/>
    <x v="134"/>
    <d v="2023-11-20T00:00:00"/>
    <n v="76690.16"/>
    <n v="1.9604550309974575"/>
    <x v="2"/>
    <s v="B2B"/>
    <x v="2"/>
    <n v="0.56000000000000005"/>
    <n v="227037.77"/>
    <n v="2.9604550309974575"/>
    <n v="227037.77"/>
    <n v="1.9604550309974575"/>
    <x v="0"/>
    <n v="-0.48200946715842996"/>
  </r>
  <r>
    <x v="695"/>
    <x v="114"/>
    <d v="2024-05-06T00:00:00"/>
    <n v="43349.83"/>
    <n v="4.8841457971115458"/>
    <x v="1"/>
    <s v="B2C"/>
    <x v="2"/>
    <n v="0.68"/>
    <n v="255076.72"/>
    <n v="5.8841457971115458"/>
    <n v="255076.72"/>
    <n v="4.8841457971115458"/>
    <x v="0"/>
    <n v="0.13350437833927287"/>
  </r>
  <r>
    <x v="696"/>
    <x v="28"/>
    <d v="2024-02-22T00:00:00"/>
    <n v="67118.97"/>
    <n v="4.7024920078481545"/>
    <x v="2"/>
    <s v="B2B"/>
    <x v="1"/>
    <n v="0.53"/>
    <n v="382745.39"/>
    <n v="5.7024920078481536"/>
    <n v="382745.39"/>
    <n v="4.7024920078481545"/>
    <x v="0"/>
    <n v="9.5261475336453572E-2"/>
  </r>
  <r>
    <x v="697"/>
    <x v="103"/>
    <d v="2024-04-30T00:00:00"/>
    <n v="74856.710000000006"/>
    <n v="2.5645877303450813"/>
    <x v="1"/>
    <s v="B2B"/>
    <x v="3"/>
    <n v="0.99"/>
    <n v="266833.31"/>
    <n v="3.5645877303450817"/>
    <n v="266833.31"/>
    <n v="2.5645877303450813"/>
    <x v="0"/>
    <n v="-0.35482363571682496"/>
  </r>
  <r>
    <x v="698"/>
    <x v="306"/>
    <d v="2024-02-08T00:00:00"/>
    <n v="99343.38"/>
    <n v="3.6935036838891531"/>
    <x v="1"/>
    <s v="B2B"/>
    <x v="2"/>
    <n v="0.96"/>
    <n v="466268.52"/>
    <n v="4.6935036838891531"/>
    <n v="466268.52"/>
    <n v="3.6935036838891531"/>
    <x v="0"/>
    <n v="-0.11715711918123095"/>
  </r>
  <r>
    <x v="699"/>
    <x v="11"/>
    <d v="2024-06-17T00:00:00"/>
    <n v="6430.7"/>
    <n v="152.3671451008444"/>
    <x v="3"/>
    <s v="B2B"/>
    <x v="2"/>
    <n v="0.46"/>
    <n v="986258.1"/>
    <n v="153.3671451008444"/>
    <n v="64307"/>
    <n v="9"/>
    <x v="0"/>
    <n v="1"/>
  </r>
  <r>
    <x v="700"/>
    <x v="302"/>
    <d v="2023-10-03T00:00:00"/>
    <n v="99248.28"/>
    <n v="4.4583681450197421"/>
    <x v="3"/>
    <s v="B2B"/>
    <x v="0"/>
    <n v="0.32"/>
    <n v="541733.65"/>
    <n v="5.458368145019743"/>
    <n v="541733.65"/>
    <n v="4.4583681450197421"/>
    <x v="0"/>
    <n v="4.3866977898893156E-2"/>
  </r>
  <r>
    <x v="701"/>
    <x v="288"/>
    <d v="2024-05-28T00:00:00"/>
    <n v="7954.2"/>
    <n v="75.030431721606206"/>
    <x v="2"/>
    <s v="B2B"/>
    <x v="2"/>
    <n v="0.81"/>
    <n v="604761.26"/>
    <n v="76.030431721606192"/>
    <n v="79542"/>
    <n v="9"/>
    <x v="0"/>
    <n v="1"/>
  </r>
  <r>
    <x v="702"/>
    <x v="14"/>
    <d v="2024-02-17T00:00:00"/>
    <n v="2698.11"/>
    <n v="323.70593118886922"/>
    <x v="3"/>
    <s v="B2B"/>
    <x v="2"/>
    <n v="0.17"/>
    <n v="876092.32"/>
    <n v="324.70593118886922"/>
    <n v="26981.100000000002"/>
    <n v="9"/>
    <x v="0"/>
    <n v="1"/>
  </r>
  <r>
    <x v="703"/>
    <x v="307"/>
    <d v="2024-05-03T00:00:00"/>
    <n v="57491.61"/>
    <n v="2.8390025953352152"/>
    <x v="2"/>
    <s v="B2C"/>
    <x v="1"/>
    <n v="0.86"/>
    <n v="220710.44"/>
    <n v="3.8390025953352152"/>
    <n v="220710.44"/>
    <n v="2.8390025953352152"/>
    <x v="0"/>
    <n v="-0.2970520851925863"/>
  </r>
  <r>
    <x v="704"/>
    <x v="265"/>
    <d v="2024-03-04T00:00:00"/>
    <n v="19992.62"/>
    <n v="44.561882334581462"/>
    <x v="3"/>
    <s v="B2C"/>
    <x v="3"/>
    <n v="0.62"/>
    <n v="910901.4"/>
    <n v="45.561882334581462"/>
    <n v="199926.19999999998"/>
    <n v="9"/>
    <x v="0"/>
    <n v="1"/>
  </r>
  <r>
    <x v="705"/>
    <x v="99"/>
    <d v="2024-07-11T00:00:00"/>
    <n v="40419.75"/>
    <n v="10.847845174698012"/>
    <x v="2"/>
    <s v="B2B"/>
    <x v="0"/>
    <n v="0.76"/>
    <n v="478886.94"/>
    <n v="11.847845174698012"/>
    <n v="404197.5"/>
    <n v="9"/>
    <x v="0"/>
    <n v="1"/>
  </r>
  <r>
    <x v="706"/>
    <x v="160"/>
    <d v="2024-04-02T00:00:00"/>
    <n v="75267.399999999994"/>
    <n v="10.230443326061483"/>
    <x v="3"/>
    <s v="B2B"/>
    <x v="3"/>
    <n v="0.49"/>
    <n v="845286.27"/>
    <n v="11.230443326061483"/>
    <n v="752674"/>
    <n v="9"/>
    <x v="0"/>
    <n v="1"/>
  </r>
  <r>
    <x v="707"/>
    <x v="73"/>
    <d v="2024-04-14T00:00:00"/>
    <n v="52485.67"/>
    <n v="10.308637195638353"/>
    <x v="0"/>
    <s v="B2C"/>
    <x v="2"/>
    <n v="0.65"/>
    <n v="593541.4"/>
    <n v="11.308637195638353"/>
    <n v="524856.69999999995"/>
    <n v="9"/>
    <x v="0"/>
    <n v="1"/>
  </r>
  <r>
    <x v="708"/>
    <x v="233"/>
    <d v="2024-01-22T00:00:00"/>
    <n v="33107.4"/>
    <n v="23.072311628216049"/>
    <x v="3"/>
    <s v="B2C"/>
    <x v="2"/>
    <n v="0.1"/>
    <n v="796971.65"/>
    <n v="24.072311628216049"/>
    <n v="331074"/>
    <n v="8.9999999999999982"/>
    <x v="0"/>
    <n v="0.99999999999999956"/>
  </r>
  <r>
    <x v="709"/>
    <x v="44"/>
    <d v="2023-12-23T00:00:00"/>
    <n v="53505.82"/>
    <n v="14.57975693111516"/>
    <x v="0"/>
    <s v="B2B"/>
    <x v="2"/>
    <n v="0.62"/>
    <n v="833607.67"/>
    <n v="15.579756931115158"/>
    <n v="535058.19999999995"/>
    <n v="8.9999999999999982"/>
    <x v="0"/>
    <n v="0.99999999999999956"/>
  </r>
  <r>
    <x v="710"/>
    <x v="124"/>
    <d v="2024-05-08T00:00:00"/>
    <n v="99714.19"/>
    <n v="-0.92355872318674004"/>
    <x v="0"/>
    <s v="B2C"/>
    <x v="3"/>
    <n v="0.7"/>
    <n v="7622.28"/>
    <n v="7.6441276813259976E-2"/>
    <n v="49857.095000000001"/>
    <n v="-0.5"/>
    <x v="1"/>
    <n v="-1"/>
  </r>
  <r>
    <x v="711"/>
    <x v="123"/>
    <d v="2024-05-11T00:00:00"/>
    <n v="91458.81"/>
    <n v="6.4337933108904446"/>
    <x v="1"/>
    <s v="B2B"/>
    <x v="1"/>
    <n v="0.84"/>
    <n v="679885.89"/>
    <n v="7.4337933108904437"/>
    <n v="679885.89"/>
    <n v="6.4337933108904446"/>
    <x v="0"/>
    <n v="0.45974596018746205"/>
  </r>
  <r>
    <x v="712"/>
    <x v="119"/>
    <d v="2024-07-28T00:00:00"/>
    <n v="82832.929999999993"/>
    <n v="10.763154339705238"/>
    <x v="3"/>
    <s v="B2B"/>
    <x v="0"/>
    <n v="0.99"/>
    <n v="974376.54"/>
    <n v="11.763154339705236"/>
    <n v="828329.29999999993"/>
    <n v="9"/>
    <x v="0"/>
    <n v="1"/>
  </r>
  <r>
    <x v="713"/>
    <x v="103"/>
    <d v="2024-03-23T00:00:00"/>
    <n v="84628.79"/>
    <n v="-0.67850515173382486"/>
    <x v="2"/>
    <s v="B2B"/>
    <x v="0"/>
    <n v="0.18"/>
    <n v="27207.72"/>
    <n v="0.32149484826617519"/>
    <n v="42314.394999999997"/>
    <n v="-0.5"/>
    <x v="1"/>
    <n v="-1"/>
  </r>
  <r>
    <x v="714"/>
    <x v="139"/>
    <d v="2024-03-22T00:00:00"/>
    <n v="64944.480000000003"/>
    <n v="12.568109714636254"/>
    <x v="0"/>
    <s v="B2B"/>
    <x v="3"/>
    <n v="0.98"/>
    <n v="881173.83"/>
    <n v="13.568109714636254"/>
    <n v="649444.80000000005"/>
    <n v="9"/>
    <x v="0"/>
    <n v="1"/>
  </r>
  <r>
    <x v="715"/>
    <x v="262"/>
    <d v="2024-06-04T00:00:00"/>
    <n v="78379.56"/>
    <n v="0.94665496973955965"/>
    <x v="2"/>
    <s v="B2B"/>
    <x v="1"/>
    <n v="0.28999999999999998"/>
    <n v="152577.96"/>
    <n v="1.9466549697395596"/>
    <n v="152577.96"/>
    <n v="0.94665496973955965"/>
    <x v="0"/>
    <n v="-0.69544105900219799"/>
  </r>
  <r>
    <x v="716"/>
    <x v="145"/>
    <d v="2024-05-13T00:00:00"/>
    <n v="24433.75"/>
    <n v="6.5673071059497623"/>
    <x v="3"/>
    <s v="B2B"/>
    <x v="3"/>
    <n v="0.23"/>
    <n v="184897.69"/>
    <n v="7.5673071059497623"/>
    <n v="184897.69"/>
    <n v="6.5673071059497623"/>
    <x v="0"/>
    <n v="0.48785412756837099"/>
  </r>
  <r>
    <x v="717"/>
    <x v="101"/>
    <d v="2024-01-18T00:00:00"/>
    <n v="74898.2"/>
    <n v="5.1746518607923822"/>
    <x v="2"/>
    <s v="B2B"/>
    <x v="3"/>
    <n v="0.79"/>
    <n v="462470.31"/>
    <n v="6.1746518607923822"/>
    <n v="462470.31"/>
    <n v="5.1746518607923822"/>
    <x v="0"/>
    <n v="0.19466354964050159"/>
  </r>
  <r>
    <x v="718"/>
    <x v="65"/>
    <d v="2024-07-02T00:00:00"/>
    <n v="3934.75"/>
    <n v="21.682541457525893"/>
    <x v="2"/>
    <s v="B2B"/>
    <x v="1"/>
    <n v="0.25"/>
    <n v="89250.13"/>
    <n v="22.682541457525893"/>
    <n v="39347.5"/>
    <n v="9"/>
    <x v="0"/>
    <n v="1"/>
  </r>
  <r>
    <x v="719"/>
    <x v="308"/>
    <d v="2024-06-02T00:00:00"/>
    <n v="64308.7"/>
    <n v="11.972497655838168"/>
    <x v="2"/>
    <s v="B2B"/>
    <x v="3"/>
    <n v="0.85"/>
    <n v="834244.46"/>
    <n v="12.972497655838168"/>
    <n v="643087"/>
    <n v="9.0000000000000018"/>
    <x v="0"/>
    <n v="1.0000000000000004"/>
  </r>
  <r>
    <x v="720"/>
    <x v="278"/>
    <d v="2024-01-23T00:00:00"/>
    <n v="76873.7"/>
    <n v="11.687142676884292"/>
    <x v="3"/>
    <s v="B2C"/>
    <x v="2"/>
    <n v="0.16"/>
    <n v="975307.6"/>
    <n v="12.687142676884292"/>
    <n v="768737"/>
    <n v="9.0000000000000018"/>
    <x v="0"/>
    <n v="1.0000000000000004"/>
  </r>
  <r>
    <x v="721"/>
    <x v="112"/>
    <d v="2024-05-16T00:00:00"/>
    <n v="76690.899999999994"/>
    <n v="8.5676785642103557"/>
    <x v="3"/>
    <s v="B2C"/>
    <x v="2"/>
    <n v="0.71"/>
    <n v="733753.88"/>
    <n v="9.5676785642103575"/>
    <n v="733753.88"/>
    <n v="8.5676785642103557"/>
    <x v="0"/>
    <n v="0.90898496088639069"/>
  </r>
  <r>
    <x v="722"/>
    <x v="216"/>
    <d v="2023-12-16T00:00:00"/>
    <n v="53478.93"/>
    <n v="17.420632761351058"/>
    <x v="1"/>
    <s v="B2C"/>
    <x v="3"/>
    <n v="0.45"/>
    <n v="985115.73"/>
    <n v="18.420632761351058"/>
    <n v="534789.30000000005"/>
    <n v="9.0000000000000018"/>
    <x v="0"/>
    <n v="1.0000000000000004"/>
  </r>
  <r>
    <x v="723"/>
    <x v="4"/>
    <d v="2023-09-23T00:00:00"/>
    <n v="41516.78"/>
    <n v="5.5588720994258223"/>
    <x v="3"/>
    <s v="B2B"/>
    <x v="0"/>
    <n v="0.23"/>
    <n v="272303.25"/>
    <n v="6.5588720994258223"/>
    <n v="272303.25"/>
    <n v="5.5588720994258223"/>
    <x v="0"/>
    <n v="0.27555202093175213"/>
  </r>
  <r>
    <x v="724"/>
    <x v="104"/>
    <d v="2024-06-22T00:00:00"/>
    <n v="69169.399999999994"/>
    <n v="2.1654308118908077"/>
    <x v="2"/>
    <s v="B2C"/>
    <x v="0"/>
    <n v="0.11"/>
    <n v="218950.95"/>
    <n v="3.1654308118908077"/>
    <n v="218950.95"/>
    <n v="2.1654308118908077"/>
    <x v="0"/>
    <n v="-0.43885667118088256"/>
  </r>
  <r>
    <x v="725"/>
    <x v="89"/>
    <d v="2024-06-20T00:00:00"/>
    <n v="95593.18"/>
    <n v="8.4584011118784836"/>
    <x v="3"/>
    <s v="B2B"/>
    <x v="0"/>
    <n v="0.76"/>
    <n v="904158.64"/>
    <n v="9.4584011118784836"/>
    <n v="904158.64"/>
    <n v="8.4584011118784836"/>
    <x v="0"/>
    <n v="0.88597918144810173"/>
  </r>
  <r>
    <x v="726"/>
    <x v="12"/>
    <d v="2023-08-05T00:00:00"/>
    <n v="2970.45"/>
    <n v="238.70886566008519"/>
    <x v="2"/>
    <s v="B2C"/>
    <x v="1"/>
    <n v="0.19"/>
    <n v="712043.2"/>
    <n v="239.70886566008517"/>
    <n v="29704.5"/>
    <n v="9"/>
    <x v="0"/>
    <n v="1"/>
  </r>
  <r>
    <x v="727"/>
    <x v="86"/>
    <d v="2023-08-18T00:00:00"/>
    <n v="4839.55"/>
    <n v="50.741027574877833"/>
    <x v="2"/>
    <s v="B2B"/>
    <x v="1"/>
    <n v="0"/>
    <n v="250403.29"/>
    <n v="51.741027574877826"/>
    <n v="48395.5"/>
    <n v="8.9999999999999982"/>
    <x v="0"/>
    <n v="0.99999999999999956"/>
  </r>
  <r>
    <x v="728"/>
    <x v="213"/>
    <d v="2024-06-06T00:00:00"/>
    <n v="70530.3"/>
    <n v="9.9190000609667042"/>
    <x v="0"/>
    <s v="B2C"/>
    <x v="1"/>
    <n v="0.81"/>
    <n v="770120.35"/>
    <n v="10.919000060966704"/>
    <n v="705303"/>
    <n v="8.9999999999999982"/>
    <x v="0"/>
    <n v="0.99999999999999956"/>
  </r>
  <r>
    <x v="729"/>
    <x v="275"/>
    <d v="2024-03-28T00:00:00"/>
    <n v="78889.490000000005"/>
    <n v="9.7167748200679203"/>
    <x v="1"/>
    <s v="B2C"/>
    <x v="2"/>
    <n v="0.12"/>
    <n v="845440.9"/>
    <n v="10.71677482006792"/>
    <n v="788894.9"/>
    <n v="9"/>
    <x v="0"/>
    <n v="1"/>
  </r>
  <r>
    <x v="730"/>
    <x v="84"/>
    <d v="2024-02-28T00:00:00"/>
    <n v="76029.539999999994"/>
    <n v="2.5181325574243911"/>
    <x v="1"/>
    <s v="B2B"/>
    <x v="0"/>
    <n v="0.26"/>
    <n v="267482"/>
    <n v="3.5181325574243907"/>
    <n v="267482"/>
    <n v="2.5181325574243911"/>
    <x v="0"/>
    <n v="-0.36460367212118083"/>
  </r>
  <r>
    <x v="731"/>
    <x v="272"/>
    <d v="2024-05-11T00:00:00"/>
    <n v="37369.74"/>
    <n v="16.927706748829401"/>
    <x v="2"/>
    <s v="B2C"/>
    <x v="0"/>
    <n v="0.24"/>
    <n v="669953.74"/>
    <n v="17.927706748829401"/>
    <n v="373697.39999999997"/>
    <n v="9"/>
    <x v="0"/>
    <n v="1"/>
  </r>
  <r>
    <x v="732"/>
    <x v="97"/>
    <d v="2024-05-02T00:00:00"/>
    <n v="43026.77"/>
    <n v="4.7708533547835454"/>
    <x v="1"/>
    <s v="B2C"/>
    <x v="3"/>
    <n v="0.92"/>
    <n v="248301.18"/>
    <n v="5.7708533547835454"/>
    <n v="248301.18"/>
    <n v="4.7708533547835454"/>
    <x v="0"/>
    <n v="0.10965333784916753"/>
  </r>
  <r>
    <x v="733"/>
    <x v="35"/>
    <d v="2024-02-01T00:00:00"/>
    <n v="86687.38"/>
    <n v="2.3980330239534289"/>
    <x v="0"/>
    <s v="B2B"/>
    <x v="3"/>
    <n v="0.46"/>
    <n v="294566.58"/>
    <n v="3.3980330239534289"/>
    <n v="294566.58"/>
    <n v="2.3980330239534289"/>
    <x v="0"/>
    <n v="-0.38988778443085703"/>
  </r>
  <r>
    <x v="734"/>
    <x v="157"/>
    <d v="2023-11-10T00:00:00"/>
    <n v="41458.15"/>
    <n v="21.308885225221093"/>
    <x v="0"/>
    <s v="B2B"/>
    <x v="2"/>
    <n v="0.21"/>
    <n v="924885.11"/>
    <n v="22.308885225221097"/>
    <n v="414581.5"/>
    <n v="9"/>
    <x v="0"/>
    <n v="1"/>
  </r>
  <r>
    <x v="735"/>
    <x v="167"/>
    <d v="2023-10-16T00:00:00"/>
    <n v="78294.27"/>
    <n v="7.2161808265151457"/>
    <x v="2"/>
    <s v="B2B"/>
    <x v="2"/>
    <n v="0.56999999999999995"/>
    <n v="643279.88"/>
    <n v="8.2161808265151457"/>
    <n v="643279.88"/>
    <n v="7.2161808265151457"/>
    <x v="0"/>
    <n v="0.62445912137160953"/>
  </r>
  <r>
    <x v="736"/>
    <x v="109"/>
    <d v="2024-06-22T00:00:00"/>
    <n v="61204.36"/>
    <n v="2.8503557589688056"/>
    <x v="3"/>
    <s v="B2B"/>
    <x v="1"/>
    <n v="0.8"/>
    <n v="235658.56"/>
    <n v="3.8503557589688056"/>
    <n v="235658.56"/>
    <n v="2.8503557589688056"/>
    <x v="0"/>
    <n v="-0.29466194548025149"/>
  </r>
  <r>
    <x v="737"/>
    <x v="184"/>
    <d v="2024-03-27T00:00:00"/>
    <n v="75087.14"/>
    <n v="5.1795095671509133"/>
    <x v="3"/>
    <s v="B2C"/>
    <x v="3"/>
    <n v="0.2"/>
    <n v="464001.7"/>
    <n v="6.1795095671509133"/>
    <n v="464001.7"/>
    <n v="5.1795095671509133"/>
    <x v="0"/>
    <n v="0.19568622466335017"/>
  </r>
  <r>
    <x v="738"/>
    <x v="143"/>
    <d v="2023-09-06T00:00:00"/>
    <n v="87595.32"/>
    <n v="1.2235425362907515"/>
    <x v="1"/>
    <s v="B2C"/>
    <x v="2"/>
    <n v="0.8"/>
    <n v="194771.92"/>
    <n v="2.2235425362907515"/>
    <n v="194771.92"/>
    <n v="1.2235425362907515"/>
    <x v="0"/>
    <n v="-0.63714893972826281"/>
  </r>
  <r>
    <x v="739"/>
    <x v="180"/>
    <d v="2023-11-21T00:00:00"/>
    <n v="31000.36"/>
    <n v="11.492867179606947"/>
    <x v="0"/>
    <s v="B2C"/>
    <x v="1"/>
    <n v="0.28000000000000003"/>
    <n v="387283.38"/>
    <n v="12.492867179606947"/>
    <n v="310003.59999999998"/>
    <n v="9"/>
    <x v="0"/>
    <n v="1"/>
  </r>
  <r>
    <x v="740"/>
    <x v="110"/>
    <d v="2024-01-14T00:00:00"/>
    <n v="25100.93"/>
    <n v="9.6697341492924771"/>
    <x v="2"/>
    <s v="B2B"/>
    <x v="2"/>
    <n v="0.17"/>
    <n v="267820.25"/>
    <n v="10.669734149292477"/>
    <n v="251009.3"/>
    <n v="9"/>
    <x v="0"/>
    <n v="1"/>
  </r>
  <r>
    <x v="741"/>
    <x v="57"/>
    <d v="2023-10-05T00:00:00"/>
    <n v="40413.870000000003"/>
    <n v="1.368145144228949"/>
    <x v="2"/>
    <s v="B2B"/>
    <x v="0"/>
    <n v="0.4"/>
    <n v="95705.91"/>
    <n v="2.368145144228949"/>
    <n v="95705.91"/>
    <n v="1.368145144228949"/>
    <x v="0"/>
    <n v="-0.60670628542548444"/>
  </r>
  <r>
    <x v="742"/>
    <x v="309"/>
    <d v="2023-11-26T00:00:00"/>
    <n v="2667.65"/>
    <n v="321.9708282570802"/>
    <x v="1"/>
    <s v="B2B"/>
    <x v="3"/>
    <n v="0.1"/>
    <n v="861573.13"/>
    <n v="322.9708282570802"/>
    <n v="26676.5"/>
    <n v="9"/>
    <x v="0"/>
    <n v="1"/>
  </r>
  <r>
    <x v="743"/>
    <x v="21"/>
    <d v="2023-08-13T00:00:00"/>
    <n v="15210.7"/>
    <n v="23.599116411473503"/>
    <x v="1"/>
    <s v="B2C"/>
    <x v="2"/>
    <n v="0.79"/>
    <n v="374169.78"/>
    <n v="24.599116411473503"/>
    <n v="152107"/>
    <n v="8.9999999999999982"/>
    <x v="0"/>
    <n v="0.99999999999999956"/>
  </r>
  <r>
    <x v="744"/>
    <x v="232"/>
    <d v="2024-03-12T00:00:00"/>
    <n v="55331.1"/>
    <n v="5.3928000708462331"/>
    <x v="2"/>
    <s v="B2C"/>
    <x v="2"/>
    <n v="0.22"/>
    <n v="353720.66"/>
    <n v="6.3928000708462323"/>
    <n v="353720.66"/>
    <n v="5.3928000708462331"/>
    <x v="0"/>
    <n v="0.24058948859920704"/>
  </r>
  <r>
    <x v="745"/>
    <x v="258"/>
    <d v="2023-12-28T00:00:00"/>
    <n v="86461.82"/>
    <n v="8.4753377849321225"/>
    <x v="3"/>
    <s v="B2C"/>
    <x v="0"/>
    <n v="0.52"/>
    <n v="819254.95"/>
    <n v="9.4753377849321225"/>
    <n v="819254.95"/>
    <n v="8.4753377849321225"/>
    <x v="0"/>
    <n v="0.88954479682781518"/>
  </r>
  <r>
    <x v="746"/>
    <x v="113"/>
    <d v="2024-03-15T00:00:00"/>
    <n v="82520.55"/>
    <n v="8.9683507926207469"/>
    <x v="2"/>
    <s v="B2B"/>
    <x v="2"/>
    <n v="0.43"/>
    <n v="822593.79"/>
    <n v="9.9683507926207469"/>
    <n v="822593.79"/>
    <n v="8.9683507926207469"/>
    <x v="0"/>
    <n v="0.99333700897278887"/>
  </r>
  <r>
    <x v="747"/>
    <x v="296"/>
    <d v="2024-03-05T00:00:00"/>
    <n v="14593.14"/>
    <n v="51.889789997217868"/>
    <x v="3"/>
    <s v="B2C"/>
    <x v="2"/>
    <n v="0.28000000000000003"/>
    <n v="771828.11"/>
    <n v="52.889789997217875"/>
    <n v="145931.4"/>
    <n v="9.0000000000000018"/>
    <x v="0"/>
    <n v="1.0000000000000004"/>
  </r>
  <r>
    <x v="748"/>
    <x v="197"/>
    <d v="2024-05-18T00:00:00"/>
    <n v="3083.5"/>
    <n v="159.25787903356576"/>
    <x v="3"/>
    <s v="B2C"/>
    <x v="2"/>
    <n v="0.13"/>
    <n v="494155.17"/>
    <n v="160.25787903356576"/>
    <n v="30835"/>
    <n v="9"/>
    <x v="0"/>
    <n v="1"/>
  </r>
  <r>
    <x v="749"/>
    <x v="65"/>
    <d v="2023-10-12T00:00:00"/>
    <n v="67207.89"/>
    <n v="8.9825834436998395"/>
    <x v="0"/>
    <s v="B2C"/>
    <x v="1"/>
    <n v="0.74"/>
    <n v="670908.37"/>
    <n v="9.9825834436998395"/>
    <n v="670908.37"/>
    <n v="8.9825834436998395"/>
    <x v="0"/>
    <n v="0.99633335656838717"/>
  </r>
  <r>
    <x v="750"/>
    <x v="292"/>
    <d v="2024-05-06T00:00:00"/>
    <n v="57934.37"/>
    <n v="12.908071840601702"/>
    <x v="3"/>
    <s v="B2B"/>
    <x v="1"/>
    <n v="0.28000000000000003"/>
    <n v="805755.38"/>
    <n v="13.908071840601702"/>
    <n v="579343.70000000007"/>
    <n v="9"/>
    <x v="0"/>
    <n v="1"/>
  </r>
  <r>
    <x v="751"/>
    <x v="310"/>
    <d v="2024-06-25T00:00:00"/>
    <n v="21399.83"/>
    <n v="8.563622234382235"/>
    <x v="3"/>
    <s v="B2B"/>
    <x v="1"/>
    <n v="0.89"/>
    <n v="204659.89"/>
    <n v="9.563622234382235"/>
    <n v="204659.89"/>
    <n v="8.563622234382235"/>
    <x v="0"/>
    <n v="0.90813099671204944"/>
  </r>
  <r>
    <x v="752"/>
    <x v="161"/>
    <d v="2024-04-22T00:00:00"/>
    <n v="43101.14"/>
    <n v="9.9200044360775603"/>
    <x v="2"/>
    <s v="B2C"/>
    <x v="2"/>
    <n v="0.81"/>
    <n v="470664.64"/>
    <n v="10.920004436077562"/>
    <n v="431011.4"/>
    <n v="9"/>
    <x v="0"/>
    <n v="1"/>
  </r>
  <r>
    <x v="753"/>
    <x v="260"/>
    <d v="2023-10-19T00:00:00"/>
    <n v="44514.720000000001"/>
    <n v="8.0344402930086947"/>
    <x v="1"/>
    <s v="B2C"/>
    <x v="2"/>
    <n v="0.97"/>
    <n v="402165.58"/>
    <n v="9.0344402930086947"/>
    <n v="402165.58"/>
    <n v="8.0344402930086947"/>
    <x v="0"/>
    <n v="0.79672427221235687"/>
  </r>
  <r>
    <x v="754"/>
    <x v="235"/>
    <d v="2024-06-14T00:00:00"/>
    <n v="23901.39"/>
    <n v="37.415771635038801"/>
    <x v="0"/>
    <s v="B2C"/>
    <x v="3"/>
    <n v="0.25"/>
    <n v="918190.34"/>
    <n v="38.415771635038801"/>
    <n v="239013.9"/>
    <n v="9"/>
    <x v="0"/>
    <n v="1"/>
  </r>
  <r>
    <x v="755"/>
    <x v="96"/>
    <d v="2023-11-20T00:00:00"/>
    <n v="67575.94"/>
    <n v="13.664093610832493"/>
    <x v="0"/>
    <s v="B2B"/>
    <x v="0"/>
    <n v="0.51"/>
    <n v="990939.91"/>
    <n v="14.664093610832495"/>
    <n v="675759.4"/>
    <n v="9"/>
    <x v="0"/>
    <n v="1"/>
  </r>
  <r>
    <x v="756"/>
    <x v="146"/>
    <d v="2023-11-06T00:00:00"/>
    <n v="86627.199999999997"/>
    <n v="4.152941685752281"/>
    <x v="2"/>
    <s v="B2B"/>
    <x v="1"/>
    <n v="0.21"/>
    <n v="446384.91"/>
    <n v="5.152941685752281"/>
    <n v="446384.91"/>
    <n v="4.152941685752281"/>
    <x v="0"/>
    <n v="-2.0433329315309279E-2"/>
  </r>
  <r>
    <x v="757"/>
    <x v="179"/>
    <d v="2023-11-01T00:00:00"/>
    <n v="44640.33"/>
    <n v="19.957312591551183"/>
    <x v="3"/>
    <s v="B2C"/>
    <x v="0"/>
    <n v="0.69"/>
    <n v="935541.35"/>
    <n v="20.95731259155118"/>
    <n v="446403.30000000005"/>
    <n v="9"/>
    <x v="0"/>
    <n v="1"/>
  </r>
  <r>
    <x v="758"/>
    <x v="35"/>
    <d v="2023-08-23T00:00:00"/>
    <n v="64755.7"/>
    <n v="14.388500162920021"/>
    <x v="2"/>
    <s v="B2B"/>
    <x v="3"/>
    <n v="0.2"/>
    <n v="996493.1"/>
    <n v="15.388500162920021"/>
    <n v="647557"/>
    <n v="9.0000000000000018"/>
    <x v="0"/>
    <n v="1.0000000000000004"/>
  </r>
  <r>
    <x v="759"/>
    <x v="311"/>
    <d v="2024-03-26T00:00:00"/>
    <n v="95256.19"/>
    <n v="-0.1122577965799388"/>
    <x v="1"/>
    <s v="B2C"/>
    <x v="3"/>
    <n v="0.65"/>
    <n v="84562.94"/>
    <n v="0.88774220342006116"/>
    <n v="84562.94"/>
    <n v="-0.1122577965799388"/>
    <x v="1"/>
    <n v="-0.91837006243788188"/>
  </r>
  <r>
    <x v="760"/>
    <x v="270"/>
    <d v="2024-06-05T00:00:00"/>
    <n v="82461.13"/>
    <n v="2.4664019277931306"/>
    <x v="3"/>
    <s v="B2B"/>
    <x v="0"/>
    <n v="0.8"/>
    <n v="285843.42"/>
    <n v="3.4664019277931306"/>
    <n v="285843.42"/>
    <n v="2.4664019277931306"/>
    <x v="0"/>
    <n v="-0.37549433099091989"/>
  </r>
  <r>
    <x v="761"/>
    <x v="222"/>
    <d v="2023-10-10T00:00:00"/>
    <n v="1407.21"/>
    <n v="78.630836904228929"/>
    <x v="2"/>
    <s v="B2B"/>
    <x v="1"/>
    <n v="0.56999999999999995"/>
    <n v="112057.31"/>
    <n v="79.630836904228929"/>
    <n v="14072.1"/>
    <n v="9"/>
    <x v="0"/>
    <n v="1"/>
  </r>
  <r>
    <x v="762"/>
    <x v="25"/>
    <d v="2023-11-02T00:00:00"/>
    <n v="26990.81"/>
    <n v="7.4629379407287137"/>
    <x v="0"/>
    <s v="B2C"/>
    <x v="3"/>
    <n v="0.75"/>
    <n v="228421.55"/>
    <n v="8.4629379407287146"/>
    <n v="228421.55"/>
    <n v="7.4629379407287137"/>
    <x v="0"/>
    <n v="0.67640798752183451"/>
  </r>
  <r>
    <x v="763"/>
    <x v="204"/>
    <d v="2024-02-25T00:00:00"/>
    <n v="43113.83"/>
    <n v="6.3744369266196008"/>
    <x v="2"/>
    <s v="B2B"/>
    <x v="0"/>
    <n v="0.33"/>
    <n v="317940.21999999997"/>
    <n v="7.3744369266196008"/>
    <n v="317940.21999999997"/>
    <n v="6.3744369266196008"/>
    <x v="0"/>
    <n v="0.44724987928833704"/>
  </r>
  <r>
    <x v="764"/>
    <x v="312"/>
    <d v="2024-02-13T00:00:00"/>
    <n v="99250.38"/>
    <n v="0.51011623330812417"/>
    <x v="2"/>
    <s v="B2B"/>
    <x v="3"/>
    <n v="0.37"/>
    <n v="149879.60999999999"/>
    <n v="1.5101162333081242"/>
    <n v="149879.60999999999"/>
    <n v="0.51011623330812417"/>
    <x v="0"/>
    <n v="-0.7873439508825002"/>
  </r>
  <r>
    <x v="765"/>
    <x v="132"/>
    <d v="2024-03-16T00:00:00"/>
    <n v="3884.46"/>
    <n v="163.23523475592489"/>
    <x v="1"/>
    <s v="B2B"/>
    <x v="0"/>
    <n v="0.86"/>
    <n v="637965.19999999995"/>
    <n v="164.23523475592486"/>
    <n v="38844.6"/>
    <n v="9"/>
    <x v="0"/>
    <n v="1"/>
  </r>
  <r>
    <x v="766"/>
    <x v="271"/>
    <d v="2024-05-24T00:00:00"/>
    <n v="1380.68"/>
    <n v="114.61068459020191"/>
    <x v="1"/>
    <s v="B2C"/>
    <x v="1"/>
    <n v="0.84"/>
    <n v="159621.35999999999"/>
    <n v="115.61068459020191"/>
    <n v="13806.800000000001"/>
    <n v="9"/>
    <x v="0"/>
    <n v="1"/>
  </r>
  <r>
    <x v="767"/>
    <x v="245"/>
    <d v="2024-06-28T00:00:00"/>
    <n v="36530.300000000003"/>
    <n v="11.787913321270286"/>
    <x v="1"/>
    <s v="B2C"/>
    <x v="3"/>
    <n v="0.13"/>
    <n v="467146.31"/>
    <n v="12.787913321270286"/>
    <n v="365303"/>
    <n v="9"/>
    <x v="0"/>
    <n v="1"/>
  </r>
  <r>
    <x v="768"/>
    <x v="309"/>
    <d v="2024-07-05T00:00:00"/>
    <n v="86154.71"/>
    <n v="10.22576119169805"/>
    <x v="3"/>
    <s v="B2B"/>
    <x v="2"/>
    <n v="0.8"/>
    <n v="967152.2"/>
    <n v="11.22576119169805"/>
    <n v="861547.10000000009"/>
    <n v="9"/>
    <x v="0"/>
    <n v="1"/>
  </r>
  <r>
    <x v="769"/>
    <x v="66"/>
    <d v="2023-11-03T00:00:00"/>
    <n v="88536.97"/>
    <n v="1.5917264844279173"/>
    <x v="0"/>
    <s v="B2B"/>
    <x v="2"/>
    <n v="0.92"/>
    <n v="229463.61"/>
    <n v="2.5917264844279173"/>
    <n v="229463.61"/>
    <n v="1.5917264844279173"/>
    <x v="0"/>
    <n v="-0.55963652959412269"/>
  </r>
  <r>
    <x v="770"/>
    <x v="249"/>
    <d v="2023-12-27T00:00:00"/>
    <n v="35256.99"/>
    <n v="15.740632992209488"/>
    <x v="0"/>
    <s v="B2B"/>
    <x v="0"/>
    <n v="0.7"/>
    <n v="590224.32999999996"/>
    <n v="16.740632992209488"/>
    <n v="352569.89999999997"/>
    <n v="9"/>
    <x v="0"/>
    <n v="1"/>
  </r>
  <r>
    <x v="771"/>
    <x v="134"/>
    <d v="2024-07-17T00:00:00"/>
    <n v="61599.99"/>
    <n v="5.4275253940787982"/>
    <x v="2"/>
    <s v="B2C"/>
    <x v="0"/>
    <n v="0.93"/>
    <n v="395935.5"/>
    <n v="6.4275253940787982"/>
    <n v="395935.5"/>
    <n v="5.4275253940787982"/>
    <x v="0"/>
    <n v="0.24790008296395749"/>
  </r>
  <r>
    <x v="772"/>
    <x v="131"/>
    <d v="2024-06-15T00:00:00"/>
    <n v="75404.87"/>
    <n v="0.75474501845835706"/>
    <x v="0"/>
    <s v="B2C"/>
    <x v="3"/>
    <n v="0.55000000000000004"/>
    <n v="132316.32"/>
    <n v="1.7547450184583571"/>
    <n v="132316.32"/>
    <n v="0.75474501845835706"/>
    <x v="0"/>
    <n v="-0.73584315400876688"/>
  </r>
  <r>
    <x v="773"/>
    <x v="93"/>
    <d v="2024-03-25T00:00:00"/>
    <n v="36063.47"/>
    <n v="19.283612198160629"/>
    <x v="1"/>
    <s v="B2C"/>
    <x v="1"/>
    <n v="0.67"/>
    <n v="731497.44"/>
    <n v="20.283612198160629"/>
    <n v="360634.7"/>
    <n v="9"/>
    <x v="0"/>
    <n v="1"/>
  </r>
  <r>
    <x v="774"/>
    <x v="187"/>
    <d v="2024-04-07T00:00:00"/>
    <n v="17378.68"/>
    <n v="41.976842890254034"/>
    <x v="1"/>
    <s v="B2B"/>
    <x v="3"/>
    <n v="0.88"/>
    <n v="746880.8"/>
    <n v="42.976842890254041"/>
    <n v="173786.8"/>
    <n v="9"/>
    <x v="0"/>
    <n v="1"/>
  </r>
  <r>
    <x v="775"/>
    <x v="185"/>
    <d v="2024-02-22T00:00:00"/>
    <n v="70575.100000000006"/>
    <n v="1.3963542382511678"/>
    <x v="3"/>
    <s v="B2B"/>
    <x v="2"/>
    <n v="0.62"/>
    <n v="169122.94"/>
    <n v="2.3963542382511678"/>
    <n v="169122.94"/>
    <n v="1.3963542382511678"/>
    <x v="0"/>
    <n v="-0.60076752878922779"/>
  </r>
  <r>
    <x v="776"/>
    <x v="91"/>
    <d v="2023-10-09T00:00:00"/>
    <n v="75677.679999999993"/>
    <n v="6.94939128683649"/>
    <x v="3"/>
    <s v="B2B"/>
    <x v="2"/>
    <n v="0.16"/>
    <n v="601591.49"/>
    <n v="7.9493912868364891"/>
    <n v="601591.49"/>
    <n v="6.94939128683649"/>
    <x v="0"/>
    <n v="0.56829290249189257"/>
  </r>
  <r>
    <x v="777"/>
    <x v="91"/>
    <d v="2023-10-04T00:00:00"/>
    <n v="20309.3"/>
    <n v="41.09420462546715"/>
    <x v="2"/>
    <s v="B2B"/>
    <x v="1"/>
    <n v="0.84"/>
    <n v="854903.83"/>
    <n v="42.09420462546715"/>
    <n v="203093"/>
    <n v="9.0000000000000018"/>
    <x v="0"/>
    <n v="1.0000000000000004"/>
  </r>
  <r>
    <x v="778"/>
    <x v="206"/>
    <d v="2024-04-26T00:00:00"/>
    <n v="76484.11"/>
    <n v="-0.68140820361248888"/>
    <x v="1"/>
    <s v="B2B"/>
    <x v="2"/>
    <n v="0.41"/>
    <n v="24367.21"/>
    <n v="0.31859179638751106"/>
    <n v="38242.055"/>
    <n v="-0.5"/>
    <x v="1"/>
    <n v="-1"/>
  </r>
  <r>
    <x v="779"/>
    <x v="38"/>
    <d v="2024-04-17T00:00:00"/>
    <n v="20983.45"/>
    <n v="33.056771407942932"/>
    <x v="2"/>
    <s v="B2C"/>
    <x v="1"/>
    <n v="0.94"/>
    <n v="714628.56"/>
    <n v="34.056771407942925"/>
    <n v="209834.5"/>
    <n v="9"/>
    <x v="0"/>
    <n v="1"/>
  </r>
  <r>
    <x v="780"/>
    <x v="313"/>
    <d v="2023-10-10T00:00:00"/>
    <n v="23498.46"/>
    <n v="27.077678281895921"/>
    <x v="1"/>
    <s v="B2C"/>
    <x v="0"/>
    <n v="0.32"/>
    <n v="659782.19999999995"/>
    <n v="28.077678281895921"/>
    <n v="234984.59999999998"/>
    <n v="9"/>
    <x v="0"/>
    <n v="1"/>
  </r>
  <r>
    <x v="781"/>
    <x v="191"/>
    <d v="2023-11-03T00:00:00"/>
    <n v="40761.620000000003"/>
    <n v="12.481276504712032"/>
    <x v="0"/>
    <s v="B2B"/>
    <x v="3"/>
    <n v="0.74"/>
    <n v="549518.67000000004"/>
    <n v="13.481276504712032"/>
    <n v="407616.2"/>
    <n v="9"/>
    <x v="0"/>
    <n v="1"/>
  </r>
  <r>
    <x v="782"/>
    <x v="314"/>
    <d v="2023-08-16T00:00:00"/>
    <n v="50624.24"/>
    <n v="-0.72188026921490578"/>
    <x v="2"/>
    <s v="B2C"/>
    <x v="3"/>
    <n v="0.57999999999999996"/>
    <n v="14079.6"/>
    <n v="0.27811973078509428"/>
    <n v="25312.12"/>
    <n v="-0.5"/>
    <x v="1"/>
    <n v="-1"/>
  </r>
  <r>
    <x v="783"/>
    <x v="174"/>
    <d v="2024-05-04T00:00:00"/>
    <n v="29528.87"/>
    <n v="17.641775320220518"/>
    <x v="1"/>
    <s v="B2C"/>
    <x v="1"/>
    <n v="0.78"/>
    <n v="550470.56000000006"/>
    <n v="18.641775320220518"/>
    <n v="295288.7"/>
    <n v="9"/>
    <x v="0"/>
    <n v="1"/>
  </r>
  <r>
    <x v="784"/>
    <x v="53"/>
    <d v="2024-02-23T00:00:00"/>
    <n v="71620.59"/>
    <n v="11.178668452745224"/>
    <x v="0"/>
    <s v="B2C"/>
    <x v="3"/>
    <n v="0.38"/>
    <n v="872243.42"/>
    <n v="12.178668452745224"/>
    <n v="716205.89999999991"/>
    <n v="9"/>
    <x v="0"/>
    <n v="1"/>
  </r>
  <r>
    <x v="785"/>
    <x v="133"/>
    <d v="2023-09-19T00:00:00"/>
    <n v="65007.53"/>
    <n v="5.6013535662714773"/>
    <x v="0"/>
    <s v="B2B"/>
    <x v="1"/>
    <n v="0.99"/>
    <n v="429137.69"/>
    <n v="6.6013535662714764"/>
    <n v="429137.69"/>
    <n v="5.6013535662714773"/>
    <x v="0"/>
    <n v="0.28449548763610055"/>
  </r>
  <r>
    <x v="786"/>
    <x v="41"/>
    <d v="2024-04-26T00:00:00"/>
    <n v="88865.19"/>
    <n v="3.2691399185665388"/>
    <x v="0"/>
    <s v="B2B"/>
    <x v="3"/>
    <n v="0.4"/>
    <n v="379377.93"/>
    <n v="4.2691399185665384"/>
    <n v="379377.93"/>
    <n v="3.2691399185665388"/>
    <x v="0"/>
    <n v="-0.20649685924914973"/>
  </r>
  <r>
    <x v="787"/>
    <x v="25"/>
    <d v="2024-05-05T00:00:00"/>
    <n v="29838.85"/>
    <n v="23.23829403613075"/>
    <x v="2"/>
    <s v="B2C"/>
    <x v="2"/>
    <n v="0.4"/>
    <n v="723242.82"/>
    <n v="24.23829403613075"/>
    <n v="298388.5"/>
    <n v="9.0000000000000018"/>
    <x v="0"/>
    <n v="1.0000000000000004"/>
  </r>
  <r>
    <x v="788"/>
    <x v="92"/>
    <d v="2024-06-08T00:00:00"/>
    <n v="82727.289999999994"/>
    <n v="8.7186999598318771"/>
    <x v="1"/>
    <s v="B2B"/>
    <x v="0"/>
    <n v="0.21"/>
    <n v="804001.71"/>
    <n v="9.7186999598318771"/>
    <n v="804001.71"/>
    <n v="8.7186999598318771"/>
    <x v="0"/>
    <n v="0.94077893891197406"/>
  </r>
  <r>
    <x v="789"/>
    <x v="156"/>
    <d v="2023-11-09T00:00:00"/>
    <n v="40776.29"/>
    <n v="19.438098218351886"/>
    <x v="0"/>
    <s v="B2C"/>
    <x v="1"/>
    <n v="0.2"/>
    <n v="833389.82"/>
    <n v="20.43809821835189"/>
    <n v="407762.9"/>
    <n v="9.0000000000000018"/>
    <x v="0"/>
    <n v="1.0000000000000004"/>
  </r>
  <r>
    <x v="790"/>
    <x v="23"/>
    <d v="2024-01-03T00:00:00"/>
    <n v="28192.89"/>
    <n v="30.650965190159649"/>
    <x v="3"/>
    <s v="B2C"/>
    <x v="0"/>
    <n v="0.1"/>
    <n v="892332.18"/>
    <n v="31.650965190159649"/>
    <n v="281928.90000000002"/>
    <n v="9"/>
    <x v="0"/>
    <n v="1"/>
  </r>
  <r>
    <x v="791"/>
    <x v="315"/>
    <d v="2024-05-04T00:00:00"/>
    <n v="11711.34"/>
    <n v="82.299548984146995"/>
    <x v="3"/>
    <s v="B2B"/>
    <x v="0"/>
    <n v="0.26"/>
    <n v="975549.34"/>
    <n v="83.299548984146981"/>
    <n v="117113.4"/>
    <n v="9"/>
    <x v="0"/>
    <n v="1"/>
  </r>
  <r>
    <x v="792"/>
    <x v="67"/>
    <d v="2023-12-07T00:00:00"/>
    <n v="46790.73"/>
    <n v="16.284596542947718"/>
    <x v="3"/>
    <s v="B2C"/>
    <x v="1"/>
    <n v="0.79"/>
    <n v="808758.89"/>
    <n v="17.284596542947714"/>
    <n v="467907.30000000005"/>
    <n v="9"/>
    <x v="0"/>
    <n v="1"/>
  </r>
  <r>
    <x v="793"/>
    <x v="138"/>
    <d v="2024-07-09T00:00:00"/>
    <n v="43946.75"/>
    <n v="15.817386041061056"/>
    <x v="0"/>
    <s v="B2B"/>
    <x v="2"/>
    <n v="0"/>
    <n v="739069.46"/>
    <n v="16.817386041061056"/>
    <n v="439467.5"/>
    <n v="9"/>
    <x v="0"/>
    <n v="1"/>
  </r>
  <r>
    <x v="794"/>
    <x v="102"/>
    <d v="2023-11-24T00:00:00"/>
    <n v="49546.42"/>
    <n v="15.90871671454769"/>
    <x v="3"/>
    <s v="B2C"/>
    <x v="0"/>
    <n v="0.26"/>
    <n v="837766.38"/>
    <n v="16.90871671454769"/>
    <n v="495464.19999999995"/>
    <n v="9"/>
    <x v="0"/>
    <n v="1"/>
  </r>
  <r>
    <x v="795"/>
    <x v="293"/>
    <d v="2024-01-05T00:00:00"/>
    <n v="9472.4500000000007"/>
    <n v="72.384910978680281"/>
    <x v="1"/>
    <s v="B2B"/>
    <x v="2"/>
    <n v="0.77"/>
    <n v="695134.9"/>
    <n v="73.384910978680281"/>
    <n v="94724.5"/>
    <n v="9"/>
    <x v="0"/>
    <n v="1"/>
  </r>
  <r>
    <x v="796"/>
    <x v="168"/>
    <d v="2023-11-17T00:00:00"/>
    <n v="41792.480000000003"/>
    <n v="17.194673778631945"/>
    <x v="1"/>
    <s v="B2C"/>
    <x v="1"/>
    <n v="0.28000000000000003"/>
    <n v="760400.54"/>
    <n v="18.194673778631945"/>
    <n v="417924.80000000005"/>
    <n v="9"/>
    <x v="0"/>
    <n v="1"/>
  </r>
  <r>
    <x v="797"/>
    <x v="163"/>
    <d v="2023-10-23T00:00:00"/>
    <n v="92997.45"/>
    <n v="7.376798826204376"/>
    <x v="1"/>
    <s v="B2B"/>
    <x v="3"/>
    <n v="0.51"/>
    <n v="779020.93"/>
    <n v="8.3767988262043751"/>
    <n v="779020.93"/>
    <n v="7.376798826204376"/>
    <x v="0"/>
    <n v="0.658273437095658"/>
  </r>
  <r>
    <x v="798"/>
    <x v="173"/>
    <d v="2024-02-06T00:00:00"/>
    <n v="92913.24"/>
    <n v="2.5808284158425643"/>
    <x v="1"/>
    <s v="B2C"/>
    <x v="2"/>
    <n v="0.63"/>
    <n v="332706.37"/>
    <n v="3.5808284158425643"/>
    <n v="332706.37"/>
    <n v="2.5808284158425643"/>
    <x v="0"/>
    <n v="-0.35140454403314436"/>
  </r>
  <r>
    <x v="799"/>
    <x v="178"/>
    <d v="2024-02-05T00:00:00"/>
    <n v="15036.97"/>
    <n v="26.162834001796906"/>
    <x v="3"/>
    <s v="B2B"/>
    <x v="3"/>
    <n v="0.66"/>
    <n v="408446.71999999997"/>
    <n v="27.162834001796902"/>
    <n v="150369.69999999998"/>
    <n v="9"/>
    <x v="0"/>
    <n v="1"/>
  </r>
  <r>
    <x v="800"/>
    <x v="194"/>
    <d v="2024-07-31T00:00:00"/>
    <n v="95291.59"/>
    <n v="7.446123104882604"/>
    <x v="3"/>
    <s v="B2B"/>
    <x v="0"/>
    <n v="0.27"/>
    <n v="804844.5"/>
    <n v="8.446123104882604"/>
    <n v="804844.5"/>
    <n v="7.446123104882604"/>
    <x v="0"/>
    <n v="0.6728680220805483"/>
  </r>
  <r>
    <x v="801"/>
    <x v="83"/>
    <d v="2024-02-07T00:00:00"/>
    <n v="29617.85"/>
    <n v="15.968063178117252"/>
    <x v="1"/>
    <s v="B2B"/>
    <x v="2"/>
    <n v="0.7"/>
    <n v="502557.55"/>
    <n v="16.968063178117252"/>
    <n v="296178.5"/>
    <n v="9.0000000000000018"/>
    <x v="0"/>
    <n v="1.0000000000000004"/>
  </r>
  <r>
    <x v="802"/>
    <x v="310"/>
    <d v="2024-03-11T00:00:00"/>
    <n v="8752.77"/>
    <n v="99.227001280737412"/>
    <x v="0"/>
    <s v="B2C"/>
    <x v="2"/>
    <n v="0.2"/>
    <n v="877263.89"/>
    <n v="100.22700128073741"/>
    <n v="87527.700000000012"/>
    <n v="9"/>
    <x v="0"/>
    <n v="1"/>
  </r>
  <r>
    <x v="803"/>
    <x v="261"/>
    <d v="2023-12-20T00:00:00"/>
    <n v="41771.199999999997"/>
    <n v="20.267888401578123"/>
    <x v="2"/>
    <s v="B2C"/>
    <x v="0"/>
    <n v="0.7"/>
    <n v="888385.22"/>
    <n v="21.267888401578123"/>
    <n v="417712"/>
    <n v="9"/>
    <x v="0"/>
    <n v="1"/>
  </r>
  <r>
    <x v="804"/>
    <x v="203"/>
    <d v="2023-12-17T00:00:00"/>
    <n v="53289.5"/>
    <n v="14.837722815939349"/>
    <x v="2"/>
    <s v="B2C"/>
    <x v="3"/>
    <n v="0.1"/>
    <n v="843984.33"/>
    <n v="15.837722815939349"/>
    <n v="532895"/>
    <n v="9"/>
    <x v="0"/>
    <n v="1"/>
  </r>
  <r>
    <x v="805"/>
    <x v="307"/>
    <d v="2024-07-07T00:00:00"/>
    <n v="85490.69"/>
    <n v="1.1154034433457021"/>
    <x v="1"/>
    <s v="B2C"/>
    <x v="3"/>
    <n v="0.59"/>
    <n v="180847.3"/>
    <n v="2.1154034433457021"/>
    <n v="180847.3"/>
    <n v="1.1154034433457021"/>
    <x v="0"/>
    <n v="-0.65991506455879956"/>
  </r>
  <r>
    <x v="806"/>
    <x v="316"/>
    <d v="2023-08-28T00:00:00"/>
    <n v="95518.8"/>
    <n v="3.1521639719091947"/>
    <x v="2"/>
    <s v="B2C"/>
    <x v="3"/>
    <n v="0.46"/>
    <n v="396609.72"/>
    <n v="4.1521639719091947"/>
    <n v="396609.72"/>
    <n v="3.1521639719091947"/>
    <x v="0"/>
    <n v="-0.23112337433490637"/>
  </r>
  <r>
    <x v="807"/>
    <x v="8"/>
    <d v="2024-04-07T00:00:00"/>
    <n v="20179.61"/>
    <n v="15.231175924609047"/>
    <x v="2"/>
    <s v="B2B"/>
    <x v="1"/>
    <n v="0.46"/>
    <n v="327538.8"/>
    <n v="16.231175924609047"/>
    <n v="201796.1"/>
    <n v="9"/>
    <x v="0"/>
    <n v="1"/>
  </r>
  <r>
    <x v="808"/>
    <x v="317"/>
    <d v="2024-03-17T00:00:00"/>
    <n v="15550.45"/>
    <n v="54.34797899739236"/>
    <x v="2"/>
    <s v="B2C"/>
    <x v="2"/>
    <n v="0.23"/>
    <n v="860685.98"/>
    <n v="55.347978997392353"/>
    <n v="155504.5"/>
    <n v="8.9999999999999982"/>
    <x v="0"/>
    <n v="0.99999999999999956"/>
  </r>
  <r>
    <x v="809"/>
    <x v="48"/>
    <d v="2024-06-03T00:00:00"/>
    <n v="26004.11"/>
    <n v="15.08560031471948"/>
    <x v="0"/>
    <s v="B2B"/>
    <x v="0"/>
    <n v="0.88"/>
    <n v="418291.72"/>
    <n v="16.085600314719478"/>
    <n v="260041.1"/>
    <n v="9"/>
    <x v="0"/>
    <n v="1"/>
  </r>
  <r>
    <x v="810"/>
    <x v="313"/>
    <d v="2023-11-05T00:00:00"/>
    <n v="66562.100000000006"/>
    <n v="10.453698125509861"/>
    <x v="0"/>
    <s v="B2B"/>
    <x v="1"/>
    <n v="0.6"/>
    <n v="762382.2"/>
    <n v="11.453698125509861"/>
    <n v="665621"/>
    <n v="9"/>
    <x v="0"/>
    <n v="1"/>
  </r>
  <r>
    <x v="811"/>
    <x v="138"/>
    <d v="2023-10-20T00:00:00"/>
    <n v="8494.1200000000008"/>
    <n v="23.590095265901589"/>
    <x v="1"/>
    <s v="B2C"/>
    <x v="2"/>
    <n v="0.93"/>
    <n v="208871.22"/>
    <n v="24.590095265901585"/>
    <n v="84941.200000000012"/>
    <n v="9.0000000000000018"/>
    <x v="0"/>
    <n v="1.0000000000000004"/>
  </r>
  <r>
    <x v="812"/>
    <x v="178"/>
    <d v="2024-03-03T00:00:00"/>
    <n v="24132.55"/>
    <n v="0.3899571325864859"/>
    <x v="3"/>
    <s v="B2C"/>
    <x v="2"/>
    <n v="0.65"/>
    <n v="33543.21"/>
    <n v="1.3899571325864859"/>
    <n v="33543.21"/>
    <n v="0.3899571325864859"/>
    <x v="1"/>
    <n v="-0.81264060366600299"/>
  </r>
  <r>
    <x v="813"/>
    <x v="44"/>
    <d v="2024-04-18T00:00:00"/>
    <n v="99324.9"/>
    <n v="4.1704119510817534"/>
    <x v="0"/>
    <s v="B2B"/>
    <x v="0"/>
    <n v="0.85"/>
    <n v="513550.65"/>
    <n v="5.1704119510817534"/>
    <n v="513550.65"/>
    <n v="4.1704119510817534"/>
    <x v="0"/>
    <n v="-1.6755378719630842E-2"/>
  </r>
  <r>
    <x v="814"/>
    <x v="204"/>
    <d v="2024-06-23T00:00:00"/>
    <n v="5702.93"/>
    <n v="165.90028985100639"/>
    <x v="3"/>
    <s v="B2C"/>
    <x v="0"/>
    <n v="0.88"/>
    <n v="951820.67"/>
    <n v="166.90028985100642"/>
    <n v="57029.3"/>
    <n v="9"/>
    <x v="0"/>
    <n v="1"/>
  </r>
  <r>
    <x v="815"/>
    <x v="77"/>
    <d v="2023-08-17T00:00:00"/>
    <n v="11068.74"/>
    <n v="66.494665156106294"/>
    <x v="1"/>
    <s v="B2C"/>
    <x v="1"/>
    <n v="0.86"/>
    <n v="747080.9"/>
    <n v="67.494665156106294"/>
    <n v="110687.4"/>
    <n v="9"/>
    <x v="0"/>
    <n v="1"/>
  </r>
  <r>
    <x v="816"/>
    <x v="280"/>
    <d v="2023-12-19T00:00:00"/>
    <n v="47307.68"/>
    <n v="15.434215332478784"/>
    <x v="1"/>
    <s v="B2B"/>
    <x v="3"/>
    <n v="0.85"/>
    <n v="777464.6"/>
    <n v="16.434215332478786"/>
    <n v="473076.8"/>
    <n v="9"/>
    <x v="0"/>
    <n v="1"/>
  </r>
  <r>
    <x v="817"/>
    <x v="4"/>
    <d v="2023-10-09T00:00:00"/>
    <n v="5211.43"/>
    <n v="83.324198924287572"/>
    <x v="3"/>
    <s v="B2C"/>
    <x v="0"/>
    <n v="0.89"/>
    <n v="439449.66"/>
    <n v="84.324198924287572"/>
    <n v="52114.3"/>
    <n v="9"/>
    <x v="0"/>
    <n v="1"/>
  </r>
  <r>
    <x v="818"/>
    <x v="134"/>
    <d v="2023-10-29T00:00:00"/>
    <n v="66488.960000000006"/>
    <n v="6.3472612596136253"/>
    <x v="2"/>
    <s v="B2C"/>
    <x v="1"/>
    <n v="0.53"/>
    <n v="488511.76"/>
    <n v="7.3472612596136253"/>
    <n v="488511.76"/>
    <n v="6.3472612596136253"/>
    <x v="0"/>
    <n v="0.44152868623444741"/>
  </r>
  <r>
    <x v="819"/>
    <x v="160"/>
    <d v="2023-09-12T00:00:00"/>
    <n v="41529.519999999997"/>
    <n v="21.318427229594757"/>
    <x v="1"/>
    <s v="B2C"/>
    <x v="2"/>
    <n v="0.79"/>
    <n v="926873.57"/>
    <n v="22.318427229594757"/>
    <n v="415295.19999999995"/>
    <n v="9"/>
    <x v="0"/>
    <n v="1"/>
  </r>
  <r>
    <x v="820"/>
    <x v="197"/>
    <d v="2024-05-27T00:00:00"/>
    <n v="59471.38"/>
    <n v="3.1631771450401862"/>
    <x v="0"/>
    <s v="B2B"/>
    <x v="2"/>
    <n v="0.16"/>
    <n v="247589.89"/>
    <n v="4.1631771450401862"/>
    <n v="247589.89"/>
    <n v="3.1631771450401862"/>
    <x v="0"/>
    <n v="-0.22880481157048715"/>
  </r>
  <r>
    <x v="821"/>
    <x v="219"/>
    <d v="2024-05-16T00:00:00"/>
    <n v="37054.160000000003"/>
    <n v="-0.8388315913786738"/>
    <x v="0"/>
    <s v="B2B"/>
    <x v="3"/>
    <n v="0.6"/>
    <n v="5971.96"/>
    <n v="0.16116840862132617"/>
    <n v="18527.080000000002"/>
    <n v="-0.5"/>
    <x v="1"/>
    <n v="-1"/>
  </r>
  <r>
    <x v="822"/>
    <x v="74"/>
    <d v="2023-08-21T00:00:00"/>
    <n v="46184.9"/>
    <n v="17.846409973822613"/>
    <x v="1"/>
    <s v="B2C"/>
    <x v="3"/>
    <n v="0.2"/>
    <n v="870419.56"/>
    <n v="18.846409973822613"/>
    <n v="461849"/>
    <n v="9"/>
    <x v="0"/>
    <n v="1"/>
  </r>
  <r>
    <x v="823"/>
    <x v="195"/>
    <d v="2024-07-25T00:00:00"/>
    <n v="35711.19"/>
    <n v="17.754561245368748"/>
    <x v="2"/>
    <s v="B2C"/>
    <x v="1"/>
    <n v="0.39"/>
    <n v="669747.69999999995"/>
    <n v="18.754561245368745"/>
    <n v="357111.9"/>
    <n v="9"/>
    <x v="0"/>
    <n v="1"/>
  </r>
  <r>
    <x v="824"/>
    <x v="119"/>
    <d v="2024-07-30T00:00:00"/>
    <n v="16505.53"/>
    <n v="23.306409427628196"/>
    <x v="1"/>
    <s v="B2C"/>
    <x v="2"/>
    <n v="0.28999999999999998"/>
    <n v="401190.17"/>
    <n v="24.306409427628196"/>
    <n v="165055.29999999999"/>
    <n v="9"/>
    <x v="0"/>
    <n v="1"/>
  </r>
  <r>
    <x v="825"/>
    <x v="160"/>
    <d v="2024-01-06T00:00:00"/>
    <n v="9929.7999999999993"/>
    <n v="96.699097665612598"/>
    <x v="0"/>
    <s v="B2C"/>
    <x v="1"/>
    <n v="0.65"/>
    <n v="970132.5"/>
    <n v="97.699097665612612"/>
    <n v="99298"/>
    <n v="9"/>
    <x v="0"/>
    <n v="1"/>
  </r>
  <r>
    <x v="826"/>
    <x v="111"/>
    <d v="2023-12-27T00:00:00"/>
    <n v="11092.23"/>
    <n v="8.4026863849739861"/>
    <x v="3"/>
    <s v="B2C"/>
    <x v="2"/>
    <n v="0.83"/>
    <n v="104296.76"/>
    <n v="9.4026863849739861"/>
    <n v="104296.76"/>
    <n v="8.4026863849739861"/>
    <x v="0"/>
    <n v="0.87424976525768128"/>
  </r>
  <r>
    <x v="827"/>
    <x v="170"/>
    <d v="2024-02-12T00:00:00"/>
    <n v="56406.79"/>
    <n v="1.6565406398768656"/>
    <x v="1"/>
    <s v="B2C"/>
    <x v="3"/>
    <n v="0.7"/>
    <n v="149846.93"/>
    <n v="2.6565406398768658"/>
    <n v="149846.93"/>
    <n v="1.6565406398768656"/>
    <x v="0"/>
    <n v="-0.5459914442364493"/>
  </r>
  <r>
    <x v="828"/>
    <x v="91"/>
    <d v="2023-10-26T00:00:00"/>
    <n v="94020.1"/>
    <n v="1.6966923030288203"/>
    <x v="3"/>
    <s v="B2B"/>
    <x v="3"/>
    <n v="0.47"/>
    <n v="253543.28"/>
    <n v="2.6966923030288203"/>
    <n v="253543.28"/>
    <n v="1.6966923030288203"/>
    <x v="0"/>
    <n v="-0.53753846252024839"/>
  </r>
  <r>
    <x v="829"/>
    <x v="97"/>
    <d v="2024-05-22T00:00:00"/>
    <n v="45583.71"/>
    <n v="20.042580781599394"/>
    <x v="3"/>
    <s v="B2C"/>
    <x v="0"/>
    <n v="0"/>
    <n v="959198.9"/>
    <n v="21.042580781599394"/>
    <n v="455837.1"/>
    <n v="9"/>
    <x v="0"/>
    <n v="1"/>
  </r>
  <r>
    <x v="830"/>
    <x v="3"/>
    <d v="2023-11-22T00:00:00"/>
    <n v="94235.4"/>
    <n v="0.4670220532835857"/>
    <x v="3"/>
    <s v="B2B"/>
    <x v="1"/>
    <n v="0.16"/>
    <n v="138245.41"/>
    <n v="1.4670220532835856"/>
    <n v="138245.41"/>
    <n v="0.4670220532835857"/>
    <x v="1"/>
    <n v="-0.79641640983503459"/>
  </r>
  <r>
    <x v="831"/>
    <x v="318"/>
    <d v="2023-10-25T00:00:00"/>
    <n v="20557.580000000002"/>
    <n v="40.402276921699929"/>
    <x v="2"/>
    <s v="B2B"/>
    <x v="1"/>
    <n v="0.8"/>
    <n v="851130.62"/>
    <n v="41.402276921699922"/>
    <n v="205575.80000000002"/>
    <n v="9"/>
    <x v="0"/>
    <n v="1"/>
  </r>
  <r>
    <x v="832"/>
    <x v="65"/>
    <d v="2023-10-22T00:00:00"/>
    <n v="35179.9"/>
    <n v="2.3968078362928829"/>
    <x v="2"/>
    <s v="B2B"/>
    <x v="3"/>
    <n v="0.53"/>
    <n v="119499.36"/>
    <n v="3.3968078362928829"/>
    <n v="119499.36"/>
    <n v="2.3968078362928829"/>
    <x v="0"/>
    <n v="-0.39014571867518255"/>
  </r>
  <r>
    <x v="833"/>
    <x v="62"/>
    <d v="2023-09-06T00:00:00"/>
    <n v="24546.35"/>
    <n v="15.935745640390529"/>
    <x v="2"/>
    <s v="B2C"/>
    <x v="1"/>
    <n v="0.14000000000000001"/>
    <n v="415710.74"/>
    <n v="16.935745640390529"/>
    <n v="245463.5"/>
    <n v="9"/>
    <x v="0"/>
    <n v="1"/>
  </r>
  <r>
    <x v="834"/>
    <x v="218"/>
    <d v="2023-12-07T00:00:00"/>
    <n v="11545.73"/>
    <n v="1.6015384042412217"/>
    <x v="3"/>
    <s v="B2C"/>
    <x v="1"/>
    <n v="0.5"/>
    <n v="30036.66"/>
    <n v="2.6015384042412215"/>
    <n v="30036.66"/>
    <n v="1.6015384042412217"/>
    <x v="0"/>
    <n v="-0.55757086226500596"/>
  </r>
  <r>
    <x v="835"/>
    <x v="319"/>
    <d v="2024-04-02T00:00:00"/>
    <n v="1378.61"/>
    <n v="624.89346515693353"/>
    <x v="0"/>
    <s v="B2B"/>
    <x v="0"/>
    <n v="0.66"/>
    <n v="862862.99"/>
    <n v="625.89346515693342"/>
    <n v="13786.099999999999"/>
    <n v="9"/>
    <x v="0"/>
    <n v="1"/>
  </r>
  <r>
    <x v="836"/>
    <x v="122"/>
    <d v="2023-10-31T00:00:00"/>
    <n v="41687.29"/>
    <n v="6.3534540144010325"/>
    <x v="3"/>
    <s v="B2B"/>
    <x v="0"/>
    <n v="0.97"/>
    <n v="306545.57"/>
    <n v="7.3534540144010316"/>
    <n v="306545.57"/>
    <n v="6.3534540144010325"/>
    <x v="0"/>
    <n v="0.44283242408442791"/>
  </r>
  <r>
    <x v="837"/>
    <x v="167"/>
    <d v="2023-11-30T00:00:00"/>
    <n v="78922.22"/>
    <n v="9.394970516541477"/>
    <x v="1"/>
    <s v="B2C"/>
    <x v="0"/>
    <n v="0.5"/>
    <n v="820394.15"/>
    <n v="10.394970516541475"/>
    <n v="789222.2"/>
    <n v="9"/>
    <x v="0"/>
    <n v="1"/>
  </r>
  <r>
    <x v="838"/>
    <x v="265"/>
    <d v="2023-12-05T00:00:00"/>
    <n v="29965.35"/>
    <n v="25.700418650207659"/>
    <x v="0"/>
    <s v="B2B"/>
    <x v="0"/>
    <n v="0.69"/>
    <n v="800087.39"/>
    <n v="26.700418650207659"/>
    <n v="299653.5"/>
    <n v="9.0000000000000018"/>
    <x v="0"/>
    <n v="1.0000000000000004"/>
  </r>
  <r>
    <x v="839"/>
    <x v="88"/>
    <d v="2023-11-10T00:00:00"/>
    <n v="44016.46"/>
    <n v="10.728505654475621"/>
    <x v="2"/>
    <s v="B2C"/>
    <x v="0"/>
    <n v="0.46"/>
    <n v="516247.3"/>
    <n v="11.728505654475621"/>
    <n v="440164.6"/>
    <n v="9"/>
    <x v="0"/>
    <n v="1"/>
  </r>
  <r>
    <x v="840"/>
    <x v="87"/>
    <d v="2024-03-09T00:00:00"/>
    <n v="79189.2"/>
    <n v="-0.87906949432498371"/>
    <x v="2"/>
    <s v="B2B"/>
    <x v="3"/>
    <n v="0.15"/>
    <n v="9576.39"/>
    <n v="0.12093050567501629"/>
    <n v="39594.6"/>
    <n v="-0.5"/>
    <x v="1"/>
    <n v="-1"/>
  </r>
  <r>
    <x v="841"/>
    <x v="223"/>
    <d v="2023-09-08T00:00:00"/>
    <n v="65347.8"/>
    <n v="12.287353667606252"/>
    <x v="1"/>
    <s v="B2B"/>
    <x v="1"/>
    <n v="0.8"/>
    <n v="868299.33"/>
    <n v="13.287353667606252"/>
    <n v="653478"/>
    <n v="8.9999999999999982"/>
    <x v="0"/>
    <n v="0.99999999999999956"/>
  </r>
  <r>
    <x v="842"/>
    <x v="37"/>
    <d v="2024-05-08T00:00:00"/>
    <n v="64165.51"/>
    <n v="3.5236899075531385"/>
    <x v="1"/>
    <s v="B2B"/>
    <x v="1"/>
    <n v="0.44"/>
    <n v="290264.87"/>
    <n v="4.5236899075531385"/>
    <n v="290264.87"/>
    <n v="3.5236899075531385"/>
    <x v="0"/>
    <n v="-0.15290738788354974"/>
  </r>
  <r>
    <x v="843"/>
    <x v="238"/>
    <d v="2023-11-11T00:00:00"/>
    <n v="55991.95"/>
    <n v="16.377426397901843"/>
    <x v="3"/>
    <s v="B2B"/>
    <x v="0"/>
    <n v="0.72"/>
    <n v="972995.99"/>
    <n v="17.377426397901843"/>
    <n v="559919.5"/>
    <n v="9"/>
    <x v="0"/>
    <n v="1"/>
  </r>
  <r>
    <x v="844"/>
    <x v="225"/>
    <d v="2024-03-13T00:00:00"/>
    <n v="88094.67"/>
    <n v="2.3588660925797216"/>
    <x v="0"/>
    <s v="B2B"/>
    <x v="2"/>
    <n v="0.24"/>
    <n v="295898.2"/>
    <n v="3.3588660925797216"/>
    <n v="295898.2"/>
    <n v="2.3588660925797216"/>
    <x v="0"/>
    <n v="-0.3981334541937428"/>
  </r>
  <r>
    <x v="845"/>
    <x v="104"/>
    <d v="2024-04-10T00:00:00"/>
    <n v="23030.51"/>
    <n v="-0.38522030124387163"/>
    <x v="3"/>
    <s v="B2C"/>
    <x v="3"/>
    <n v="0.9"/>
    <n v="14158.69"/>
    <n v="0.61477969875612837"/>
    <n v="14158.69"/>
    <n v="-0.38522030124387163"/>
    <x v="1"/>
    <n v="-0.97583585289344665"/>
  </r>
  <r>
    <x v="846"/>
    <x v="95"/>
    <d v="2024-04-04T00:00:00"/>
    <n v="44207.35"/>
    <n v="18.579679623411039"/>
    <x v="3"/>
    <s v="B2C"/>
    <x v="0"/>
    <n v="0.51"/>
    <n v="865565.75"/>
    <n v="19.579679623411039"/>
    <n v="442073.5"/>
    <n v="9"/>
    <x v="0"/>
    <n v="1"/>
  </r>
  <r>
    <x v="847"/>
    <x v="122"/>
    <d v="2023-08-27T00:00:00"/>
    <n v="40594.89"/>
    <n v="6.7184224418393548"/>
    <x v="0"/>
    <s v="B2C"/>
    <x v="3"/>
    <n v="0.86"/>
    <n v="313328.51"/>
    <n v="7.7184224418393548"/>
    <n v="313328.51"/>
    <n v="6.7184224418393548"/>
    <x v="0"/>
    <n v="0.51966788249249585"/>
  </r>
  <r>
    <x v="848"/>
    <x v="119"/>
    <d v="2023-11-29T00:00:00"/>
    <n v="55314.879999999997"/>
    <n v="5.406898650055826"/>
    <x v="3"/>
    <s v="B2B"/>
    <x v="2"/>
    <n v="0.34"/>
    <n v="354396.83"/>
    <n v="6.406898650055826"/>
    <n v="354396.83"/>
    <n v="5.406898650055826"/>
    <x v="0"/>
    <n v="0.24355761053806857"/>
  </r>
  <r>
    <x v="849"/>
    <x v="103"/>
    <d v="2023-08-27T00:00:00"/>
    <n v="91275.199999999997"/>
    <n v="7.3410388583098154"/>
    <x v="0"/>
    <s v="B2C"/>
    <x v="2"/>
    <n v="0.38"/>
    <n v="761329.99"/>
    <n v="8.3410388583098154"/>
    <n v="761329.99"/>
    <n v="7.3410388583098154"/>
    <x v="0"/>
    <n v="0.65074502280206636"/>
  </r>
  <r>
    <x v="850"/>
    <x v="320"/>
    <d v="2024-06-15T00:00:00"/>
    <n v="67716.570000000007"/>
    <n v="0.77861046417442559"/>
    <x v="2"/>
    <s v="B2B"/>
    <x v="1"/>
    <n v="0.15"/>
    <n v="120441.4"/>
    <n v="1.7786104641744256"/>
    <n v="120441.4"/>
    <n v="0.77861046417442559"/>
    <x v="0"/>
    <n v="-0.73081884964748933"/>
  </r>
  <r>
    <x v="851"/>
    <x v="193"/>
    <d v="2024-03-13T00:00:00"/>
    <n v="15390.47"/>
    <n v="17.795735282938082"/>
    <x v="2"/>
    <s v="B2B"/>
    <x v="2"/>
    <n v="0.72"/>
    <n v="289275.2"/>
    <n v="18.795735282938079"/>
    <n v="153904.69999999998"/>
    <n v="9"/>
    <x v="0"/>
    <n v="1"/>
  </r>
  <r>
    <x v="852"/>
    <x v="26"/>
    <d v="2023-08-09T00:00:00"/>
    <n v="71105.48"/>
    <n v="2.4136966658547276"/>
    <x v="3"/>
    <s v="B2C"/>
    <x v="1"/>
    <n v="0.9"/>
    <n v="242732.54"/>
    <n v="3.4136966658547276"/>
    <n v="242732.54"/>
    <n v="2.4136966658547276"/>
    <x v="0"/>
    <n v="-0.38659017560953102"/>
  </r>
  <r>
    <x v="853"/>
    <x v="62"/>
    <d v="2023-12-16T00:00:00"/>
    <n v="4459.25"/>
    <n v="63.005074844424513"/>
    <x v="2"/>
    <s v="B2C"/>
    <x v="2"/>
    <n v="0.62"/>
    <n v="285414.63"/>
    <n v="64.005074844424513"/>
    <n v="44592.5"/>
    <n v="9"/>
    <x v="0"/>
    <n v="1"/>
  </r>
  <r>
    <x v="854"/>
    <x v="14"/>
    <d v="2023-10-29T00:00:00"/>
    <n v="30382.560000000001"/>
    <n v="13.52872239863922"/>
    <x v="2"/>
    <s v="B2B"/>
    <x v="2"/>
    <n v="0.95"/>
    <n v="441419.78"/>
    <n v="14.52872239863922"/>
    <n v="303825.60000000003"/>
    <n v="9"/>
    <x v="0"/>
    <n v="1"/>
  </r>
  <r>
    <x v="855"/>
    <x v="0"/>
    <d v="2024-07-18T00:00:00"/>
    <n v="29527.93"/>
    <n v="3.8321582312068609"/>
    <x v="3"/>
    <s v="B2C"/>
    <x v="2"/>
    <n v="0.61"/>
    <n v="142683.63"/>
    <n v="4.8321582312068605"/>
    <n v="142683.63"/>
    <n v="3.8321582312068609"/>
    <x v="0"/>
    <n v="-8.7966688166976503E-2"/>
  </r>
  <r>
    <x v="856"/>
    <x v="241"/>
    <d v="2024-06-08T00:00:00"/>
    <n v="97339.13"/>
    <n v="3.2058694175713298"/>
    <x v="0"/>
    <s v="B2B"/>
    <x v="0"/>
    <n v="0.69"/>
    <n v="409395.67"/>
    <n v="4.2058694175713303"/>
    <n v="409395.67"/>
    <n v="3.2058694175713298"/>
    <x v="0"/>
    <n v="-0.21981696472182533"/>
  </r>
  <r>
    <x v="857"/>
    <x v="291"/>
    <d v="2024-03-19T00:00:00"/>
    <n v="38723.339999999997"/>
    <n v="2.1639773325338161"/>
    <x v="0"/>
    <s v="B2C"/>
    <x v="3"/>
    <n v="0.22"/>
    <n v="122519.77"/>
    <n v="3.1639773325338161"/>
    <n v="122519.77"/>
    <n v="2.1639773325338161"/>
    <x v="0"/>
    <n v="-0.43916266683498606"/>
  </r>
  <r>
    <x v="858"/>
    <x v="202"/>
    <d v="2023-11-28T00:00:00"/>
    <n v="62234.75"/>
    <n v="9.2978204299045153"/>
    <x v="0"/>
    <s v="B2B"/>
    <x v="1"/>
    <n v="0.84"/>
    <n v="640882.28"/>
    <n v="10.297820429904515"/>
    <n v="622347.5"/>
    <n v="9"/>
    <x v="0"/>
    <n v="1"/>
  </r>
  <r>
    <x v="859"/>
    <x v="321"/>
    <d v="2023-10-20T00:00:00"/>
    <n v="63478.39"/>
    <n v="7.8750284939488857"/>
    <x v="1"/>
    <s v="B2B"/>
    <x v="0"/>
    <n v="0.28000000000000003"/>
    <n v="563372.52"/>
    <n v="8.8750284939488857"/>
    <n v="563372.52"/>
    <n v="7.8750284939488857"/>
    <x v="0"/>
    <n v="0.76316389346292324"/>
  </r>
  <r>
    <x v="860"/>
    <x v="248"/>
    <d v="2024-07-28T00:00:00"/>
    <n v="93236.34"/>
    <n v="4.8559676409434349"/>
    <x v="2"/>
    <s v="B2C"/>
    <x v="3"/>
    <n v="0.85"/>
    <n v="545988.99"/>
    <n v="5.8559676409434349"/>
    <n v="545988.99"/>
    <n v="4.8559676409434349"/>
    <x v="0"/>
    <n v="0.12757213493545994"/>
  </r>
  <r>
    <x v="861"/>
    <x v="322"/>
    <d v="2024-07-17T00:00:00"/>
    <n v="84718.25"/>
    <n v="-9.1438267433522361E-2"/>
    <x v="3"/>
    <s v="B2B"/>
    <x v="2"/>
    <n v="0.97"/>
    <n v="76971.759999999995"/>
    <n v="0.90856173256647765"/>
    <n v="76971.759999999995"/>
    <n v="-9.1438267433522361E-2"/>
    <x v="1"/>
    <n v="-0.91398700367021524"/>
  </r>
  <r>
    <x v="862"/>
    <x v="141"/>
    <d v="2023-08-15T00:00:00"/>
    <n v="17398.099999999999"/>
    <n v="1.0920359119673988"/>
    <x v="0"/>
    <s v="B2C"/>
    <x v="2"/>
    <n v="0.6"/>
    <n v="36397.449999999997"/>
    <n v="2.0920359119673986"/>
    <n v="36397.449999999997"/>
    <n v="1.0920359119673988"/>
    <x v="0"/>
    <n v="-0.66483454484896876"/>
  </r>
  <r>
    <x v="863"/>
    <x v="212"/>
    <d v="2024-01-26T00:00:00"/>
    <n v="78135.600000000006"/>
    <n v="6.0538492057397653"/>
    <x v="1"/>
    <s v="B2B"/>
    <x v="3"/>
    <n v="0.11"/>
    <n v="551156.74"/>
    <n v="7.0538492057397644"/>
    <n v="551156.74"/>
    <n v="6.0538492057397653"/>
    <x v="0"/>
    <n v="0.37975772752416104"/>
  </r>
  <r>
    <x v="864"/>
    <x v="116"/>
    <d v="2023-09-19T00:00:00"/>
    <n v="24769.599999999999"/>
    <n v="5.5396029810735747"/>
    <x v="3"/>
    <s v="B2B"/>
    <x v="0"/>
    <n v="0.9"/>
    <n v="161983.35"/>
    <n v="6.5396029810735747"/>
    <n v="161983.35"/>
    <n v="5.5396029810735747"/>
    <x v="0"/>
    <n v="0.2714953644365421"/>
  </r>
  <r>
    <x v="865"/>
    <x v="323"/>
    <d v="2024-04-07T00:00:00"/>
    <n v="36943.949999999997"/>
    <n v="2.6611391039669559"/>
    <x v="3"/>
    <s v="B2C"/>
    <x v="3"/>
    <n v="0.46"/>
    <n v="135256.94"/>
    <n v="3.6611391039669559"/>
    <n v="135256.94"/>
    <n v="2.6611391039669559"/>
    <x v="0"/>
    <n v="-0.33449703074379877"/>
  </r>
  <r>
    <x v="866"/>
    <x v="200"/>
    <d v="2024-07-26T00:00:00"/>
    <n v="67417.39"/>
    <n v="3.3189349216871196"/>
    <x v="1"/>
    <s v="B2C"/>
    <x v="2"/>
    <n v="0.74"/>
    <n v="291171.32"/>
    <n v="4.31893492168712"/>
    <n v="291171.32"/>
    <n v="3.3189349216871196"/>
    <x v="0"/>
    <n v="-0.1960137006974485"/>
  </r>
  <r>
    <x v="867"/>
    <x v="324"/>
    <d v="2023-09-14T00:00:00"/>
    <n v="65008.76"/>
    <n v="5.6746758436862974"/>
    <x v="1"/>
    <s v="B2B"/>
    <x v="2"/>
    <n v="0.36"/>
    <n v="433912.4"/>
    <n v="6.6746758436862974"/>
    <n v="433912.4"/>
    <n v="5.6746758436862974"/>
    <x v="0"/>
    <n v="0.29993175656553639"/>
  </r>
  <r>
    <x v="868"/>
    <x v="223"/>
    <d v="2023-12-13T00:00:00"/>
    <n v="75478.5"/>
    <n v="3.9407221924124087"/>
    <x v="3"/>
    <s v="B2B"/>
    <x v="3"/>
    <n v="0.34"/>
    <n v="372918.3"/>
    <n v="4.9407221924124087"/>
    <n v="372918.3"/>
    <n v="3.9407221924124087"/>
    <x v="0"/>
    <n v="-6.5111117386861372E-2"/>
  </r>
  <r>
    <x v="869"/>
    <x v="319"/>
    <d v="2024-06-01T00:00:00"/>
    <n v="30574.799999999999"/>
    <n v="31.246646584769156"/>
    <x v="2"/>
    <s v="B2C"/>
    <x v="1"/>
    <n v="0.92"/>
    <n v="985934.77"/>
    <n v="32.246646584769159"/>
    <n v="305748"/>
    <n v="9"/>
    <x v="0"/>
    <n v="1"/>
  </r>
  <r>
    <x v="870"/>
    <x v="214"/>
    <d v="2024-05-11T00:00:00"/>
    <n v="73452.84"/>
    <n v="10.848156041345712"/>
    <x v="1"/>
    <s v="B2B"/>
    <x v="2"/>
    <n v="0.83"/>
    <n v="870280.71"/>
    <n v="11.848156041345712"/>
    <n v="734528.39999999991"/>
    <n v="9"/>
    <x v="0"/>
    <n v="1"/>
  </r>
  <r>
    <x v="871"/>
    <x v="235"/>
    <d v="2024-03-23T00:00:00"/>
    <n v="2113.42"/>
    <n v="256.95373849021962"/>
    <x v="0"/>
    <s v="B2C"/>
    <x v="2"/>
    <n v="0.6"/>
    <n v="545164.59"/>
    <n v="257.95373849021962"/>
    <n v="21134.2"/>
    <n v="9"/>
    <x v="0"/>
    <n v="1"/>
  </r>
  <r>
    <x v="872"/>
    <x v="325"/>
    <d v="2023-08-22T00:00:00"/>
    <n v="43439.29"/>
    <n v="19.434194711745977"/>
    <x v="3"/>
    <s v="B2B"/>
    <x v="2"/>
    <n v="0.24"/>
    <n v="887646.91"/>
    <n v="20.434194711745981"/>
    <n v="434392.9"/>
    <n v="9"/>
    <x v="0"/>
    <n v="1"/>
  </r>
  <r>
    <x v="873"/>
    <x v="314"/>
    <d v="2023-11-22T00:00:00"/>
    <n v="55795.59"/>
    <n v="11.168119380044196"/>
    <x v="3"/>
    <s v="B2B"/>
    <x v="0"/>
    <n v="0.7"/>
    <n v="678927.4"/>
    <n v="12.168119380044194"/>
    <n v="557955.89999999991"/>
    <n v="9"/>
    <x v="0"/>
    <n v="1"/>
  </r>
  <r>
    <x v="874"/>
    <x v="326"/>
    <d v="2024-06-24T00:00:00"/>
    <n v="7795.44"/>
    <n v="67.410831203883305"/>
    <x v="3"/>
    <s v="B2B"/>
    <x v="0"/>
    <n v="0.24"/>
    <n v="533292.53"/>
    <n v="68.410831203883305"/>
    <n v="77954.399999999994"/>
    <n v="9"/>
    <x v="0"/>
    <n v="1"/>
  </r>
  <r>
    <x v="875"/>
    <x v="139"/>
    <d v="2023-11-16T00:00:00"/>
    <n v="93728.56"/>
    <n v="2.9652835805863229"/>
    <x v="2"/>
    <s v="B2B"/>
    <x v="2"/>
    <n v="0.68"/>
    <n v="371660.32"/>
    <n v="3.9652835805863229"/>
    <n v="371660.32"/>
    <n v="2.9652835805863229"/>
    <x v="0"/>
    <n v="-0.27046661461340571"/>
  </r>
  <r>
    <x v="876"/>
    <x v="307"/>
    <d v="2023-09-09T00:00:00"/>
    <n v="61599.31"/>
    <n v="7.2857509280542265"/>
    <x v="0"/>
    <s v="B2C"/>
    <x v="0"/>
    <n v="0.3"/>
    <n v="510396.54"/>
    <n v="8.2857509280542274"/>
    <n v="510396.54"/>
    <n v="7.2857509280542265"/>
    <x v="0"/>
    <n v="0.63910545853773182"/>
  </r>
  <r>
    <x v="877"/>
    <x v="150"/>
    <d v="2024-04-30T00:00:00"/>
    <n v="71582.81"/>
    <n v="11.274597770051216"/>
    <x v="0"/>
    <s v="B2B"/>
    <x v="2"/>
    <n v="0"/>
    <n v="878650.2"/>
    <n v="12.274597770051217"/>
    <n v="715828.1"/>
    <n v="9"/>
    <x v="0"/>
    <n v="1"/>
  </r>
  <r>
    <x v="878"/>
    <x v="327"/>
    <d v="2024-04-20T00:00:00"/>
    <n v="40565.83"/>
    <n v="1.224505452002338"/>
    <x v="3"/>
    <s v="B2C"/>
    <x v="1"/>
    <n v="0.11"/>
    <n v="90238.91"/>
    <n v="2.224505452002338"/>
    <n v="90238.91"/>
    <n v="1.224505452002338"/>
    <x v="0"/>
    <n v="-0.63694622063108675"/>
  </r>
  <r>
    <x v="879"/>
    <x v="41"/>
    <d v="2023-10-05T00:00:00"/>
    <n v="8570.41"/>
    <n v="99.910979754760845"/>
    <x v="1"/>
    <s v="B2B"/>
    <x v="2"/>
    <n v="0.71"/>
    <n v="864848.47"/>
    <n v="100.91097975476086"/>
    <n v="85704.1"/>
    <n v="9"/>
    <x v="0"/>
    <n v="1"/>
  </r>
  <r>
    <x v="880"/>
    <x v="221"/>
    <d v="2024-05-10T00:00:00"/>
    <n v="10297.36"/>
    <n v="95.884752985231174"/>
    <x v="1"/>
    <s v="B2B"/>
    <x v="2"/>
    <n v="0.71"/>
    <n v="997657.18"/>
    <n v="96.88475298523116"/>
    <n v="102973.6"/>
    <n v="9"/>
    <x v="0"/>
    <n v="1"/>
  </r>
  <r>
    <x v="881"/>
    <x v="301"/>
    <d v="2023-12-10T00:00:00"/>
    <n v="12624.62"/>
    <n v="37.836799048208974"/>
    <x v="3"/>
    <s v="B2C"/>
    <x v="2"/>
    <n v="0.51"/>
    <n v="490299.83"/>
    <n v="38.836799048208974"/>
    <n v="126246.20000000001"/>
    <n v="9"/>
    <x v="0"/>
    <n v="1"/>
  </r>
  <r>
    <x v="882"/>
    <x v="328"/>
    <d v="2024-03-01T00:00:00"/>
    <n v="71398.880000000005"/>
    <n v="5.0041586086504433"/>
    <x v="3"/>
    <s v="B2B"/>
    <x v="2"/>
    <n v="0.83"/>
    <n v="428690.2"/>
    <n v="6.0041586086504433"/>
    <n v="428690.2"/>
    <n v="5.0041586086504433"/>
    <x v="0"/>
    <n v="0.15877023340009333"/>
  </r>
  <r>
    <x v="883"/>
    <x v="295"/>
    <d v="2024-07-16T00:00:00"/>
    <n v="95378.2"/>
    <n v="6.8018548263649352"/>
    <x v="0"/>
    <s v="B2B"/>
    <x v="3"/>
    <n v="0.91"/>
    <n v="744126.87"/>
    <n v="7.8018548263649343"/>
    <n v="744126.87"/>
    <n v="6.8018548263649352"/>
    <x v="0"/>
    <n v="0.53723259502419696"/>
  </r>
  <r>
    <x v="884"/>
    <x v="329"/>
    <d v="2023-10-06T00:00:00"/>
    <n v="95049.66"/>
    <n v="2.2345681194440883"/>
    <x v="1"/>
    <s v="B2C"/>
    <x v="1"/>
    <n v="0.2"/>
    <n v="307444.59999999998"/>
    <n v="3.2345681194440883"/>
    <n v="307444.59999999998"/>
    <n v="2.2345681194440883"/>
    <x v="0"/>
    <n v="-0.42430144853808671"/>
  </r>
  <r>
    <x v="885"/>
    <x v="6"/>
    <d v="2024-02-08T00:00:00"/>
    <n v="14254.9"/>
    <n v="25.234248574174494"/>
    <x v="1"/>
    <s v="B2C"/>
    <x v="1"/>
    <n v="0.31"/>
    <n v="373966.59"/>
    <n v="26.234248574174497"/>
    <n v="142549"/>
    <n v="9"/>
    <x v="0"/>
    <n v="1"/>
  </r>
  <r>
    <x v="886"/>
    <x v="23"/>
    <d v="2024-06-15T00:00:00"/>
    <n v="39380.230000000003"/>
    <n v="21.317275698999214"/>
    <x v="0"/>
    <s v="B2B"/>
    <x v="3"/>
    <n v="0.99"/>
    <n v="878859.45"/>
    <n v="22.317275698999214"/>
    <n v="393802.30000000005"/>
    <n v="9.0000000000000018"/>
    <x v="0"/>
    <n v="1.0000000000000004"/>
  </r>
  <r>
    <x v="887"/>
    <x v="36"/>
    <d v="2023-11-11T00:00:00"/>
    <n v="1223.82"/>
    <n v="627.00714157310722"/>
    <x v="3"/>
    <s v="B2C"/>
    <x v="2"/>
    <n v="0.3"/>
    <n v="768567.7"/>
    <n v="628.00714157310711"/>
    <n v="12238.199999999999"/>
    <n v="9"/>
    <x v="0"/>
    <n v="1"/>
  </r>
  <r>
    <x v="888"/>
    <x v="270"/>
    <d v="2024-04-23T00:00:00"/>
    <n v="32575.19"/>
    <n v="7.0476003363295803"/>
    <x v="2"/>
    <s v="B2C"/>
    <x v="3"/>
    <n v="0.17"/>
    <n v="262152.11"/>
    <n v="8.0476003363295803"/>
    <n v="262152.11"/>
    <n v="7.0476003363295803"/>
    <x v="0"/>
    <n v="0.58896849185885891"/>
  </r>
  <r>
    <x v="889"/>
    <x v="330"/>
    <d v="2023-08-19T00:00:00"/>
    <n v="61978.1"/>
    <n v="-0.99825406070854061"/>
    <x v="3"/>
    <s v="B2C"/>
    <x v="2"/>
    <n v="0.77"/>
    <n v="108.21"/>
    <n v="1.7459392914594026E-3"/>
    <n v="30989.05"/>
    <n v="-0.5"/>
    <x v="1"/>
    <n v="-1"/>
  </r>
  <r>
    <x v="890"/>
    <x v="331"/>
    <d v="2023-12-13T00:00:00"/>
    <n v="62893.8"/>
    <n v="14.210992180469297"/>
    <x v="0"/>
    <s v="B2B"/>
    <x v="1"/>
    <n v="0.53"/>
    <n v="956677.1"/>
    <n v="15.210992180469297"/>
    <n v="628938"/>
    <n v="8.9999999999999982"/>
    <x v="0"/>
    <n v="0.99999999999999956"/>
  </r>
  <r>
    <x v="891"/>
    <x v="75"/>
    <d v="2023-11-09T00:00:00"/>
    <n v="80963.14"/>
    <n v="5.4323009211352229"/>
    <x v="0"/>
    <s v="B2C"/>
    <x v="0"/>
    <n v="0.7"/>
    <n v="520779.28"/>
    <n v="6.4323009211352229"/>
    <n v="520779.28"/>
    <n v="5.4323009211352229"/>
    <x v="0"/>
    <n v="0.24890545708109957"/>
  </r>
  <r>
    <x v="892"/>
    <x v="66"/>
    <d v="2023-12-08T00:00:00"/>
    <n v="89833.97"/>
    <n v="4.9366156254699645"/>
    <x v="0"/>
    <s v="B2C"/>
    <x v="1"/>
    <n v="0.42"/>
    <n v="533309.75"/>
    <n v="5.9366156254699645"/>
    <n v="533309.75"/>
    <n v="4.9366156254699645"/>
    <x v="0"/>
    <n v="0.14455065799367683"/>
  </r>
  <r>
    <x v="893"/>
    <x v="108"/>
    <d v="2024-01-24T00:00:00"/>
    <n v="78857.259999999995"/>
    <n v="10.405630629316819"/>
    <x v="2"/>
    <s v="B2C"/>
    <x v="1"/>
    <n v="0.74"/>
    <n v="899416.78"/>
    <n v="11.405630629316819"/>
    <n v="788572.6"/>
    <n v="9"/>
    <x v="0"/>
    <n v="1"/>
  </r>
  <r>
    <x v="894"/>
    <x v="222"/>
    <d v="2024-04-01T00:00:00"/>
    <n v="42878.1"/>
    <n v="4.5155685536439352"/>
    <x v="2"/>
    <s v="B2C"/>
    <x v="0"/>
    <n v="0.66"/>
    <n v="236497.1"/>
    <n v="5.5155685536439352"/>
    <n v="236497.1"/>
    <n v="4.5155685536439352"/>
    <x v="0"/>
    <n v="5.5909169188196772E-2"/>
  </r>
  <r>
    <x v="895"/>
    <x v="234"/>
    <d v="2023-12-20T00:00:00"/>
    <n v="27483.74"/>
    <n v="4.0450852031055451"/>
    <x v="3"/>
    <s v="B2B"/>
    <x v="0"/>
    <n v="0.38"/>
    <n v="138657.81"/>
    <n v="5.0450852031055451"/>
    <n v="138657.81"/>
    <n v="4.0450852031055451"/>
    <x v="0"/>
    <n v="-4.3139957240937887E-2"/>
  </r>
  <r>
    <x v="896"/>
    <x v="13"/>
    <d v="2024-05-30T00:00:00"/>
    <n v="32993.61"/>
    <n v="-0.54490248263224306"/>
    <x v="0"/>
    <s v="B2B"/>
    <x v="1"/>
    <n v="0.9"/>
    <n v="15015.31"/>
    <n v="0.45509751736775694"/>
    <n v="16496.805"/>
    <n v="-0.5"/>
    <x v="1"/>
    <n v="-1"/>
  </r>
  <r>
    <x v="897"/>
    <x v="31"/>
    <d v="2023-12-15T00:00:00"/>
    <n v="2568.1"/>
    <n v="72.752560258556912"/>
    <x v="1"/>
    <s v="B2C"/>
    <x v="0"/>
    <n v="0.26"/>
    <n v="189403.95"/>
    <n v="73.752560258556912"/>
    <n v="25681"/>
    <n v="9"/>
    <x v="0"/>
    <n v="1"/>
  </r>
  <r>
    <x v="898"/>
    <x v="47"/>
    <d v="2024-04-23T00:00:00"/>
    <n v="9689.82"/>
    <n v="57.866286473845754"/>
    <x v="1"/>
    <s v="B2C"/>
    <x v="3"/>
    <n v="0.31"/>
    <n v="570403.72"/>
    <n v="58.866286473845747"/>
    <n v="96898.2"/>
    <n v="9"/>
    <x v="0"/>
    <n v="1"/>
  </r>
  <r>
    <x v="899"/>
    <x v="96"/>
    <d v="2024-03-24T00:00:00"/>
    <n v="48068.29"/>
    <n v="14.595152438333047"/>
    <x v="3"/>
    <s v="B2C"/>
    <x v="0"/>
    <n v="0.13"/>
    <n v="749632.31"/>
    <n v="15.595152438333047"/>
    <n v="480682.9"/>
    <n v="9"/>
    <x v="0"/>
    <n v="1"/>
  </r>
  <r>
    <x v="900"/>
    <x v="260"/>
    <d v="2024-06-24T00:00:00"/>
    <n v="41572.75"/>
    <n v="16.933052540426122"/>
    <x v="2"/>
    <s v="B2B"/>
    <x v="2"/>
    <n v="0.4"/>
    <n v="745526.31"/>
    <n v="17.933052540426122"/>
    <n v="415727.5"/>
    <n v="9"/>
    <x v="0"/>
    <n v="1"/>
  </r>
  <r>
    <x v="901"/>
    <x v="101"/>
    <d v="2023-09-12T00:00:00"/>
    <n v="54998.51"/>
    <n v="4.9706746600953373"/>
    <x v="0"/>
    <s v="B2B"/>
    <x v="1"/>
    <n v="0.44"/>
    <n v="328378.21000000002"/>
    <n v="5.9706746600953373"/>
    <n v="328378.21000000002"/>
    <n v="4.9706746600953373"/>
    <x v="0"/>
    <n v="0.15172098107270249"/>
  </r>
  <r>
    <x v="902"/>
    <x v="195"/>
    <d v="2024-05-21T00:00:00"/>
    <n v="26043.99"/>
    <n v="37.033411931121151"/>
    <x v="0"/>
    <s v="B2C"/>
    <x v="0"/>
    <n v="0.25"/>
    <n v="990541.8"/>
    <n v="38.033411931121151"/>
    <n v="260439.90000000002"/>
    <n v="9"/>
    <x v="0"/>
    <n v="1"/>
  </r>
  <r>
    <x v="903"/>
    <x v="2"/>
    <d v="2024-03-10T00:00:00"/>
    <n v="24633.17"/>
    <n v="18.367968880984463"/>
    <x v="1"/>
    <s v="B2B"/>
    <x v="3"/>
    <n v="0.45"/>
    <n v="477094.47"/>
    <n v="19.36796888098446"/>
    <n v="246331.69999999998"/>
    <n v="9"/>
    <x v="0"/>
    <n v="1"/>
  </r>
  <r>
    <x v="904"/>
    <x v="293"/>
    <d v="2023-08-07T00:00:00"/>
    <n v="56844.800000000003"/>
    <n v="2.7511496214253541"/>
    <x v="0"/>
    <s v="B2B"/>
    <x v="3"/>
    <n v="0.45"/>
    <n v="213233.35"/>
    <n v="3.7511496214253546"/>
    <n v="213233.35"/>
    <n v="2.7511496214253541"/>
    <x v="0"/>
    <n v="-0.31554744812097812"/>
  </r>
  <r>
    <x v="905"/>
    <x v="65"/>
    <d v="2024-02-11T00:00:00"/>
    <n v="50192.71"/>
    <n v="10.542256833711511"/>
    <x v="0"/>
    <s v="B2B"/>
    <x v="0"/>
    <n v="0.13"/>
    <n v="579337.15"/>
    <n v="11.542256833711511"/>
    <n v="501927.1"/>
    <n v="9"/>
    <x v="0"/>
    <n v="1"/>
  </r>
  <r>
    <x v="906"/>
    <x v="20"/>
    <d v="2024-06-24T00:00:00"/>
    <n v="86585.56"/>
    <n v="2.9676692048882054"/>
    <x v="0"/>
    <s v="B2B"/>
    <x v="0"/>
    <n v="0.94"/>
    <n v="343542.86"/>
    <n v="3.9676692048882054"/>
    <n v="343542.86"/>
    <n v="2.9676692048882054"/>
    <x v="0"/>
    <n v="-0.26996437791827255"/>
  </r>
  <r>
    <x v="907"/>
    <x v="224"/>
    <d v="2024-04-06T00:00:00"/>
    <n v="15386.79"/>
    <n v="62.270006934519806"/>
    <x v="2"/>
    <s v="B2B"/>
    <x v="0"/>
    <n v="0.98"/>
    <n v="973522.31"/>
    <n v="63.270006934519806"/>
    <n v="153867.90000000002"/>
    <n v="9"/>
    <x v="0"/>
    <n v="1"/>
  </r>
  <r>
    <x v="908"/>
    <x v="174"/>
    <d v="2024-01-04T00:00:00"/>
    <n v="56098.87"/>
    <n v="11.369971623314338"/>
    <x v="2"/>
    <s v="B2C"/>
    <x v="0"/>
    <n v="0.53"/>
    <n v="693941.43"/>
    <n v="12.369971623314338"/>
    <n v="560988.70000000007"/>
    <n v="9.0000000000000018"/>
    <x v="0"/>
    <n v="1.0000000000000004"/>
  </r>
  <r>
    <x v="909"/>
    <x v="43"/>
    <d v="2024-06-20T00:00:00"/>
    <n v="86427.37"/>
    <n v="6.1198044091819526"/>
    <x v="2"/>
    <s v="B2B"/>
    <x v="0"/>
    <n v="0.69"/>
    <n v="615345.97"/>
    <n v="7.1198044091819526"/>
    <n v="615345.97"/>
    <n v="6.1198044091819526"/>
    <x v="0"/>
    <n v="0.39364303351199004"/>
  </r>
  <r>
    <x v="910"/>
    <x v="292"/>
    <d v="2023-11-30T00:00:00"/>
    <n v="12214.82"/>
    <n v="44.317698500673778"/>
    <x v="0"/>
    <s v="B2B"/>
    <x v="0"/>
    <n v="0.46"/>
    <n v="553547.53"/>
    <n v="45.317698500673778"/>
    <n v="122148.2"/>
    <n v="9"/>
    <x v="0"/>
    <n v="1"/>
  </r>
  <r>
    <x v="911"/>
    <x v="3"/>
    <d v="2023-09-19T00:00:00"/>
    <n v="83088.320000000007"/>
    <n v="5.7949368816218687"/>
    <x v="0"/>
    <s v="B2C"/>
    <x v="2"/>
    <n v="0.8"/>
    <n v="564579.89"/>
    <n v="6.7949368816218687"/>
    <n v="564579.89"/>
    <n v="5.7949368816218687"/>
    <x v="0"/>
    <n v="0.32524986981513027"/>
  </r>
  <r>
    <x v="912"/>
    <x v="38"/>
    <d v="2023-10-21T00:00:00"/>
    <n v="80176.5"/>
    <n v="-0.69818325818662574"/>
    <x v="0"/>
    <s v="B2C"/>
    <x v="1"/>
    <n v="0.11"/>
    <n v="24198.61"/>
    <n v="0.30181674181337426"/>
    <n v="40088.25"/>
    <n v="-0.5"/>
    <x v="1"/>
    <n v="-1"/>
  </r>
  <r>
    <x v="913"/>
    <x v="225"/>
    <d v="2024-06-12T00:00:00"/>
    <n v="11441.68"/>
    <n v="71.630058697673761"/>
    <x v="1"/>
    <s v="B2B"/>
    <x v="1"/>
    <n v="0.39"/>
    <n v="831009.89"/>
    <n v="72.630058697673761"/>
    <n v="114416.8"/>
    <n v="9"/>
    <x v="0"/>
    <n v="1"/>
  </r>
  <r>
    <x v="914"/>
    <x v="246"/>
    <d v="2024-06-10T00:00:00"/>
    <n v="48365.23"/>
    <n v="6.0331049805821246"/>
    <x v="2"/>
    <s v="B2C"/>
    <x v="0"/>
    <n v="0.67"/>
    <n v="340157.74"/>
    <n v="7.0331049805821237"/>
    <n v="340157.74"/>
    <n v="6.0331049805821246"/>
    <x v="0"/>
    <n v="0.37539052222781577"/>
  </r>
  <r>
    <x v="915"/>
    <x v="271"/>
    <d v="2023-09-12T00:00:00"/>
    <n v="86182.78"/>
    <n v="7.8376205780319452"/>
    <x v="2"/>
    <s v="B2B"/>
    <x v="1"/>
    <n v="0.12"/>
    <n v="761650.71"/>
    <n v="8.8376205780319452"/>
    <n v="761650.71"/>
    <n v="7.8376205780319452"/>
    <x v="0"/>
    <n v="0.75528854274356738"/>
  </r>
  <r>
    <x v="916"/>
    <x v="275"/>
    <d v="2024-06-10T00:00:00"/>
    <n v="87937.87"/>
    <n v="1.1200124587961935"/>
    <x v="3"/>
    <s v="B2B"/>
    <x v="1"/>
    <n v="0.96"/>
    <n v="186429.38"/>
    <n v="2.1200124587961935"/>
    <n v="186429.38"/>
    <n v="1.1200124587961935"/>
    <x v="0"/>
    <n v="-0.65894474551659088"/>
  </r>
  <r>
    <x v="917"/>
    <x v="50"/>
    <d v="2023-08-09T00:00:00"/>
    <n v="13932.94"/>
    <n v="51.923632772408411"/>
    <x v="2"/>
    <s v="B2C"/>
    <x v="1"/>
    <n v="0.21"/>
    <n v="737381.8"/>
    <n v="52.923632772408411"/>
    <n v="139329.4"/>
    <n v="8.9999999999999982"/>
    <x v="0"/>
    <n v="0.99999999999999956"/>
  </r>
  <r>
    <x v="918"/>
    <x v="332"/>
    <d v="2023-08-02T00:00:00"/>
    <n v="8324.2999999999993"/>
    <n v="104.23329048688778"/>
    <x v="2"/>
    <s v="B2C"/>
    <x v="1"/>
    <n v="0.76"/>
    <n v="875993.48"/>
    <n v="105.2332904868878"/>
    <n v="83243"/>
    <n v="9"/>
    <x v="0"/>
    <n v="1"/>
  </r>
  <r>
    <x v="919"/>
    <x v="230"/>
    <d v="2024-02-22T00:00:00"/>
    <n v="10216.93"/>
    <n v="57.503522095189055"/>
    <x v="3"/>
    <s v="B2B"/>
    <x v="0"/>
    <n v="0.12"/>
    <n v="597726.39"/>
    <n v="58.503522095189062"/>
    <n v="102169.3"/>
    <n v="9"/>
    <x v="0"/>
    <n v="1"/>
  </r>
  <r>
    <x v="920"/>
    <x v="333"/>
    <d v="2024-03-24T00:00:00"/>
    <n v="73598.13"/>
    <n v="5.9093392726146705"/>
    <x v="0"/>
    <s v="B2C"/>
    <x v="1"/>
    <n v="0.45"/>
    <n v="508514.45"/>
    <n v="6.9093392726146705"/>
    <n v="508514.45"/>
    <n v="5.9093392726146705"/>
    <x v="0"/>
    <n v="0.34933458370835169"/>
  </r>
  <r>
    <x v="921"/>
    <x v="197"/>
    <d v="2024-05-26T00:00:00"/>
    <n v="39103.33"/>
    <n v="11.868245747868531"/>
    <x v="2"/>
    <s v="B2C"/>
    <x v="1"/>
    <n v="0.55000000000000004"/>
    <n v="503191.26"/>
    <n v="12.868245747868531"/>
    <n v="391033.30000000005"/>
    <n v="9"/>
    <x v="0"/>
    <n v="1"/>
  </r>
  <r>
    <x v="922"/>
    <x v="176"/>
    <d v="2024-03-23T00:00:00"/>
    <n v="5833.99"/>
    <n v="30.166405838885566"/>
    <x v="2"/>
    <s v="B2C"/>
    <x v="1"/>
    <n v="0.65"/>
    <n v="181824.5"/>
    <n v="31.166405838885566"/>
    <n v="58339.899999999994"/>
    <n v="9"/>
    <x v="0"/>
    <n v="1"/>
  </r>
  <r>
    <x v="923"/>
    <x v="261"/>
    <d v="2024-07-17T00:00:00"/>
    <n v="60899.96"/>
    <n v="7.4058643059864071"/>
    <x v="1"/>
    <s v="B2C"/>
    <x v="1"/>
    <n v="0.3"/>
    <n v="511916.79999999999"/>
    <n v="8.4058643059864071"/>
    <n v="511916.79999999999"/>
    <n v="7.4058643059864071"/>
    <x v="0"/>
    <n v="0.66439248547082252"/>
  </r>
  <r>
    <x v="924"/>
    <x v="154"/>
    <d v="2023-12-07T00:00:00"/>
    <n v="40596.83"/>
    <n v="18.568403247248614"/>
    <x v="1"/>
    <s v="B2B"/>
    <x v="1"/>
    <n v="0.22"/>
    <n v="794415.14"/>
    <n v="19.568403247248614"/>
    <n v="405968.30000000005"/>
    <n v="9"/>
    <x v="0"/>
    <n v="1"/>
  </r>
  <r>
    <x v="925"/>
    <x v="334"/>
    <d v="2023-12-24T00:00:00"/>
    <n v="25337.54"/>
    <n v="21.458673967559598"/>
    <x v="3"/>
    <s v="B2C"/>
    <x v="1"/>
    <n v="0.17"/>
    <n v="569047.55000000005"/>
    <n v="22.458673967559598"/>
    <n v="253375.40000000002"/>
    <n v="9"/>
    <x v="0"/>
    <n v="1"/>
  </r>
  <r>
    <x v="926"/>
    <x v="97"/>
    <d v="2023-10-18T00:00:00"/>
    <n v="93064.34"/>
    <n v="7.420328452337384"/>
    <x v="2"/>
    <s v="B2C"/>
    <x v="1"/>
    <n v="0.6"/>
    <n v="783632.31"/>
    <n v="8.4203284523373831"/>
    <n v="783632.31"/>
    <n v="7.420328452337384"/>
    <x v="0"/>
    <n v="0.66743756891313355"/>
  </r>
  <r>
    <x v="927"/>
    <x v="307"/>
    <d v="2024-03-24T00:00:00"/>
    <n v="75609.64"/>
    <n v="6.6629428469703065"/>
    <x v="2"/>
    <s v="B2C"/>
    <x v="1"/>
    <n v="0.84"/>
    <n v="579392.35"/>
    <n v="7.6629428469703065"/>
    <n v="579392.35"/>
    <n v="6.6629428469703065"/>
    <x v="0"/>
    <n v="0.50798796778322242"/>
  </r>
  <r>
    <x v="928"/>
    <x v="139"/>
    <d v="2024-07-20T00:00:00"/>
    <n v="21939.98"/>
    <n v="1.3720313327541775"/>
    <x v="0"/>
    <s v="B2C"/>
    <x v="1"/>
    <n v="0.55000000000000004"/>
    <n v="52042.32"/>
    <n v="2.3720313327541778"/>
    <n v="52042.32"/>
    <n v="1.3720313327541775"/>
    <x v="0"/>
    <n v="-0.6058881404728047"/>
  </r>
  <r>
    <x v="929"/>
    <x v="194"/>
    <d v="2023-11-24T00:00:00"/>
    <n v="89036.76"/>
    <n v="9.3000707797543409"/>
    <x v="1"/>
    <s v="B2B"/>
    <x v="0"/>
    <n v="0.44"/>
    <n v="917084.93"/>
    <n v="10.300070779754341"/>
    <n v="890367.6"/>
    <n v="9"/>
    <x v="0"/>
    <n v="1"/>
  </r>
  <r>
    <x v="930"/>
    <x v="98"/>
    <d v="2024-06-01T00:00:00"/>
    <n v="31126.7"/>
    <n v="27.91203500531698"/>
    <x v="1"/>
    <s v="B2C"/>
    <x v="0"/>
    <n v="0.37"/>
    <n v="899936.24"/>
    <n v="28.912035005316977"/>
    <n v="311267"/>
    <n v="9"/>
    <x v="0"/>
    <n v="1"/>
  </r>
  <r>
    <x v="931"/>
    <x v="166"/>
    <d v="2024-04-21T00:00:00"/>
    <n v="51825.62"/>
    <n v="16.195080734200573"/>
    <x v="2"/>
    <s v="B2B"/>
    <x v="1"/>
    <n v="0.49"/>
    <n v="891145.72"/>
    <n v="17.195080734200573"/>
    <n v="518256.2"/>
    <n v="9"/>
    <x v="0"/>
    <n v="1"/>
  </r>
  <r>
    <x v="932"/>
    <x v="225"/>
    <d v="2023-12-22T00:00:00"/>
    <n v="71516.899999999994"/>
    <n v="10.983824522595359"/>
    <x v="0"/>
    <s v="B2C"/>
    <x v="0"/>
    <n v="0.72"/>
    <n v="857045.98"/>
    <n v="11.983824522595359"/>
    <n v="715169"/>
    <n v="9"/>
    <x v="0"/>
    <n v="1"/>
  </r>
  <r>
    <x v="933"/>
    <x v="70"/>
    <d v="2023-09-18T00:00:00"/>
    <n v="95735.11"/>
    <n v="2.8554638940718826"/>
    <x v="3"/>
    <s v="B2C"/>
    <x v="1"/>
    <n v="0.24"/>
    <n v="369103.26"/>
    <n v="3.8554638940718822"/>
    <n v="369103.26"/>
    <n v="2.8554638940718826"/>
    <x v="0"/>
    <n v="-0.29358654861644573"/>
  </r>
  <r>
    <x v="934"/>
    <x v="335"/>
    <d v="2023-12-20T00:00:00"/>
    <n v="26262.29"/>
    <n v="14.836056185504006"/>
    <x v="2"/>
    <s v="B2C"/>
    <x v="0"/>
    <n v="0.77"/>
    <n v="415891.1"/>
    <n v="15.836056185504004"/>
    <n v="262622.90000000002"/>
    <n v="9"/>
    <x v="0"/>
    <n v="1"/>
  </r>
  <r>
    <x v="935"/>
    <x v="44"/>
    <d v="2023-10-25T00:00:00"/>
    <n v="99579.39"/>
    <n v="6.6132364337640546"/>
    <x v="3"/>
    <s v="B2C"/>
    <x v="0"/>
    <n v="0.28000000000000003"/>
    <n v="758121.44"/>
    <n v="7.6132364337640546"/>
    <n v="758121.44"/>
    <n v="6.6132364337640546"/>
    <x v="0"/>
    <n v="0.49752345973980105"/>
  </r>
  <r>
    <x v="936"/>
    <x v="299"/>
    <d v="2024-06-11T00:00:00"/>
    <n v="35965.370000000003"/>
    <n v="14.969407516174586"/>
    <x v="1"/>
    <s v="B2C"/>
    <x v="2"/>
    <n v="0.77"/>
    <n v="574345.65"/>
    <n v="15.969407516174586"/>
    <n v="359653.7"/>
    <n v="9"/>
    <x v="0"/>
    <n v="1"/>
  </r>
  <r>
    <x v="937"/>
    <x v="336"/>
    <d v="2024-06-02T00:00:00"/>
    <n v="47201.38"/>
    <n v="7.5294910869131373"/>
    <x v="2"/>
    <s v="B2C"/>
    <x v="0"/>
    <n v="0.67"/>
    <n v="402603.75"/>
    <n v="8.5294910869131382"/>
    <n v="402603.75"/>
    <n v="7.5294910869131373"/>
    <x v="0"/>
    <n v="0.69041917619223914"/>
  </r>
  <r>
    <x v="938"/>
    <x v="221"/>
    <d v="2023-09-10T00:00:00"/>
    <n v="66401.2"/>
    <n v="5.3158247140111934"/>
    <x v="0"/>
    <s v="B2C"/>
    <x v="1"/>
    <n v="0.91"/>
    <n v="419378.34"/>
    <n v="6.3158247140111934"/>
    <n v="419378.34"/>
    <n v="5.3158247140111934"/>
    <x v="0"/>
    <n v="0.22438415031814607"/>
  </r>
  <r>
    <x v="939"/>
    <x v="172"/>
    <d v="2024-05-19T00:00:00"/>
    <n v="69533.11"/>
    <n v="10.380315219612642"/>
    <x v="2"/>
    <s v="B2C"/>
    <x v="1"/>
    <n v="0.59"/>
    <n v="791308.71"/>
    <n v="11.380315219612642"/>
    <n v="695331.1"/>
    <n v="9"/>
    <x v="0"/>
    <n v="1"/>
  </r>
  <r>
    <x v="940"/>
    <x v="337"/>
    <d v="2024-05-14T00:00:00"/>
    <n v="73328.31"/>
    <n v="1.0406519664778855"/>
    <x v="2"/>
    <s v="B2B"/>
    <x v="0"/>
    <n v="0.92"/>
    <n v="149637.56"/>
    <n v="2.0406519664778857"/>
    <n v="149637.56"/>
    <n v="1.0406519664778855"/>
    <x v="0"/>
    <n v="-0.67565221758360305"/>
  </r>
  <r>
    <x v="941"/>
    <x v="338"/>
    <d v="2023-12-28T00:00:00"/>
    <n v="50036.800000000003"/>
    <n v="10.558476161545101"/>
    <x v="3"/>
    <s v="B2B"/>
    <x v="1"/>
    <n v="0.45"/>
    <n v="578349.16"/>
    <n v="11.558476161545103"/>
    <n v="500368"/>
    <n v="9"/>
    <x v="0"/>
    <n v="1"/>
  </r>
  <r>
    <x v="942"/>
    <x v="102"/>
    <d v="2023-09-16T00:00:00"/>
    <n v="24555.69"/>
    <n v="21.083374566139256"/>
    <x v="0"/>
    <s v="B2B"/>
    <x v="3"/>
    <n v="0.19"/>
    <n v="542272.5"/>
    <n v="22.083374566139256"/>
    <n v="245556.9"/>
    <n v="9"/>
    <x v="0"/>
    <n v="1"/>
  </r>
  <r>
    <x v="943"/>
    <x v="272"/>
    <d v="2024-06-06T00:00:00"/>
    <n v="83793.279999999999"/>
    <n v="10.069214500255868"/>
    <x v="2"/>
    <s v="B2C"/>
    <x v="2"/>
    <n v="0.97"/>
    <n v="927525.79"/>
    <n v="11.069214500255868"/>
    <n v="837932.8"/>
    <n v="9"/>
    <x v="0"/>
    <n v="1"/>
  </r>
  <r>
    <x v="944"/>
    <x v="284"/>
    <d v="2023-10-05T00:00:00"/>
    <n v="20492.32"/>
    <n v="13.308167157256962"/>
    <x v="3"/>
    <s v="B2C"/>
    <x v="2"/>
    <n v="0.43"/>
    <n v="293207.53999999998"/>
    <n v="14.308167157256962"/>
    <n v="204923.2"/>
    <n v="9"/>
    <x v="0"/>
    <n v="1"/>
  </r>
  <r>
    <x v="945"/>
    <x v="339"/>
    <d v="2023-12-14T00:00:00"/>
    <n v="84057.89"/>
    <n v="5.8392699364687832"/>
    <x v="1"/>
    <s v="B2B"/>
    <x v="2"/>
    <n v="0.69"/>
    <n v="574894.6"/>
    <n v="6.8392699364687832"/>
    <n v="574894.6"/>
    <n v="5.8392699364687832"/>
    <x v="0"/>
    <n v="0.3345831445197438"/>
  </r>
  <r>
    <x v="946"/>
    <x v="340"/>
    <d v="2023-09-01T00:00:00"/>
    <n v="44021.7"/>
    <n v="5.0982742601944047"/>
    <x v="2"/>
    <s v="B2B"/>
    <x v="1"/>
    <n v="0.71"/>
    <n v="268456.40000000002"/>
    <n v="6.0982742601944047"/>
    <n v="268456.40000000002"/>
    <n v="5.0982742601944047"/>
    <x v="0"/>
    <n v="0.17858405477776951"/>
  </r>
  <r>
    <x v="947"/>
    <x v="280"/>
    <d v="2024-05-06T00:00:00"/>
    <n v="72633.75"/>
    <n v="-0.36646200974065091"/>
    <x v="0"/>
    <s v="B2C"/>
    <x v="3"/>
    <n v="0.19"/>
    <n v="46016.24"/>
    <n v="0.63353799025934909"/>
    <n v="46016.24"/>
    <n v="-0.36646200974065091"/>
    <x v="1"/>
    <n v="-0.97188673889276866"/>
  </r>
  <r>
    <x v="948"/>
    <x v="86"/>
    <d v="2024-05-12T00:00:00"/>
    <n v="42103.6"/>
    <n v="17.743598884655945"/>
    <x v="2"/>
    <s v="B2C"/>
    <x v="0"/>
    <n v="0.84"/>
    <n v="789172.99"/>
    <n v="18.743598884655945"/>
    <n v="421036"/>
    <n v="9"/>
    <x v="0"/>
    <n v="1"/>
  </r>
  <r>
    <x v="949"/>
    <x v="333"/>
    <d v="2024-01-18T00:00:00"/>
    <n v="30951.13"/>
    <n v="17.630157606523575"/>
    <x v="0"/>
    <s v="B2C"/>
    <x v="3"/>
    <n v="0.25"/>
    <n v="576624.43000000005"/>
    <n v="18.630157606523575"/>
    <n v="309511.3"/>
    <n v="9"/>
    <x v="0"/>
    <n v="1"/>
  </r>
  <r>
    <x v="950"/>
    <x v="272"/>
    <d v="2024-07-29T00:00:00"/>
    <n v="4675.43"/>
    <n v="136.28880552163113"/>
    <x v="3"/>
    <s v="B2B"/>
    <x v="2"/>
    <n v="0.5"/>
    <n v="641884.19999999995"/>
    <n v="137.28880552163113"/>
    <n v="46754.3"/>
    <n v="9"/>
    <x v="0"/>
    <n v="1"/>
  </r>
  <r>
    <x v="951"/>
    <x v="148"/>
    <d v="2023-11-19T00:00:00"/>
    <n v="55342"/>
    <n v="5.338023381879947"/>
    <x v="0"/>
    <s v="B2C"/>
    <x v="0"/>
    <n v="0.9"/>
    <n v="350758.89"/>
    <n v="6.338023381879947"/>
    <n v="350758.89"/>
    <n v="5.338023381879947"/>
    <x v="0"/>
    <n v="0.22905755407998885"/>
  </r>
  <r>
    <x v="952"/>
    <x v="63"/>
    <d v="2024-06-05T00:00:00"/>
    <n v="83667.240000000005"/>
    <n v="4.504358695231252"/>
    <x v="3"/>
    <s v="B2B"/>
    <x v="0"/>
    <n v="0"/>
    <n v="460534.5"/>
    <n v="5.5043586952312511"/>
    <n v="460534.5"/>
    <n v="4.504358695231252"/>
    <x v="0"/>
    <n v="5.3549198996053038E-2"/>
  </r>
  <r>
    <x v="953"/>
    <x v="86"/>
    <d v="2023-11-02T00:00:00"/>
    <n v="69912.37"/>
    <n v="3.6517230069585684"/>
    <x v="0"/>
    <s v="B2C"/>
    <x v="1"/>
    <n v="0.24"/>
    <n v="325212.98"/>
    <n v="4.6517230069585684"/>
    <n v="325212.98"/>
    <n v="3.6517230069585684"/>
    <x v="0"/>
    <n v="-0.12595305116661715"/>
  </r>
  <r>
    <x v="954"/>
    <x v="109"/>
    <d v="2024-07-30T00:00:00"/>
    <n v="68203.64"/>
    <n v="12.660086323838435"/>
    <x v="0"/>
    <s v="B2B"/>
    <x v="0"/>
    <n v="0.56000000000000005"/>
    <n v="931667.61"/>
    <n v="13.660086323838435"/>
    <n v="682036.4"/>
    <n v="9"/>
    <x v="0"/>
    <n v="1"/>
  </r>
  <r>
    <x v="955"/>
    <x v="64"/>
    <d v="2024-05-20T00:00:00"/>
    <n v="53848.51"/>
    <n v="16.467205313573206"/>
    <x v="0"/>
    <s v="B2B"/>
    <x v="0"/>
    <n v="0.98"/>
    <n v="940582.98"/>
    <n v="17.467205313573206"/>
    <n v="538485.1"/>
    <n v="8.9999999999999982"/>
    <x v="0"/>
    <n v="0.99999999999999956"/>
  </r>
  <r>
    <x v="956"/>
    <x v="210"/>
    <d v="2023-10-05T00:00:00"/>
    <n v="2339.3000000000002"/>
    <n v="83.599901679989728"/>
    <x v="3"/>
    <s v="B2B"/>
    <x v="0"/>
    <n v="0.73"/>
    <n v="197904.55"/>
    <n v="84.599901679989728"/>
    <n v="23393"/>
    <n v="9"/>
    <x v="0"/>
    <n v="1"/>
  </r>
  <r>
    <x v="957"/>
    <x v="135"/>
    <d v="2024-03-18T00:00:00"/>
    <n v="85162.21"/>
    <n v="5.4323690049847224"/>
    <x v="2"/>
    <s v="B2C"/>
    <x v="1"/>
    <n v="0.9"/>
    <n v="547794.76"/>
    <n v="6.4323690049847224"/>
    <n v="547794.76"/>
    <n v="5.4323690049847224"/>
    <x v="0"/>
    <n v="0.24891979052309954"/>
  </r>
  <r>
    <x v="958"/>
    <x v="58"/>
    <d v="2023-09-23T00:00:00"/>
    <n v="57412.53"/>
    <n v="8.4105920780707635"/>
    <x v="2"/>
    <s v="B2C"/>
    <x v="2"/>
    <n v="0.2"/>
    <n v="540285.9"/>
    <n v="9.4105920780707635"/>
    <n v="540285.9"/>
    <n v="8.4105920780707635"/>
    <x v="0"/>
    <n v="0.87591412169910821"/>
  </r>
  <r>
    <x v="959"/>
    <x v="193"/>
    <d v="2024-07-22T00:00:00"/>
    <n v="17051.21"/>
    <n v="32.578643392463057"/>
    <x v="3"/>
    <s v="B2B"/>
    <x v="1"/>
    <n v="0.22"/>
    <n v="572556.5"/>
    <n v="33.578643392463057"/>
    <n v="170512.09999999998"/>
    <n v="9"/>
    <x v="0"/>
    <n v="1"/>
  </r>
  <r>
    <x v="960"/>
    <x v="59"/>
    <d v="2024-01-13T00:00:00"/>
    <n v="20606.52"/>
    <n v="15.835423448500764"/>
    <x v="2"/>
    <s v="B2B"/>
    <x v="0"/>
    <n v="0.42"/>
    <n v="346919.49"/>
    <n v="16.835423448500766"/>
    <n v="206065.2"/>
    <n v="9"/>
    <x v="0"/>
    <n v="1"/>
  </r>
  <r>
    <x v="961"/>
    <x v="210"/>
    <d v="2024-07-23T00:00:00"/>
    <n v="18637.27"/>
    <n v="4.6528584926869652"/>
    <x v="1"/>
    <s v="B2B"/>
    <x v="2"/>
    <n v="0.16"/>
    <n v="105353.85"/>
    <n v="5.6528584926869652"/>
    <n v="105353.85"/>
    <n v="4.6528584926869652"/>
    <x v="0"/>
    <n v="8.4812314249887333E-2"/>
  </r>
  <r>
    <x v="962"/>
    <x v="218"/>
    <d v="2023-12-18T00:00:00"/>
    <n v="57858.79"/>
    <n v="12.061434053494724"/>
    <x v="0"/>
    <s v="B2B"/>
    <x v="3"/>
    <n v="0.16"/>
    <n v="755718.77"/>
    <n v="13.061434053494724"/>
    <n v="578587.9"/>
    <n v="9"/>
    <x v="0"/>
    <n v="1"/>
  </r>
  <r>
    <x v="963"/>
    <x v="183"/>
    <d v="2023-09-05T00:00:00"/>
    <n v="9933.82"/>
    <n v="27.883332897113096"/>
    <x v="0"/>
    <s v="B2C"/>
    <x v="1"/>
    <n v="0.35"/>
    <n v="286921.83"/>
    <n v="28.883332897113096"/>
    <n v="99338.2"/>
    <n v="9"/>
    <x v="0"/>
    <n v="1"/>
  </r>
  <r>
    <x v="964"/>
    <x v="67"/>
    <d v="2023-12-10T00:00:00"/>
    <n v="55733.120000000003"/>
    <n v="1.6614497806690167"/>
    <x v="3"/>
    <s v="B2C"/>
    <x v="1"/>
    <n v="0.31"/>
    <n v="148330.9"/>
    <n v="2.6614497806690167"/>
    <n v="148330.9"/>
    <n v="1.6614497806690167"/>
    <x v="0"/>
    <n v="-0.54495794091178595"/>
  </r>
  <r>
    <x v="965"/>
    <x v="110"/>
    <d v="2024-02-17T00:00:00"/>
    <n v="3854.95"/>
    <n v="57.075279835017312"/>
    <x v="3"/>
    <s v="B2B"/>
    <x v="1"/>
    <n v="0.34"/>
    <n v="223877.3"/>
    <n v="58.075279835017312"/>
    <n v="38549.5"/>
    <n v="9.0000000000000018"/>
    <x v="0"/>
    <n v="1.0000000000000004"/>
  </r>
  <r>
    <x v="966"/>
    <x v="99"/>
    <d v="2024-01-23T00:00:00"/>
    <n v="43185.33"/>
    <n v="20.266695889553237"/>
    <x v="0"/>
    <s v="B2B"/>
    <x v="3"/>
    <n v="0.72"/>
    <n v="918409.28"/>
    <n v="21.266695889553233"/>
    <n v="431853.30000000005"/>
    <n v="9"/>
    <x v="0"/>
    <n v="1"/>
  </r>
  <r>
    <x v="967"/>
    <x v="176"/>
    <d v="2023-11-21T00:00:00"/>
    <n v="35728.11"/>
    <n v="14.582384010797101"/>
    <x v="2"/>
    <s v="B2C"/>
    <x v="0"/>
    <n v="0.97"/>
    <n v="556729.13"/>
    <n v="15.582384010797101"/>
    <n v="357281.1"/>
    <n v="9"/>
    <x v="0"/>
    <n v="1"/>
  </r>
  <r>
    <x v="968"/>
    <x v="307"/>
    <d v="2023-10-04T00:00:00"/>
    <n v="70220.820000000007"/>
    <n v="0.27773899535778701"/>
    <x v="3"/>
    <s v="B2B"/>
    <x v="2"/>
    <n v="0.33"/>
    <n v="89723.88"/>
    <n v="1.2777389953577869"/>
    <n v="89723.88"/>
    <n v="0.27773899535778701"/>
    <x v="1"/>
    <n v="-0.83626547466151857"/>
  </r>
  <r>
    <x v="969"/>
    <x v="341"/>
    <d v="2024-06-06T00:00:00"/>
    <n v="39506.879999999997"/>
    <n v="18.07053353744968"/>
    <x v="2"/>
    <s v="B2C"/>
    <x v="0"/>
    <n v="0.81"/>
    <n v="753417.28"/>
    <n v="19.07053353744968"/>
    <n v="395068.8"/>
    <n v="9"/>
    <x v="0"/>
    <n v="1"/>
  </r>
  <r>
    <x v="970"/>
    <x v="272"/>
    <d v="2024-02-27T00:00:00"/>
    <n v="93971.199999999997"/>
    <n v="1.470247799325751"/>
    <x v="1"/>
    <s v="B2C"/>
    <x v="1"/>
    <n v="0.28999999999999998"/>
    <n v="232132.15"/>
    <n v="2.470247799325751"/>
    <n v="232132.15"/>
    <n v="1.470247799325751"/>
    <x v="0"/>
    <n v="-0.58521098961563145"/>
  </r>
  <r>
    <x v="971"/>
    <x v="148"/>
    <d v="2024-04-17T00:00:00"/>
    <n v="51220.79"/>
    <n v="14.320502866121354"/>
    <x v="2"/>
    <s v="B2C"/>
    <x v="3"/>
    <n v="0.13"/>
    <n v="784728.26"/>
    <n v="15.320502866121354"/>
    <n v="512207.9"/>
    <n v="9"/>
    <x v="0"/>
    <n v="1"/>
  </r>
  <r>
    <x v="972"/>
    <x v="23"/>
    <d v="2024-06-21T00:00:00"/>
    <n v="88113.95"/>
    <n v="4.9951250624901053"/>
    <x v="0"/>
    <s v="B2B"/>
    <x v="2"/>
    <n v="0.49"/>
    <n v="528254.15"/>
    <n v="5.9951250624901053"/>
    <n v="528254.15"/>
    <n v="4.9951250624901053"/>
    <x v="0"/>
    <n v="0.15686843420844321"/>
  </r>
  <r>
    <x v="973"/>
    <x v="169"/>
    <d v="2023-08-23T00:00:00"/>
    <n v="62829.72"/>
    <n v="3.0389438310404691"/>
    <x v="2"/>
    <s v="B2C"/>
    <x v="3"/>
    <n v="0.62"/>
    <n v="253765.71"/>
    <n v="4.0389438310404691"/>
    <n v="253765.71"/>
    <n v="3.0389438310404691"/>
    <x v="0"/>
    <n v="-0.25495919346516438"/>
  </r>
  <r>
    <x v="974"/>
    <x v="152"/>
    <d v="2023-12-26T00:00:00"/>
    <n v="79350.42"/>
    <n v="3.1949093653190497"/>
    <x v="2"/>
    <s v="B2C"/>
    <x v="0"/>
    <n v="0.56999999999999995"/>
    <n v="332867.82"/>
    <n v="4.1949093653190497"/>
    <n v="332867.82"/>
    <n v="3.1949093653190497"/>
    <x v="0"/>
    <n v="-0.22212434414335791"/>
  </r>
  <r>
    <x v="975"/>
    <x v="4"/>
    <d v="2023-08-18T00:00:00"/>
    <n v="69815.820000000007"/>
    <n v="-0.95974393769205901"/>
    <x v="1"/>
    <s v="B2C"/>
    <x v="0"/>
    <n v="0.27"/>
    <n v="2810.51"/>
    <n v="4.0256062307941091E-2"/>
    <n v="34907.910000000003"/>
    <n v="-0.5"/>
    <x v="1"/>
    <n v="-1"/>
  </r>
  <r>
    <x v="976"/>
    <x v="64"/>
    <d v="2024-05-27T00:00:00"/>
    <n v="29206.799999999999"/>
    <n v="20.514720544530725"/>
    <x v="3"/>
    <s v="B2C"/>
    <x v="3"/>
    <n v="0.34"/>
    <n v="628376.14"/>
    <n v="21.514720544530725"/>
    <n v="292068"/>
    <n v="9"/>
    <x v="0"/>
    <n v="1"/>
  </r>
  <r>
    <x v="977"/>
    <x v="48"/>
    <d v="2024-02-27T00:00:00"/>
    <n v="59160"/>
    <n v="5.3590299188640973"/>
    <x v="0"/>
    <s v="B2B"/>
    <x v="0"/>
    <n v="0.69"/>
    <n v="376200.21"/>
    <n v="6.3590299188640973"/>
    <n v="376200.21"/>
    <n v="5.3590299188640973"/>
    <x v="0"/>
    <n v="0.23347998291875727"/>
  </r>
  <r>
    <x v="978"/>
    <x v="254"/>
    <d v="2023-11-13T00:00:00"/>
    <n v="17097.490000000002"/>
    <n v="21.13469287012304"/>
    <x v="0"/>
    <s v="B2B"/>
    <x v="3"/>
    <n v="0.82"/>
    <n v="378447.69"/>
    <n v="22.13469287012304"/>
    <n v="170974.90000000002"/>
    <n v="9.0000000000000018"/>
    <x v="0"/>
    <n v="1.0000000000000004"/>
  </r>
  <r>
    <x v="979"/>
    <x v="12"/>
    <d v="2024-07-27T00:00:00"/>
    <n v="31330.31"/>
    <n v="25.196347243292518"/>
    <x v="0"/>
    <s v="B2B"/>
    <x v="0"/>
    <n v="0.77"/>
    <n v="820739.68"/>
    <n v="26.196347243292518"/>
    <n v="313303.10000000003"/>
    <n v="9"/>
    <x v="0"/>
    <n v="1"/>
  </r>
  <r>
    <x v="980"/>
    <x v="67"/>
    <d v="2023-11-03T00:00:00"/>
    <n v="35539.129999999997"/>
    <n v="15.302168905091376"/>
    <x v="3"/>
    <s v="B2C"/>
    <x v="3"/>
    <n v="0.68"/>
    <n v="579364.9"/>
    <n v="16.302168905091374"/>
    <n v="355391.3"/>
    <n v="9"/>
    <x v="0"/>
    <n v="1"/>
  </r>
  <r>
    <x v="981"/>
    <x v="71"/>
    <d v="2023-08-28T00:00:00"/>
    <n v="43792.4"/>
    <n v="0.60638307103515665"/>
    <x v="2"/>
    <s v="B2B"/>
    <x v="2"/>
    <n v="0.81"/>
    <n v="70347.37"/>
    <n v="1.6063830710351565"/>
    <n v="70347.37"/>
    <n v="0.60638307103515665"/>
    <x v="0"/>
    <n v="-0.76707724820312495"/>
  </r>
  <r>
    <x v="982"/>
    <x v="49"/>
    <d v="2024-04-30T00:00:00"/>
    <n v="80292.7"/>
    <n v="-0.75716684082114571"/>
    <x v="2"/>
    <s v="B2B"/>
    <x v="3"/>
    <n v="0.25"/>
    <n v="19497.73"/>
    <n v="0.24283315917885437"/>
    <n v="40146.35"/>
    <n v="-0.5"/>
    <x v="1"/>
    <n v="-1"/>
  </r>
  <r>
    <x v="983"/>
    <x v="93"/>
    <d v="2023-09-10T00:00:00"/>
    <n v="93319.78"/>
    <n v="6.910911170172068"/>
    <x v="3"/>
    <s v="B2B"/>
    <x v="1"/>
    <n v="0.56999999999999995"/>
    <n v="738244.49"/>
    <n v="7.9109111701720689"/>
    <n v="738244.49"/>
    <n v="6.910911170172068"/>
    <x v="0"/>
    <n v="0.56019182529938272"/>
  </r>
  <r>
    <x v="984"/>
    <x v="342"/>
    <d v="2023-12-28T00:00:00"/>
    <n v="25534.3"/>
    <n v="4.5517069197119175"/>
    <x v="0"/>
    <s v="B2C"/>
    <x v="2"/>
    <n v="0.99"/>
    <n v="141758.95000000001"/>
    <n v="5.5517069197119175"/>
    <n v="141758.95000000001"/>
    <n v="4.5517069197119175"/>
    <x v="0"/>
    <n v="6.3517246255140547E-2"/>
  </r>
  <r>
    <x v="203"/>
    <x v="18"/>
    <d v="2023-08-07T00:00:00"/>
    <n v="7315.35"/>
    <n v="21.254376072231675"/>
    <x v="0"/>
    <s v="B2C"/>
    <x v="3"/>
    <n v="0.7"/>
    <n v="162798.54999999999"/>
    <n v="22.254376072231675"/>
    <n v="73153.5"/>
    <n v="8.9999999999999982"/>
    <x v="0"/>
    <n v="0.99999999999999956"/>
  </r>
  <r>
    <x v="985"/>
    <x v="156"/>
    <d v="2024-01-27T00:00:00"/>
    <n v="4714.75"/>
    <n v="137.00383053184157"/>
    <x v="0"/>
    <s v="B2B"/>
    <x v="3"/>
    <n v="0.12"/>
    <n v="650653.56000000006"/>
    <n v="138.00383053184157"/>
    <n v="47147.5"/>
    <n v="9"/>
    <x v="0"/>
    <n v="1"/>
  </r>
  <r>
    <x v="986"/>
    <x v="250"/>
    <d v="2023-08-31T00:00:00"/>
    <n v="83835.240000000005"/>
    <n v="0.92887418226511898"/>
    <x v="2"/>
    <s v="B2C"/>
    <x v="0"/>
    <n v="0.48"/>
    <n v="161707.63"/>
    <n v="1.928874182265119"/>
    <n v="161707.63"/>
    <n v="0.92887418226511898"/>
    <x v="0"/>
    <n v="-0.69918438268102756"/>
  </r>
  <r>
    <x v="987"/>
    <x v="324"/>
    <d v="2023-09-12T00:00:00"/>
    <n v="17625"/>
    <n v="28.345053617021279"/>
    <x v="2"/>
    <s v="B2B"/>
    <x v="2"/>
    <n v="0.18"/>
    <n v="517206.57"/>
    <n v="29.345053617021279"/>
    <n v="176250"/>
    <n v="9"/>
    <x v="0"/>
    <n v="1"/>
  </r>
  <r>
    <x v="988"/>
    <x v="87"/>
    <d v="2024-07-31T00:00:00"/>
    <n v="29827.35"/>
    <n v="9.411694635963304"/>
    <x v="2"/>
    <s v="B2C"/>
    <x v="3"/>
    <n v="0.36"/>
    <n v="310553.26"/>
    <n v="10.411694635963302"/>
    <n v="298273.5"/>
    <n v="9.0000000000000018"/>
    <x v="0"/>
    <n v="1.0000000000000004"/>
  </r>
  <r>
    <x v="989"/>
    <x v="194"/>
    <d v="2023-10-06T00:00:00"/>
    <n v="62616.23"/>
    <n v="9.4220955174081862"/>
    <x v="0"/>
    <s v="B2B"/>
    <x v="0"/>
    <n v="0.7"/>
    <n v="652592.32999999996"/>
    <n v="10.422095517408184"/>
    <n v="626162.30000000005"/>
    <n v="9"/>
    <x v="0"/>
    <n v="1"/>
  </r>
  <r>
    <x v="990"/>
    <x v="343"/>
    <d v="2023-11-21T00:00:00"/>
    <n v="47196.25"/>
    <n v="11.137335063696797"/>
    <x v="1"/>
    <s v="B2C"/>
    <x v="1"/>
    <n v="0.92"/>
    <n v="572836.69999999995"/>
    <n v="12.137335063696797"/>
    <n v="471962.5"/>
    <n v="9"/>
    <x v="0"/>
    <n v="1"/>
  </r>
  <r>
    <x v="991"/>
    <x v="51"/>
    <d v="2023-12-07T00:00:00"/>
    <n v="4072.67"/>
    <n v="0.87506967173868733"/>
    <x v="3"/>
    <s v="B2C"/>
    <x v="0"/>
    <n v="0.18"/>
    <n v="7636.54"/>
    <n v="1.8750696717386874"/>
    <n v="7636.54"/>
    <n v="0.87506967173868733"/>
    <x v="0"/>
    <n v="-0.71051164805501321"/>
  </r>
  <r>
    <x v="992"/>
    <x v="108"/>
    <d v="2024-07-28T00:00:00"/>
    <n v="82509.649999999994"/>
    <n v="7.5131150113956373"/>
    <x v="3"/>
    <s v="B2B"/>
    <x v="3"/>
    <n v="0.28999999999999998"/>
    <n v="702414.14"/>
    <n v="8.5131150113956373"/>
    <n v="702414.14"/>
    <n v="7.5131150113956373"/>
    <x v="0"/>
    <n v="0.68697158134644987"/>
  </r>
  <r>
    <x v="993"/>
    <x v="123"/>
    <d v="2024-02-12T00:00:00"/>
    <n v="50412.87"/>
    <n v="5.6313193436517306"/>
    <x v="3"/>
    <s v="B2B"/>
    <x v="1"/>
    <n v="0.27"/>
    <n v="334303.84000000003"/>
    <n v="6.6313193436517306"/>
    <n v="334303.84000000003"/>
    <n v="5.6313193436517306"/>
    <x v="0"/>
    <n v="0.29080407234773276"/>
  </r>
  <r>
    <x v="994"/>
    <x v="206"/>
    <d v="2024-03-06T00:00:00"/>
    <n v="93586.76"/>
    <n v="5.4324005874335217"/>
    <x v="3"/>
    <s v="B2C"/>
    <x v="0"/>
    <n v="0.87"/>
    <n v="601987.53"/>
    <n v="6.4324005874335226"/>
    <n v="601987.53"/>
    <n v="5.4324005874335217"/>
    <x v="0"/>
    <n v="0.24892643945968884"/>
  </r>
  <r>
    <x v="995"/>
    <x v="110"/>
    <d v="2024-02-28T00:00:00"/>
    <n v="7401.5"/>
    <n v="71.589907451192317"/>
    <x v="1"/>
    <s v="B2B"/>
    <x v="0"/>
    <n v="0.12"/>
    <n v="537274.19999999995"/>
    <n v="72.589907451192317"/>
    <n v="74015"/>
    <n v="9"/>
    <x v="0"/>
    <n v="1"/>
  </r>
  <r>
    <x v="996"/>
    <x v="248"/>
    <d v="2023-12-01T00:00:00"/>
    <n v="97845.91"/>
    <n v="9.0727858732163664"/>
    <x v="2"/>
    <s v="B2B"/>
    <x v="2"/>
    <n v="0.63"/>
    <n v="985580.9"/>
    <n v="10.072785873216366"/>
    <n v="978459.10000000009"/>
    <n v="9"/>
    <x v="0"/>
    <n v="1"/>
  </r>
  <r>
    <x v="997"/>
    <x v="28"/>
    <d v="2024-06-25T00:00:00"/>
    <n v="77555.399999999994"/>
    <n v="6.9098076987546975"/>
    <x v="0"/>
    <s v="B2C"/>
    <x v="0"/>
    <n v="0.21"/>
    <n v="613448.30000000005"/>
    <n v="7.9098076987546975"/>
    <n v="613448.30000000005"/>
    <n v="6.9098076987546975"/>
    <x v="0"/>
    <n v="0.55995951552730472"/>
  </r>
  <r>
    <x v="998"/>
    <x v="31"/>
    <d v="2023-10-29T00:00:00"/>
    <n v="11168.71"/>
    <n v="23.850623751534417"/>
    <x v="3"/>
    <s v="B2C"/>
    <x v="1"/>
    <n v="0.2"/>
    <n v="277549.40999999997"/>
    <n v="24.850623751534421"/>
    <n v="111687.09999999999"/>
    <n v="9"/>
    <x v="0"/>
    <n v="1"/>
  </r>
  <r>
    <x v="999"/>
    <x v="344"/>
    <m/>
    <m/>
    <m/>
    <x v="4"/>
    <m/>
    <x v="4"/>
    <m/>
    <m/>
    <m/>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056945-9BE8-4DFA-8E04-9A2541ED5D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5:F22" firstHeaderRow="1" firstDataRow="3" firstDataCol="1"/>
  <pivotFields count="18">
    <pivotField showAll="0">
      <items count="1001">
        <item x="352"/>
        <item x="71"/>
        <item x="689"/>
        <item x="279"/>
        <item x="852"/>
        <item x="939"/>
        <item x="504"/>
        <item x="514"/>
        <item x="254"/>
        <item x="492"/>
        <item x="562"/>
        <item x="772"/>
        <item x="441"/>
        <item x="175"/>
        <item x="405"/>
        <item x="227"/>
        <item x="39"/>
        <item x="248"/>
        <item x="111"/>
        <item x="349"/>
        <item x="332"/>
        <item x="544"/>
        <item x="760"/>
        <item x="280"/>
        <item x="338"/>
        <item x="259"/>
        <item x="895"/>
        <item x="361"/>
        <item x="528"/>
        <item x="618"/>
        <item x="741"/>
        <item x="491"/>
        <item x="187"/>
        <item x="679"/>
        <item x="116"/>
        <item x="460"/>
        <item x="570"/>
        <item x="899"/>
        <item x="604"/>
        <item x="404"/>
        <item x="690"/>
        <item x="631"/>
        <item x="880"/>
        <item x="2"/>
        <item x="569"/>
        <item x="841"/>
        <item x="165"/>
        <item x="915"/>
        <item x="873"/>
        <item x="475"/>
        <item x="516"/>
        <item x="59"/>
        <item x="577"/>
        <item x="154"/>
        <item x="190"/>
        <item x="680"/>
        <item x="152"/>
        <item x="556"/>
        <item x="756"/>
        <item x="342"/>
        <item x="593"/>
        <item x="272"/>
        <item x="101"/>
        <item x="398"/>
        <item x="318"/>
        <item x="555"/>
        <item x="727"/>
        <item x="430"/>
        <item x="910"/>
        <item x="474"/>
        <item x="705"/>
        <item x="393"/>
        <item x="546"/>
        <item x="931"/>
        <item x="820"/>
        <item x="140"/>
        <item x="218"/>
        <item x="394"/>
        <item x="425"/>
        <item x="787"/>
        <item x="397"/>
        <item x="840"/>
        <item x="444"/>
        <item x="76"/>
        <item x="718"/>
        <item x="345"/>
        <item x="923"/>
        <item x="373"/>
        <item x="829"/>
        <item x="33"/>
        <item x="15"/>
        <item x="221"/>
        <item x="478"/>
        <item x="714"/>
        <item x="798"/>
        <item x="387"/>
        <item x="501"/>
        <item x="244"/>
        <item x="16"/>
        <item x="205"/>
        <item x="513"/>
        <item x="495"/>
        <item x="234"/>
        <item x="456"/>
        <item x="894"/>
        <item x="536"/>
        <item x="41"/>
        <item x="485"/>
        <item x="776"/>
        <item x="22"/>
        <item x="138"/>
        <item x="696"/>
        <item x="144"/>
        <item x="11"/>
        <item x="799"/>
        <item x="35"/>
        <item x="590"/>
        <item x="958"/>
        <item x="488"/>
        <item x="720"/>
        <item x="864"/>
        <item x="173"/>
        <item x="494"/>
        <item x="463"/>
        <item x="132"/>
        <item x="436"/>
        <item x="388"/>
        <item x="304"/>
        <item x="490"/>
        <item x="621"/>
        <item x="697"/>
        <item x="34"/>
        <item x="297"/>
        <item x="458"/>
        <item x="737"/>
        <item x="449"/>
        <item x="810"/>
        <item x="496"/>
        <item x="243"/>
        <item x="403"/>
        <item x="324"/>
        <item x="957"/>
        <item x="428"/>
        <item x="240"/>
        <item x="662"/>
        <item x="92"/>
        <item x="465"/>
        <item x="213"/>
        <item x="452"/>
        <item x="19"/>
        <item x="423"/>
        <item x="1"/>
        <item x="709"/>
        <item x="122"/>
        <item x="706"/>
        <item x="722"/>
        <item x="287"/>
        <item x="936"/>
        <item x="467"/>
        <item x="881"/>
        <item x="912"/>
        <item x="974"/>
        <item x="399"/>
        <item x="529"/>
        <item x="274"/>
        <item x="583"/>
        <item x="79"/>
        <item x="282"/>
        <item x="499"/>
        <item x="326"/>
        <item x="235"/>
        <item x="168"/>
        <item x="550"/>
        <item x="176"/>
        <item x="686"/>
        <item x="729"/>
        <item x="242"/>
        <item x="989"/>
        <item x="214"/>
        <item x="333"/>
        <item x="302"/>
        <item x="129"/>
        <item x="3"/>
        <item x="751"/>
        <item x="857"/>
        <item x="228"/>
        <item x="66"/>
        <item x="289"/>
        <item x="666"/>
        <item x="114"/>
        <item x="51"/>
        <item x="249"/>
        <item x="226"/>
        <item x="64"/>
        <item x="260"/>
        <item x="945"/>
        <item x="261"/>
        <item x="162"/>
        <item x="251"/>
        <item x="517"/>
        <item x="743"/>
        <item x="845"/>
        <item x="866"/>
        <item x="763"/>
        <item x="537"/>
        <item x="141"/>
        <item x="67"/>
        <item x="147"/>
        <item x="693"/>
        <item x="600"/>
        <item x="88"/>
        <item x="656"/>
        <item x="835"/>
        <item x="809"/>
        <item x="503"/>
        <item x="340"/>
        <item x="443"/>
        <item x="109"/>
        <item x="761"/>
        <item x="956"/>
        <item x="784"/>
        <item x="683"/>
        <item x="70"/>
        <item x="636"/>
        <item x="813"/>
        <item x="896"/>
        <item x="158"/>
        <item x="439"/>
        <item x="955"/>
        <item x="844"/>
        <item x="715"/>
        <item x="869"/>
        <item x="169"/>
        <item x="37"/>
        <item x="649"/>
        <item x="643"/>
        <item x="429"/>
        <item x="74"/>
        <item x="793"/>
        <item x="412"/>
        <item x="179"/>
        <item x="502"/>
        <item x="924"/>
        <item x="233"/>
        <item x="582"/>
        <item x="733"/>
        <item x="736"/>
        <item x="94"/>
        <item x="930"/>
        <item x="102"/>
        <item x="975"/>
        <item x="534"/>
        <item x="597"/>
        <item x="223"/>
        <item x="863"/>
        <item x="532"/>
        <item x="876"/>
        <item x="606"/>
        <item x="865"/>
        <item x="828"/>
        <item x="719"/>
        <item x="174"/>
        <item x="354"/>
        <item x="409"/>
        <item x="589"/>
        <item x="139"/>
        <item x="547"/>
        <item x="797"/>
        <item x="247"/>
        <item x="778"/>
        <item x="420"/>
        <item x="921"/>
        <item x="401"/>
        <item x="867"/>
        <item x="926"/>
        <item x="757"/>
        <item x="202"/>
        <item x="969"/>
        <item x="903"/>
        <item x="888"/>
        <item x="194"/>
        <item x="4"/>
        <item x="80"/>
        <item x="476"/>
        <item x="207"/>
        <item x="421"/>
        <item x="619"/>
        <item x="482"/>
        <item x="638"/>
        <item x="119"/>
        <item x="57"/>
        <item x="603"/>
        <item x="521"/>
        <item x="598"/>
        <item x="846"/>
        <item x="620"/>
        <item x="878"/>
        <item x="640"/>
        <item x="357"/>
        <item x="276"/>
        <item x="188"/>
        <item x="791"/>
        <item x="758"/>
        <item x="273"/>
        <item x="52"/>
        <item x="68"/>
        <item x="610"/>
        <item x="588"/>
        <item x="18"/>
        <item x="518"/>
        <item x="258"/>
        <item x="567"/>
        <item x="263"/>
        <item x="774"/>
        <item x="91"/>
        <item x="811"/>
        <item x="49"/>
        <item x="23"/>
        <item x="512"/>
        <item x="459"/>
        <item x="724"/>
        <item x="278"/>
        <item x="615"/>
        <item x="917"/>
        <item x="734"/>
        <item x="484"/>
        <item x="628"/>
        <item x="457"/>
        <item x="81"/>
        <item x="239"/>
        <item x="353"/>
        <item x="802"/>
        <item x="634"/>
        <item x="171"/>
        <item x="711"/>
        <item x="256"/>
        <item x="889"/>
        <item x="356"/>
        <item x="198"/>
        <item x="710"/>
        <item x="229"/>
        <item x="24"/>
        <item x="703"/>
        <item x="380"/>
        <item x="231"/>
        <item x="831"/>
        <item x="633"/>
        <item x="612"/>
        <item x="948"/>
        <item x="870"/>
        <item x="963"/>
        <item x="907"/>
        <item x="591"/>
        <item x="783"/>
        <item x="329"/>
        <item x="905"/>
        <item x="82"/>
        <item x="893"/>
        <item x="6"/>
        <item x="745"/>
        <item x="148"/>
        <item x="704"/>
        <item x="566"/>
        <item x="581"/>
        <item x="935"/>
        <item x="938"/>
        <item x="622"/>
        <item x="14"/>
        <item x="576"/>
        <item x="565"/>
        <item x="937"/>
        <item x="347"/>
        <item x="732"/>
        <item x="104"/>
        <item x="611"/>
        <item x="510"/>
        <item x="197"/>
        <item x="535"/>
        <item x="837"/>
        <item x="992"/>
        <item x="818"/>
        <item x="75"/>
        <item x="17"/>
        <item x="635"/>
        <item x="44"/>
        <item x="531"/>
        <item x="668"/>
        <item x="827"/>
        <item x="85"/>
        <item x="9"/>
        <item x="350"/>
        <item x="468"/>
        <item x="65"/>
        <item x="609"/>
        <item x="417"/>
        <item x="676"/>
        <item x="25"/>
        <item x="803"/>
        <item x="671"/>
        <item x="293"/>
        <item x="288"/>
        <item x="667"/>
        <item x="437"/>
        <item x="752"/>
        <item x="307"/>
        <item x="928"/>
        <item x="862"/>
        <item x="742"/>
        <item x="123"/>
        <item x="953"/>
        <item x="27"/>
        <item x="69"/>
        <item x="195"/>
        <item x="596"/>
        <item x="348"/>
        <item x="411"/>
        <item x="435"/>
        <item x="747"/>
        <item x="985"/>
        <item x="785"/>
        <item x="20"/>
        <item x="670"/>
        <item x="424"/>
        <item x="549"/>
        <item x="210"/>
        <item x="45"/>
        <item x="725"/>
        <item x="770"/>
        <item x="480"/>
        <item x="281"/>
        <item x="641"/>
        <item x="406"/>
        <item x="215"/>
        <item x="204"/>
        <item x="471"/>
        <item x="186"/>
        <item x="396"/>
        <item x="694"/>
        <item x="658"/>
        <item x="995"/>
        <item x="362"/>
        <item x="856"/>
        <item x="986"/>
        <item x="61"/>
        <item x="301"/>
        <item x="901"/>
        <item x="336"/>
        <item x="877"/>
        <item x="447"/>
        <item x="434"/>
        <item x="150"/>
        <item x="572"/>
        <item x="602"/>
        <item x="325"/>
        <item x="677"/>
        <item x="10"/>
        <item x="462"/>
        <item x="861"/>
        <item x="391"/>
        <item x="438"/>
        <item x="627"/>
        <item x="700"/>
        <item x="575"/>
        <item x="650"/>
        <item x="647"/>
        <item x="882"/>
        <item x="500"/>
        <item x="971"/>
        <item x="432"/>
        <item x="674"/>
        <item x="808"/>
        <item x="967"/>
        <item x="790"/>
        <item x="766"/>
        <item x="608"/>
        <item x="407"/>
        <item x="920"/>
        <item x="341"/>
        <item x="753"/>
        <item x="377"/>
        <item x="183"/>
        <item x="390"/>
        <item x="665"/>
        <item x="358"/>
        <item x="299"/>
        <item x="133"/>
        <item x="145"/>
        <item x="113"/>
        <item x="12"/>
        <item x="182"/>
        <item x="970"/>
        <item x="804"/>
        <item x="29"/>
        <item x="898"/>
        <item x="160"/>
        <item x="469"/>
        <item x="819"/>
        <item x="775"/>
        <item x="966"/>
        <item x="890"/>
        <item x="346"/>
        <item x="72"/>
        <item x="584"/>
        <item x="270"/>
        <item x="934"/>
        <item x="561"/>
        <item x="699"/>
        <item x="448"/>
        <item x="285"/>
        <item x="283"/>
        <item x="702"/>
        <item x="885"/>
        <item x="884"/>
        <item x="996"/>
        <item x="385"/>
        <item x="601"/>
        <item x="153"/>
        <item x="365"/>
        <item x="300"/>
        <item x="30"/>
        <item x="964"/>
        <item x="897"/>
        <item x="55"/>
        <item x="178"/>
        <item x="90"/>
        <item x="988"/>
        <item x="225"/>
        <item x="366"/>
        <item x="587"/>
        <item x="84"/>
        <item x="470"/>
        <item x="313"/>
        <item x="222"/>
        <item x="624"/>
        <item x="858"/>
        <item x="316"/>
        <item x="843"/>
        <item x="806"/>
        <item x="659"/>
        <item x="909"/>
        <item x="997"/>
        <item x="292"/>
        <item x="507"/>
        <item x="767"/>
        <item x="708"/>
        <item x="871"/>
        <item x="573"/>
        <item x="978"/>
        <item x="402"/>
        <item x="298"/>
        <item x="13"/>
        <item x="100"/>
        <item x="929"/>
        <item x="764"/>
        <item x="672"/>
        <item x="973"/>
        <item x="916"/>
        <item x="201"/>
        <item x="644"/>
        <item x="663"/>
        <item x="156"/>
        <item x="987"/>
        <item x="208"/>
        <item x="653"/>
        <item x="46"/>
        <item x="595"/>
        <item x="58"/>
        <item x="681"/>
        <item x="559"/>
        <item x="599"/>
        <item x="433"/>
        <item x="317"/>
        <item x="993"/>
        <item x="220"/>
        <item x="639"/>
        <item x="520"/>
        <item x="371"/>
        <item x="682"/>
        <item x="115"/>
        <item x="839"/>
        <item x="673"/>
        <item x="904"/>
        <item x="265"/>
        <item x="830"/>
        <item x="155"/>
        <item x="180"/>
        <item x="777"/>
        <item x="511"/>
        <item x="739"/>
        <item x="339"/>
        <item x="498"/>
        <item x="134"/>
        <item x="121"/>
        <item x="632"/>
        <item x="933"/>
        <item x="250"/>
        <item x="526"/>
        <item x="792"/>
        <item x="60"/>
        <item x="252"/>
        <item x="106"/>
        <item x="327"/>
        <item x="382"/>
        <item x="103"/>
        <item x="695"/>
        <item x="731"/>
        <item x="749"/>
        <item x="330"/>
        <item x="968"/>
        <item x="309"/>
        <item x="607"/>
        <item x="364"/>
        <item x="487"/>
        <item x="900"/>
        <item x="211"/>
        <item x="748"/>
        <item x="782"/>
        <item x="189"/>
        <item x="539"/>
        <item x="414"/>
        <item x="26"/>
        <item x="321"/>
        <item x="120"/>
        <item x="519"/>
        <item x="455"/>
        <item x="951"/>
        <item x="212"/>
        <item x="164"/>
        <item x="161"/>
        <item x="645"/>
        <item x="927"/>
        <item x="557"/>
        <item x="167"/>
        <item x="497"/>
        <item x="359"/>
        <item x="368"/>
        <item x="284"/>
        <item x="568"/>
        <item x="8"/>
        <item x="574"/>
        <item x="728"/>
        <item x="473"/>
        <item x="453"/>
        <item x="824"/>
        <item x="868"/>
        <item x="551"/>
        <item x="376"/>
        <item x="838"/>
        <item x="701"/>
        <item x="400"/>
        <item x="306"/>
        <item x="721"/>
        <item x="384"/>
        <item x="97"/>
        <item x="236"/>
        <item x="48"/>
        <item x="40"/>
        <item x="664"/>
        <item x="427"/>
        <item x="159"/>
        <item x="312"/>
        <item x="822"/>
        <item x="977"/>
        <item x="779"/>
        <item x="370"/>
        <item x="185"/>
        <item x="543"/>
        <item x="717"/>
        <item x="949"/>
        <item x="914"/>
        <item x="77"/>
        <item x="323"/>
        <item x="124"/>
        <item x="707"/>
        <item x="563"/>
        <item x="98"/>
        <item x="374"/>
        <item x="431"/>
        <item x="961"/>
        <item x="823"/>
        <item x="0"/>
        <item x="334"/>
        <item x="545"/>
        <item x="489"/>
        <item x="146"/>
        <item x="918"/>
        <item x="369"/>
        <item x="826"/>
        <item x="128"/>
        <item x="580"/>
        <item x="655"/>
        <item x="506"/>
        <item x="269"/>
        <item x="360"/>
        <item x="906"/>
        <item x="87"/>
        <item x="383"/>
        <item x="940"/>
        <item x="117"/>
        <item x="290"/>
        <item x="422"/>
        <item x="294"/>
        <item x="812"/>
        <item x="118"/>
        <item x="560"/>
        <item x="170"/>
        <item x="585"/>
        <item x="626"/>
        <item x="181"/>
        <item x="848"/>
        <item x="684"/>
        <item x="805"/>
        <item x="481"/>
        <item x="253"/>
        <item x="62"/>
        <item x="408"/>
        <item x="246"/>
        <item x="392"/>
        <item x="267"/>
        <item x="410"/>
        <item x="617"/>
        <item x="554"/>
        <item x="464"/>
        <item x="637"/>
        <item x="477"/>
        <item x="648"/>
        <item x="925"/>
        <item x="466"/>
        <item x="629"/>
        <item x="415"/>
        <item x="219"/>
        <item x="56"/>
        <item x="295"/>
        <item x="419"/>
        <item x="613"/>
        <item x="801"/>
        <item x="192"/>
        <item x="367"/>
        <item x="305"/>
        <item x="337"/>
        <item x="675"/>
        <item x="505"/>
        <item x="217"/>
        <item x="688"/>
        <item x="446"/>
        <item x="149"/>
        <item x="768"/>
        <item x="691"/>
        <item x="196"/>
        <item x="230"/>
        <item x="493"/>
        <item x="50"/>
        <item x="291"/>
        <item x="224"/>
        <item x="112"/>
        <item x="980"/>
        <item x="712"/>
        <item x="351"/>
        <item x="965"/>
        <item x="83"/>
        <item x="922"/>
        <item x="780"/>
        <item x="579"/>
        <item x="832"/>
        <item x="947"/>
        <item x="264"/>
        <item x="795"/>
        <item x="203"/>
        <item x="723"/>
        <item x="163"/>
        <item x="552"/>
        <item x="759"/>
        <item x="200"/>
        <item x="522"/>
        <item x="509"/>
        <item x="63"/>
        <item x="825"/>
        <item x="310"/>
        <item x="605"/>
        <item x="508"/>
        <item x="979"/>
        <item x="461"/>
        <item x="331"/>
        <item x="232"/>
        <item x="416"/>
        <item x="614"/>
        <item x="800"/>
        <item x="817"/>
        <item x="744"/>
        <item x="199"/>
        <item x="853"/>
        <item x="678"/>
        <item x="755"/>
        <item x="43"/>
        <item x="28"/>
        <item x="807"/>
        <item x="892"/>
        <item x="553"/>
        <item x="286"/>
        <item x="541"/>
        <item x="137"/>
        <item x="859"/>
        <item x="548"/>
        <item x="73"/>
        <item x="32"/>
        <item x="944"/>
        <item x="442"/>
        <item x="962"/>
        <item x="216"/>
        <item x="849"/>
        <item x="981"/>
        <item x="95"/>
        <item x="245"/>
        <item x="31"/>
        <item x="919"/>
        <item x="657"/>
        <item x="42"/>
        <item x="135"/>
        <item x="661"/>
        <item x="375"/>
        <item x="107"/>
        <item x="21"/>
        <item x="592"/>
        <item x="594"/>
        <item x="883"/>
        <item x="765"/>
        <item x="257"/>
        <item x="335"/>
        <item x="320"/>
        <item x="716"/>
        <item x="886"/>
        <item x="769"/>
        <item x="850"/>
        <item x="542"/>
        <item x="78"/>
        <item x="322"/>
        <item x="127"/>
        <item x="834"/>
        <item x="193"/>
        <item x="89"/>
        <item x="879"/>
        <item x="268"/>
        <item x="816"/>
        <item x="815"/>
        <item x="166"/>
        <item x="533"/>
        <item x="794"/>
        <item x="642"/>
        <item x="836"/>
        <item x="315"/>
        <item x="687"/>
        <item x="746"/>
        <item x="796"/>
        <item x="266"/>
        <item x="142"/>
        <item x="426"/>
        <item x="472"/>
        <item x="303"/>
        <item x="395"/>
        <item x="860"/>
        <item x="206"/>
        <item x="578"/>
        <item x="623"/>
        <item x="440"/>
        <item x="994"/>
        <item x="130"/>
        <item x="942"/>
        <item x="157"/>
        <item x="651"/>
        <item x="646"/>
        <item x="887"/>
        <item x="523"/>
        <item x="99"/>
        <item x="660"/>
        <item x="277"/>
        <item x="172"/>
        <item x="379"/>
        <item x="483"/>
        <item x="855"/>
        <item x="96"/>
        <item x="616"/>
        <item x="275"/>
        <item x="754"/>
        <item x="450"/>
        <item x="363"/>
        <item x="143"/>
        <item x="389"/>
        <item x="713"/>
        <item x="525"/>
        <item x="93"/>
        <item x="726"/>
        <item x="908"/>
        <item x="381"/>
        <item x="136"/>
        <item x="314"/>
        <item x="308"/>
        <item x="913"/>
        <item x="255"/>
        <item x="486"/>
        <item x="630"/>
        <item x="652"/>
        <item x="237"/>
        <item x="105"/>
        <item x="413"/>
        <item x="762"/>
        <item x="558"/>
        <item x="527"/>
        <item x="625"/>
        <item x="990"/>
        <item x="530"/>
        <item x="952"/>
        <item x="378"/>
        <item x="177"/>
        <item x="669"/>
        <item x="262"/>
        <item x="932"/>
        <item x="982"/>
        <item x="960"/>
        <item x="386"/>
        <item x="851"/>
        <item x="151"/>
        <item x="654"/>
        <item x="735"/>
        <item x="959"/>
        <item x="821"/>
        <item x="564"/>
        <item x="946"/>
        <item x="5"/>
        <item x="110"/>
        <item x="126"/>
        <item x="343"/>
        <item x="902"/>
        <item x="328"/>
        <item x="872"/>
        <item x="842"/>
        <item x="750"/>
        <item x="874"/>
        <item x="698"/>
        <item x="814"/>
        <item x="998"/>
        <item x="788"/>
        <item x="943"/>
        <item x="976"/>
        <item x="271"/>
        <item x="53"/>
        <item x="847"/>
        <item x="789"/>
        <item x="108"/>
        <item x="47"/>
        <item x="7"/>
        <item x="238"/>
        <item x="586"/>
        <item x="571"/>
        <item x="692"/>
        <item x="983"/>
        <item x="771"/>
        <item x="209"/>
        <item x="479"/>
        <item x="538"/>
        <item x="540"/>
        <item x="854"/>
        <item x="875"/>
        <item x="451"/>
        <item x="911"/>
        <item x="833"/>
        <item x="941"/>
        <item x="781"/>
        <item x="372"/>
        <item x="319"/>
        <item x="86"/>
        <item x="131"/>
        <item x="685"/>
        <item x="184"/>
        <item x="311"/>
        <item x="241"/>
        <item x="344"/>
        <item x="296"/>
        <item x="54"/>
        <item x="972"/>
        <item x="125"/>
        <item x="891"/>
        <item x="950"/>
        <item x="954"/>
        <item x="191"/>
        <item x="738"/>
        <item x="773"/>
        <item x="740"/>
        <item x="355"/>
        <item x="515"/>
        <item x="524"/>
        <item x="991"/>
        <item x="38"/>
        <item x="730"/>
        <item x="418"/>
        <item x="36"/>
        <item x="786"/>
        <item x="445"/>
        <item x="454"/>
        <item x="984"/>
        <item x="999"/>
        <item t="default"/>
      </items>
    </pivotField>
    <pivotField showAll="0">
      <items count="346">
        <item x="323"/>
        <item x="198"/>
        <item x="71"/>
        <item x="58"/>
        <item x="47"/>
        <item x="310"/>
        <item x="283"/>
        <item x="65"/>
        <item x="229"/>
        <item x="290"/>
        <item x="30"/>
        <item x="329"/>
        <item x="293"/>
        <item x="114"/>
        <item x="108"/>
        <item x="166"/>
        <item x="79"/>
        <item x="336"/>
        <item x="190"/>
        <item x="253"/>
        <item x="168"/>
        <item x="188"/>
        <item x="115"/>
        <item x="141"/>
        <item x="23"/>
        <item x="66"/>
        <item x="64"/>
        <item x="137"/>
        <item x="148"/>
        <item x="202"/>
        <item x="251"/>
        <item x="242"/>
        <item x="265"/>
        <item x="299"/>
        <item x="313"/>
        <item x="8"/>
        <item x="96"/>
        <item x="249"/>
        <item x="337"/>
        <item x="102"/>
        <item x="272"/>
        <item x="230"/>
        <item x="195"/>
        <item x="16"/>
        <item x="97"/>
        <item x="124"/>
        <item x="194"/>
        <item x="80"/>
        <item x="88"/>
        <item x="246"/>
        <item x="111"/>
        <item x="218"/>
        <item x="252"/>
        <item x="92"/>
        <item x="3"/>
        <item x="311"/>
        <item x="199"/>
        <item x="61"/>
        <item x="51"/>
        <item x="301"/>
        <item x="31"/>
        <item x="240"/>
        <item x="208"/>
        <item x="302"/>
        <item x="147"/>
        <item x="220"/>
        <item x="138"/>
        <item x="181"/>
        <item x="78"/>
        <item x="131"/>
        <item x="335"/>
        <item x="178"/>
        <item x="60"/>
        <item x="27"/>
        <item x="83"/>
        <item x="127"/>
        <item x="46"/>
        <item x="232"/>
        <item x="109"/>
        <item x="107"/>
        <item x="259"/>
        <item x="315"/>
        <item x="52"/>
        <item x="118"/>
        <item x="162"/>
        <item x="63"/>
        <item x="134"/>
        <item x="136"/>
        <item x="288"/>
        <item x="14"/>
        <item x="319"/>
        <item x="187"/>
        <item x="68"/>
        <item x="56"/>
        <item x="280"/>
        <item x="210"/>
        <item x="81"/>
        <item x="203"/>
        <item x="204"/>
        <item x="104"/>
        <item x="26"/>
        <item x="158"/>
        <item x="112"/>
        <item x="38"/>
        <item x="105"/>
        <item x="34"/>
        <item x="9"/>
        <item x="40"/>
        <item x="276"/>
        <item x="123"/>
        <item x="234"/>
        <item x="120"/>
        <item x="175"/>
        <item x="334"/>
        <item x="291"/>
        <item x="149"/>
        <item x="130"/>
        <item x="267"/>
        <item x="231"/>
        <item x="45"/>
        <item x="269"/>
        <item x="324"/>
        <item x="85"/>
        <item x="69"/>
        <item x="35"/>
        <item x="171"/>
        <item x="75"/>
        <item x="343"/>
        <item x="2"/>
        <item x="201"/>
        <item x="89"/>
        <item x="67"/>
        <item x="94"/>
        <item x="76"/>
        <item x="101"/>
        <item x="260"/>
        <item x="331"/>
        <item x="86"/>
        <item x="241"/>
        <item x="169"/>
        <item x="286"/>
        <item x="213"/>
        <item x="157"/>
        <item x="7"/>
        <item x="270"/>
        <item x="135"/>
        <item x="122"/>
        <item x="282"/>
        <item x="294"/>
        <item x="100"/>
        <item x="342"/>
        <item x="261"/>
        <item x="307"/>
        <item x="21"/>
        <item x="233"/>
        <item x="36"/>
        <item x="110"/>
        <item x="32"/>
        <item x="172"/>
        <item x="180"/>
        <item x="91"/>
        <item x="258"/>
        <item x="314"/>
        <item x="214"/>
        <item x="93"/>
        <item x="176"/>
        <item x="248"/>
        <item x="263"/>
        <item x="126"/>
        <item x="332"/>
        <item x="338"/>
        <item x="215"/>
        <item x="98"/>
        <item x="197"/>
        <item x="160"/>
        <item x="19"/>
        <item x="128"/>
        <item x="328"/>
        <item x="189"/>
        <item x="327"/>
        <item x="143"/>
        <item x="340"/>
        <item x="1"/>
        <item x="330"/>
        <item x="205"/>
        <item x="333"/>
        <item x="140"/>
        <item x="321"/>
        <item x="228"/>
        <item x="74"/>
        <item x="113"/>
        <item x="243"/>
        <item x="57"/>
        <item x="73"/>
        <item x="39"/>
        <item x="41"/>
        <item x="6"/>
        <item x="59"/>
        <item x="84"/>
        <item x="156"/>
        <item x="44"/>
        <item x="121"/>
        <item x="49"/>
        <item x="255"/>
        <item x="153"/>
        <item x="165"/>
        <item x="146"/>
        <item x="119"/>
        <item x="289"/>
        <item x="244"/>
        <item x="12"/>
        <item x="284"/>
        <item x="191"/>
        <item x="237"/>
        <item x="216"/>
        <item x="155"/>
        <item x="256"/>
        <item x="15"/>
        <item x="320"/>
        <item x="125"/>
        <item x="186"/>
        <item x="129"/>
        <item x="239"/>
        <item x="184"/>
        <item x="95"/>
        <item x="144"/>
        <item x="0"/>
        <item x="245"/>
        <item x="279"/>
        <item x="106"/>
        <item x="43"/>
        <item x="254"/>
        <item x="116"/>
        <item x="192"/>
        <item x="221"/>
        <item x="117"/>
        <item x="247"/>
        <item x="227"/>
        <item x="317"/>
        <item x="275"/>
        <item x="287"/>
        <item x="257"/>
        <item x="173"/>
        <item x="28"/>
        <item x="20"/>
        <item x="236"/>
        <item x="235"/>
        <item x="50"/>
        <item x="222"/>
        <item x="225"/>
        <item x="72"/>
        <item x="142"/>
        <item x="185"/>
        <item x="37"/>
        <item x="196"/>
        <item x="295"/>
        <item x="152"/>
        <item x="304"/>
        <item x="193"/>
        <item x="77"/>
        <item x="300"/>
        <item x="164"/>
        <item x="139"/>
        <item x="145"/>
        <item x="266"/>
        <item x="292"/>
        <item x="262"/>
        <item x="296"/>
        <item x="200"/>
        <item x="62"/>
        <item x="326"/>
        <item x="177"/>
        <item x="305"/>
        <item x="325"/>
        <item x="298"/>
        <item x="167"/>
        <item x="285"/>
        <item x="278"/>
        <item x="29"/>
        <item x="339"/>
        <item x="316"/>
        <item x="211"/>
        <item x="238"/>
        <item x="82"/>
        <item x="174"/>
        <item x="212"/>
        <item x="309"/>
        <item x="87"/>
        <item x="170"/>
        <item x="312"/>
        <item x="48"/>
        <item x="163"/>
        <item x="277"/>
        <item x="297"/>
        <item x="268"/>
        <item x="322"/>
        <item x="159"/>
        <item x="206"/>
        <item x="133"/>
        <item x="10"/>
        <item x="154"/>
        <item x="306"/>
        <item x="90"/>
        <item x="182"/>
        <item x="271"/>
        <item x="223"/>
        <item x="308"/>
        <item x="54"/>
        <item x="17"/>
        <item x="161"/>
        <item x="24"/>
        <item x="150"/>
        <item x="341"/>
        <item x="5"/>
        <item x="318"/>
        <item x="250"/>
        <item x="70"/>
        <item x="207"/>
        <item x="13"/>
        <item x="25"/>
        <item x="99"/>
        <item x="4"/>
        <item x="209"/>
        <item x="264"/>
        <item x="219"/>
        <item x="226"/>
        <item x="55"/>
        <item x="42"/>
        <item x="18"/>
        <item x="303"/>
        <item x="183"/>
        <item x="151"/>
        <item x="224"/>
        <item x="11"/>
        <item x="103"/>
        <item x="217"/>
        <item x="274"/>
        <item x="53"/>
        <item x="33"/>
        <item x="132"/>
        <item x="273"/>
        <item x="281"/>
        <item x="179"/>
        <item x="22"/>
        <item x="344"/>
        <item t="default"/>
      </items>
    </pivotField>
    <pivotField showAll="0"/>
    <pivotField dataField="1" showAll="0"/>
    <pivotField showAll="0"/>
    <pivotField axis="axisRow" multipleItemSelectionAllowed="1" showAll="0">
      <items count="6">
        <item x="0"/>
        <item x="1"/>
        <item x="3"/>
        <item x="2"/>
        <item x="4"/>
        <item t="default"/>
      </items>
    </pivotField>
    <pivotField showAll="0"/>
    <pivotField showAll="0">
      <items count="6">
        <item x="0"/>
        <item x="2"/>
        <item x="1"/>
        <item x="3"/>
        <item x="4"/>
        <item t="default"/>
      </items>
    </pivotField>
    <pivotField showAll="0"/>
    <pivotField showAll="0"/>
    <pivotField showAll="0"/>
    <pivotField dataField="1" showAll="0"/>
    <pivotField showAll="0"/>
    <pivotField axis="axisCol" multipleItemSelectionAllowed="1" showAll="0">
      <items count="4">
        <item h="1" x="1"/>
        <item x="0"/>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Fields count="2">
    <field x="13"/>
    <field x="-2"/>
  </colFields>
  <colItems count="4">
    <i>
      <x v="1"/>
      <x/>
    </i>
    <i r="1" i="1">
      <x v="1"/>
    </i>
    <i t="grand">
      <x/>
    </i>
    <i t="grand" i="1">
      <x/>
    </i>
  </colItems>
  <dataFields count="2">
    <dataField name="Sum of budget" fld="3" baseField="0" baseItem="0"/>
    <dataField name="Sum of Adjusted revenue" fld="11" baseField="0" baseItem="0"/>
  </dataFields>
  <chartFormats count="8">
    <chartFormat chart="9" format="2" series="1">
      <pivotArea type="data" outline="0" fieldPosition="0">
        <references count="2">
          <reference field="4294967294" count="1" selected="0">
            <x v="0"/>
          </reference>
          <reference field="13" count="1" selected="0">
            <x v="1"/>
          </reference>
        </references>
      </pivotArea>
    </chartFormat>
    <chartFormat chart="9" format="3" series="1">
      <pivotArea type="data" outline="0" fieldPosition="0">
        <references count="2">
          <reference field="4294967294" count="1" selected="0">
            <x v="1"/>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1"/>
          </reference>
          <reference field="13" count="1" selected="0">
            <x v="0"/>
          </reference>
        </references>
      </pivotArea>
    </chartFormat>
    <chartFormat chart="9" format="6" series="1">
      <pivotArea type="data" grandCol="1" outline="0" fieldPosition="0">
        <references count="1">
          <reference field="4294967294" count="1" selected="0">
            <x v="0"/>
          </reference>
        </references>
      </pivotArea>
    </chartFormat>
    <chartFormat chart="9" format="7" series="1">
      <pivotArea type="data" grandCol="1" outline="0" fieldPosition="0">
        <references count="1">
          <reference field="4294967294" count="1" selected="0">
            <x v="1"/>
          </reference>
        </references>
      </pivotArea>
    </chartFormat>
    <chartFormat chart="9" format="8" series="1">
      <pivotArea type="data" outline="0" fieldPosition="0">
        <references count="2">
          <reference field="4294967294" count="1" selected="0">
            <x v="0"/>
          </reference>
          <reference field="13" count="1" selected="0">
            <x v="2"/>
          </reference>
        </references>
      </pivotArea>
    </chartFormat>
    <chartFormat chart="9" format="9" series="1">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ED8F90-BC42-41FD-B0DD-CC71131836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8">
    <pivotField showAll="0">
      <items count="1001">
        <item x="352"/>
        <item x="71"/>
        <item x="689"/>
        <item x="279"/>
        <item x="852"/>
        <item x="939"/>
        <item x="504"/>
        <item x="514"/>
        <item x="254"/>
        <item x="492"/>
        <item x="562"/>
        <item x="772"/>
        <item x="441"/>
        <item x="175"/>
        <item x="405"/>
        <item x="227"/>
        <item x="39"/>
        <item x="248"/>
        <item x="111"/>
        <item x="349"/>
        <item x="332"/>
        <item x="544"/>
        <item x="760"/>
        <item x="280"/>
        <item x="338"/>
        <item x="259"/>
        <item x="895"/>
        <item x="361"/>
        <item x="528"/>
        <item x="618"/>
        <item x="741"/>
        <item x="491"/>
        <item x="187"/>
        <item x="679"/>
        <item x="116"/>
        <item x="460"/>
        <item x="570"/>
        <item x="899"/>
        <item x="604"/>
        <item x="404"/>
        <item x="690"/>
        <item x="631"/>
        <item x="880"/>
        <item x="2"/>
        <item x="569"/>
        <item x="841"/>
        <item x="165"/>
        <item x="915"/>
        <item x="873"/>
        <item x="475"/>
        <item x="516"/>
        <item x="59"/>
        <item x="577"/>
        <item x="154"/>
        <item x="190"/>
        <item x="680"/>
        <item x="152"/>
        <item x="556"/>
        <item x="756"/>
        <item x="342"/>
        <item x="593"/>
        <item x="272"/>
        <item x="101"/>
        <item x="398"/>
        <item x="318"/>
        <item x="555"/>
        <item x="727"/>
        <item x="430"/>
        <item x="910"/>
        <item x="474"/>
        <item x="705"/>
        <item x="393"/>
        <item x="546"/>
        <item x="931"/>
        <item x="820"/>
        <item x="140"/>
        <item x="218"/>
        <item x="394"/>
        <item x="425"/>
        <item x="787"/>
        <item x="397"/>
        <item x="840"/>
        <item x="444"/>
        <item x="76"/>
        <item x="718"/>
        <item x="345"/>
        <item x="923"/>
        <item x="373"/>
        <item x="829"/>
        <item x="33"/>
        <item x="15"/>
        <item x="221"/>
        <item x="478"/>
        <item x="714"/>
        <item x="798"/>
        <item x="387"/>
        <item x="501"/>
        <item x="244"/>
        <item x="16"/>
        <item x="205"/>
        <item x="513"/>
        <item x="495"/>
        <item x="234"/>
        <item x="456"/>
        <item x="894"/>
        <item x="536"/>
        <item x="41"/>
        <item x="485"/>
        <item x="776"/>
        <item x="22"/>
        <item x="138"/>
        <item x="696"/>
        <item x="144"/>
        <item x="11"/>
        <item x="799"/>
        <item x="35"/>
        <item x="590"/>
        <item x="958"/>
        <item x="488"/>
        <item x="720"/>
        <item x="864"/>
        <item x="173"/>
        <item x="494"/>
        <item x="463"/>
        <item x="132"/>
        <item x="436"/>
        <item x="388"/>
        <item x="304"/>
        <item x="490"/>
        <item x="621"/>
        <item x="697"/>
        <item x="34"/>
        <item x="297"/>
        <item x="458"/>
        <item x="737"/>
        <item x="449"/>
        <item x="810"/>
        <item x="496"/>
        <item x="243"/>
        <item x="403"/>
        <item x="324"/>
        <item x="957"/>
        <item x="428"/>
        <item x="240"/>
        <item x="662"/>
        <item x="92"/>
        <item x="465"/>
        <item x="213"/>
        <item x="452"/>
        <item x="19"/>
        <item x="423"/>
        <item x="1"/>
        <item x="709"/>
        <item x="122"/>
        <item x="706"/>
        <item x="722"/>
        <item x="287"/>
        <item x="936"/>
        <item x="467"/>
        <item x="881"/>
        <item x="912"/>
        <item x="974"/>
        <item x="399"/>
        <item x="529"/>
        <item x="274"/>
        <item x="583"/>
        <item x="79"/>
        <item x="282"/>
        <item x="499"/>
        <item x="326"/>
        <item x="235"/>
        <item x="168"/>
        <item x="550"/>
        <item x="176"/>
        <item x="686"/>
        <item x="729"/>
        <item x="242"/>
        <item x="989"/>
        <item x="214"/>
        <item x="333"/>
        <item x="302"/>
        <item x="129"/>
        <item x="3"/>
        <item x="751"/>
        <item x="857"/>
        <item x="228"/>
        <item x="66"/>
        <item x="289"/>
        <item x="666"/>
        <item x="114"/>
        <item x="51"/>
        <item x="249"/>
        <item x="226"/>
        <item x="64"/>
        <item x="260"/>
        <item x="945"/>
        <item x="261"/>
        <item x="162"/>
        <item x="251"/>
        <item x="517"/>
        <item x="743"/>
        <item x="845"/>
        <item x="866"/>
        <item x="763"/>
        <item x="537"/>
        <item x="141"/>
        <item x="67"/>
        <item x="147"/>
        <item x="693"/>
        <item x="600"/>
        <item x="88"/>
        <item x="656"/>
        <item x="835"/>
        <item x="809"/>
        <item x="503"/>
        <item x="340"/>
        <item x="443"/>
        <item x="109"/>
        <item x="761"/>
        <item x="956"/>
        <item x="784"/>
        <item x="683"/>
        <item x="70"/>
        <item x="636"/>
        <item x="813"/>
        <item x="896"/>
        <item x="158"/>
        <item x="439"/>
        <item x="955"/>
        <item x="844"/>
        <item x="715"/>
        <item x="869"/>
        <item x="169"/>
        <item x="37"/>
        <item x="649"/>
        <item x="643"/>
        <item x="429"/>
        <item x="74"/>
        <item x="793"/>
        <item x="412"/>
        <item x="179"/>
        <item x="502"/>
        <item x="924"/>
        <item x="233"/>
        <item x="582"/>
        <item x="733"/>
        <item x="736"/>
        <item x="94"/>
        <item x="930"/>
        <item x="102"/>
        <item x="975"/>
        <item x="534"/>
        <item x="597"/>
        <item x="223"/>
        <item x="863"/>
        <item x="532"/>
        <item x="876"/>
        <item x="606"/>
        <item x="865"/>
        <item x="828"/>
        <item x="719"/>
        <item x="174"/>
        <item x="354"/>
        <item x="409"/>
        <item x="589"/>
        <item x="139"/>
        <item x="547"/>
        <item x="797"/>
        <item x="247"/>
        <item x="778"/>
        <item x="420"/>
        <item x="921"/>
        <item x="401"/>
        <item x="867"/>
        <item x="926"/>
        <item x="757"/>
        <item x="202"/>
        <item x="969"/>
        <item x="903"/>
        <item x="888"/>
        <item x="194"/>
        <item x="4"/>
        <item x="80"/>
        <item x="476"/>
        <item x="207"/>
        <item x="421"/>
        <item x="619"/>
        <item x="482"/>
        <item x="638"/>
        <item x="119"/>
        <item x="57"/>
        <item x="603"/>
        <item x="521"/>
        <item x="598"/>
        <item x="846"/>
        <item x="620"/>
        <item x="878"/>
        <item x="640"/>
        <item x="357"/>
        <item x="276"/>
        <item x="188"/>
        <item x="791"/>
        <item x="758"/>
        <item x="273"/>
        <item x="52"/>
        <item x="68"/>
        <item x="610"/>
        <item x="588"/>
        <item x="18"/>
        <item x="518"/>
        <item x="258"/>
        <item x="567"/>
        <item x="263"/>
        <item x="774"/>
        <item x="91"/>
        <item x="811"/>
        <item x="49"/>
        <item x="23"/>
        <item x="512"/>
        <item x="459"/>
        <item x="724"/>
        <item x="278"/>
        <item x="615"/>
        <item x="917"/>
        <item x="734"/>
        <item x="484"/>
        <item x="628"/>
        <item x="457"/>
        <item x="81"/>
        <item x="239"/>
        <item x="353"/>
        <item x="802"/>
        <item x="634"/>
        <item x="171"/>
        <item x="711"/>
        <item x="256"/>
        <item x="889"/>
        <item x="356"/>
        <item x="198"/>
        <item x="710"/>
        <item x="229"/>
        <item x="24"/>
        <item x="703"/>
        <item x="380"/>
        <item x="231"/>
        <item x="831"/>
        <item x="633"/>
        <item x="612"/>
        <item x="948"/>
        <item x="870"/>
        <item x="963"/>
        <item x="907"/>
        <item x="591"/>
        <item x="783"/>
        <item x="329"/>
        <item x="905"/>
        <item x="82"/>
        <item x="893"/>
        <item x="6"/>
        <item x="745"/>
        <item x="148"/>
        <item x="704"/>
        <item x="566"/>
        <item x="581"/>
        <item x="935"/>
        <item x="938"/>
        <item x="622"/>
        <item x="14"/>
        <item x="576"/>
        <item x="565"/>
        <item x="937"/>
        <item x="347"/>
        <item x="732"/>
        <item x="104"/>
        <item x="611"/>
        <item x="510"/>
        <item x="197"/>
        <item x="535"/>
        <item x="837"/>
        <item x="992"/>
        <item x="818"/>
        <item x="75"/>
        <item x="17"/>
        <item x="635"/>
        <item x="44"/>
        <item x="531"/>
        <item x="668"/>
        <item x="827"/>
        <item x="85"/>
        <item x="9"/>
        <item x="350"/>
        <item x="468"/>
        <item x="65"/>
        <item x="609"/>
        <item x="417"/>
        <item x="676"/>
        <item x="25"/>
        <item x="803"/>
        <item x="671"/>
        <item x="293"/>
        <item x="288"/>
        <item x="667"/>
        <item x="437"/>
        <item x="752"/>
        <item x="307"/>
        <item x="928"/>
        <item x="862"/>
        <item x="742"/>
        <item x="123"/>
        <item x="953"/>
        <item x="27"/>
        <item x="69"/>
        <item x="195"/>
        <item x="596"/>
        <item x="348"/>
        <item x="411"/>
        <item x="435"/>
        <item x="747"/>
        <item x="985"/>
        <item x="785"/>
        <item x="20"/>
        <item x="670"/>
        <item x="424"/>
        <item x="549"/>
        <item x="210"/>
        <item x="45"/>
        <item x="725"/>
        <item x="770"/>
        <item x="480"/>
        <item x="281"/>
        <item x="641"/>
        <item x="406"/>
        <item x="215"/>
        <item x="204"/>
        <item x="471"/>
        <item x="186"/>
        <item x="396"/>
        <item x="694"/>
        <item x="658"/>
        <item x="995"/>
        <item x="362"/>
        <item x="856"/>
        <item x="986"/>
        <item x="61"/>
        <item x="301"/>
        <item x="901"/>
        <item x="336"/>
        <item x="877"/>
        <item x="447"/>
        <item x="434"/>
        <item x="150"/>
        <item x="572"/>
        <item x="602"/>
        <item x="325"/>
        <item x="677"/>
        <item x="10"/>
        <item x="462"/>
        <item x="861"/>
        <item x="391"/>
        <item x="438"/>
        <item x="627"/>
        <item x="700"/>
        <item x="575"/>
        <item x="650"/>
        <item x="647"/>
        <item x="882"/>
        <item x="500"/>
        <item x="971"/>
        <item x="432"/>
        <item x="674"/>
        <item x="808"/>
        <item x="967"/>
        <item x="790"/>
        <item x="766"/>
        <item x="608"/>
        <item x="407"/>
        <item x="920"/>
        <item x="341"/>
        <item x="753"/>
        <item x="377"/>
        <item x="183"/>
        <item x="390"/>
        <item x="665"/>
        <item x="358"/>
        <item x="299"/>
        <item x="133"/>
        <item x="145"/>
        <item x="113"/>
        <item x="12"/>
        <item x="182"/>
        <item x="970"/>
        <item x="804"/>
        <item x="29"/>
        <item x="898"/>
        <item x="160"/>
        <item x="469"/>
        <item x="819"/>
        <item x="775"/>
        <item x="966"/>
        <item x="890"/>
        <item x="346"/>
        <item x="72"/>
        <item x="584"/>
        <item x="270"/>
        <item x="934"/>
        <item x="561"/>
        <item x="699"/>
        <item x="448"/>
        <item x="285"/>
        <item x="283"/>
        <item x="702"/>
        <item x="885"/>
        <item x="884"/>
        <item x="996"/>
        <item x="385"/>
        <item x="601"/>
        <item x="153"/>
        <item x="365"/>
        <item x="300"/>
        <item x="30"/>
        <item x="964"/>
        <item x="897"/>
        <item x="55"/>
        <item x="178"/>
        <item x="90"/>
        <item x="988"/>
        <item x="225"/>
        <item x="366"/>
        <item x="587"/>
        <item x="84"/>
        <item x="470"/>
        <item x="313"/>
        <item x="222"/>
        <item x="624"/>
        <item x="858"/>
        <item x="316"/>
        <item x="843"/>
        <item x="806"/>
        <item x="659"/>
        <item x="909"/>
        <item x="997"/>
        <item x="292"/>
        <item x="507"/>
        <item x="767"/>
        <item x="708"/>
        <item x="871"/>
        <item x="573"/>
        <item x="978"/>
        <item x="402"/>
        <item x="298"/>
        <item x="13"/>
        <item x="100"/>
        <item x="929"/>
        <item x="764"/>
        <item x="672"/>
        <item x="973"/>
        <item x="916"/>
        <item x="201"/>
        <item x="644"/>
        <item x="663"/>
        <item x="156"/>
        <item x="987"/>
        <item x="208"/>
        <item x="653"/>
        <item x="46"/>
        <item x="595"/>
        <item x="58"/>
        <item x="681"/>
        <item x="559"/>
        <item x="599"/>
        <item x="433"/>
        <item x="317"/>
        <item x="993"/>
        <item x="220"/>
        <item x="639"/>
        <item x="520"/>
        <item x="371"/>
        <item x="682"/>
        <item x="115"/>
        <item x="839"/>
        <item x="673"/>
        <item x="904"/>
        <item x="265"/>
        <item x="830"/>
        <item x="155"/>
        <item x="180"/>
        <item x="777"/>
        <item x="511"/>
        <item x="739"/>
        <item x="339"/>
        <item x="498"/>
        <item x="134"/>
        <item x="121"/>
        <item x="632"/>
        <item x="933"/>
        <item x="250"/>
        <item x="526"/>
        <item x="792"/>
        <item x="60"/>
        <item x="252"/>
        <item x="106"/>
        <item x="327"/>
        <item x="382"/>
        <item x="103"/>
        <item x="695"/>
        <item x="731"/>
        <item x="749"/>
        <item x="330"/>
        <item x="968"/>
        <item x="309"/>
        <item x="607"/>
        <item x="364"/>
        <item x="487"/>
        <item x="900"/>
        <item x="211"/>
        <item x="748"/>
        <item x="782"/>
        <item x="189"/>
        <item x="539"/>
        <item x="414"/>
        <item x="26"/>
        <item x="321"/>
        <item x="120"/>
        <item x="519"/>
        <item x="455"/>
        <item x="951"/>
        <item x="212"/>
        <item x="164"/>
        <item x="161"/>
        <item x="645"/>
        <item x="927"/>
        <item x="557"/>
        <item x="167"/>
        <item x="497"/>
        <item x="359"/>
        <item x="368"/>
        <item x="284"/>
        <item x="568"/>
        <item x="8"/>
        <item x="574"/>
        <item x="728"/>
        <item x="473"/>
        <item x="453"/>
        <item x="824"/>
        <item x="868"/>
        <item x="551"/>
        <item x="376"/>
        <item x="838"/>
        <item x="701"/>
        <item x="400"/>
        <item x="306"/>
        <item x="721"/>
        <item x="384"/>
        <item x="97"/>
        <item x="236"/>
        <item x="48"/>
        <item x="40"/>
        <item x="664"/>
        <item x="427"/>
        <item x="159"/>
        <item x="312"/>
        <item x="822"/>
        <item x="977"/>
        <item x="779"/>
        <item x="370"/>
        <item x="185"/>
        <item x="543"/>
        <item x="717"/>
        <item x="949"/>
        <item x="914"/>
        <item x="77"/>
        <item x="323"/>
        <item x="124"/>
        <item x="707"/>
        <item x="563"/>
        <item x="98"/>
        <item x="374"/>
        <item x="431"/>
        <item x="961"/>
        <item x="823"/>
        <item x="0"/>
        <item x="334"/>
        <item x="545"/>
        <item x="489"/>
        <item x="146"/>
        <item x="918"/>
        <item x="369"/>
        <item x="826"/>
        <item x="128"/>
        <item x="580"/>
        <item x="655"/>
        <item x="506"/>
        <item x="269"/>
        <item x="360"/>
        <item x="906"/>
        <item x="87"/>
        <item x="383"/>
        <item x="940"/>
        <item x="117"/>
        <item x="290"/>
        <item x="422"/>
        <item x="294"/>
        <item x="812"/>
        <item x="118"/>
        <item x="560"/>
        <item x="170"/>
        <item x="585"/>
        <item x="626"/>
        <item x="181"/>
        <item x="848"/>
        <item x="684"/>
        <item x="805"/>
        <item x="481"/>
        <item x="253"/>
        <item x="62"/>
        <item x="408"/>
        <item x="246"/>
        <item x="392"/>
        <item x="267"/>
        <item x="410"/>
        <item x="617"/>
        <item x="554"/>
        <item x="464"/>
        <item x="637"/>
        <item x="477"/>
        <item x="648"/>
        <item x="925"/>
        <item x="466"/>
        <item x="629"/>
        <item x="415"/>
        <item x="219"/>
        <item x="56"/>
        <item x="295"/>
        <item x="419"/>
        <item x="613"/>
        <item x="801"/>
        <item x="192"/>
        <item x="367"/>
        <item x="305"/>
        <item x="337"/>
        <item x="675"/>
        <item x="505"/>
        <item x="217"/>
        <item x="688"/>
        <item x="446"/>
        <item x="149"/>
        <item x="768"/>
        <item x="691"/>
        <item x="196"/>
        <item x="230"/>
        <item x="493"/>
        <item x="50"/>
        <item x="291"/>
        <item x="224"/>
        <item x="112"/>
        <item x="980"/>
        <item x="712"/>
        <item x="351"/>
        <item x="965"/>
        <item x="83"/>
        <item x="922"/>
        <item x="780"/>
        <item x="579"/>
        <item x="832"/>
        <item x="947"/>
        <item x="264"/>
        <item x="795"/>
        <item x="203"/>
        <item x="723"/>
        <item x="163"/>
        <item x="552"/>
        <item x="759"/>
        <item x="200"/>
        <item x="522"/>
        <item x="509"/>
        <item x="63"/>
        <item x="825"/>
        <item x="310"/>
        <item x="605"/>
        <item x="508"/>
        <item x="979"/>
        <item x="461"/>
        <item x="331"/>
        <item x="232"/>
        <item x="416"/>
        <item x="614"/>
        <item x="800"/>
        <item x="817"/>
        <item x="744"/>
        <item x="199"/>
        <item x="853"/>
        <item x="678"/>
        <item x="755"/>
        <item x="43"/>
        <item x="28"/>
        <item x="807"/>
        <item x="892"/>
        <item x="553"/>
        <item x="286"/>
        <item x="541"/>
        <item x="137"/>
        <item x="859"/>
        <item x="548"/>
        <item x="73"/>
        <item x="32"/>
        <item x="944"/>
        <item x="442"/>
        <item x="962"/>
        <item x="216"/>
        <item x="849"/>
        <item x="981"/>
        <item x="95"/>
        <item x="245"/>
        <item x="31"/>
        <item x="919"/>
        <item x="657"/>
        <item x="42"/>
        <item x="135"/>
        <item x="661"/>
        <item x="375"/>
        <item x="107"/>
        <item x="21"/>
        <item x="592"/>
        <item x="594"/>
        <item x="883"/>
        <item x="765"/>
        <item x="257"/>
        <item x="335"/>
        <item x="320"/>
        <item x="716"/>
        <item x="886"/>
        <item x="769"/>
        <item x="850"/>
        <item x="542"/>
        <item x="78"/>
        <item x="322"/>
        <item x="127"/>
        <item x="834"/>
        <item x="193"/>
        <item x="89"/>
        <item x="879"/>
        <item x="268"/>
        <item x="816"/>
        <item x="815"/>
        <item x="166"/>
        <item x="533"/>
        <item x="794"/>
        <item x="642"/>
        <item x="836"/>
        <item x="315"/>
        <item x="687"/>
        <item x="746"/>
        <item x="796"/>
        <item x="266"/>
        <item x="142"/>
        <item x="426"/>
        <item x="472"/>
        <item x="303"/>
        <item x="395"/>
        <item x="860"/>
        <item x="206"/>
        <item x="578"/>
        <item x="623"/>
        <item x="440"/>
        <item x="994"/>
        <item x="130"/>
        <item x="942"/>
        <item x="157"/>
        <item x="651"/>
        <item x="646"/>
        <item x="887"/>
        <item x="523"/>
        <item x="99"/>
        <item x="660"/>
        <item x="277"/>
        <item x="172"/>
        <item x="379"/>
        <item x="483"/>
        <item x="855"/>
        <item x="96"/>
        <item x="616"/>
        <item x="275"/>
        <item x="754"/>
        <item x="450"/>
        <item x="363"/>
        <item x="143"/>
        <item x="389"/>
        <item x="713"/>
        <item x="525"/>
        <item x="93"/>
        <item x="726"/>
        <item x="908"/>
        <item x="381"/>
        <item x="136"/>
        <item x="314"/>
        <item x="308"/>
        <item x="913"/>
        <item x="255"/>
        <item x="486"/>
        <item x="630"/>
        <item x="652"/>
        <item x="237"/>
        <item x="105"/>
        <item x="413"/>
        <item x="762"/>
        <item x="558"/>
        <item x="527"/>
        <item x="625"/>
        <item x="990"/>
        <item x="530"/>
        <item x="952"/>
        <item x="378"/>
        <item x="177"/>
        <item x="669"/>
        <item x="262"/>
        <item x="932"/>
        <item x="982"/>
        <item x="960"/>
        <item x="386"/>
        <item x="851"/>
        <item x="151"/>
        <item x="654"/>
        <item x="735"/>
        <item x="959"/>
        <item x="821"/>
        <item x="564"/>
        <item x="946"/>
        <item x="5"/>
        <item x="110"/>
        <item x="126"/>
        <item x="343"/>
        <item x="902"/>
        <item x="328"/>
        <item x="872"/>
        <item x="842"/>
        <item x="750"/>
        <item x="874"/>
        <item x="698"/>
        <item x="814"/>
        <item x="998"/>
        <item x="788"/>
        <item x="943"/>
        <item x="976"/>
        <item x="271"/>
        <item x="53"/>
        <item x="847"/>
        <item x="789"/>
        <item x="108"/>
        <item x="47"/>
        <item x="7"/>
        <item x="238"/>
        <item x="586"/>
        <item x="571"/>
        <item x="692"/>
        <item x="983"/>
        <item x="771"/>
        <item x="209"/>
        <item x="479"/>
        <item x="538"/>
        <item x="540"/>
        <item x="854"/>
        <item x="875"/>
        <item x="451"/>
        <item x="911"/>
        <item x="833"/>
        <item x="941"/>
        <item x="781"/>
        <item x="372"/>
        <item x="319"/>
        <item x="86"/>
        <item x="131"/>
        <item x="685"/>
        <item x="184"/>
        <item x="311"/>
        <item x="241"/>
        <item x="344"/>
        <item x="296"/>
        <item x="54"/>
        <item x="972"/>
        <item x="125"/>
        <item x="891"/>
        <item x="950"/>
        <item x="954"/>
        <item x="191"/>
        <item x="738"/>
        <item x="773"/>
        <item x="740"/>
        <item x="355"/>
        <item x="515"/>
        <item x="524"/>
        <item x="991"/>
        <item x="38"/>
        <item x="730"/>
        <item x="418"/>
        <item x="36"/>
        <item x="786"/>
        <item x="445"/>
        <item x="454"/>
        <item x="984"/>
        <item x="999"/>
        <item t="default"/>
      </items>
    </pivotField>
    <pivotField showAll="0">
      <items count="346">
        <item x="323"/>
        <item x="198"/>
        <item x="71"/>
        <item x="58"/>
        <item x="47"/>
        <item x="310"/>
        <item x="283"/>
        <item x="65"/>
        <item x="229"/>
        <item x="290"/>
        <item x="30"/>
        <item x="329"/>
        <item x="293"/>
        <item x="114"/>
        <item x="108"/>
        <item x="166"/>
        <item x="79"/>
        <item x="336"/>
        <item x="190"/>
        <item x="253"/>
        <item x="168"/>
        <item x="188"/>
        <item x="115"/>
        <item x="141"/>
        <item x="23"/>
        <item x="66"/>
        <item x="64"/>
        <item x="137"/>
        <item x="148"/>
        <item x="202"/>
        <item x="251"/>
        <item x="242"/>
        <item x="265"/>
        <item x="299"/>
        <item x="313"/>
        <item x="8"/>
        <item x="96"/>
        <item x="249"/>
        <item x="337"/>
        <item x="102"/>
        <item x="272"/>
        <item x="230"/>
        <item x="195"/>
        <item x="16"/>
        <item x="97"/>
        <item x="124"/>
        <item x="194"/>
        <item x="80"/>
        <item x="88"/>
        <item x="246"/>
        <item x="111"/>
        <item x="218"/>
        <item x="252"/>
        <item x="92"/>
        <item x="3"/>
        <item x="311"/>
        <item x="199"/>
        <item x="61"/>
        <item x="51"/>
        <item x="301"/>
        <item x="31"/>
        <item x="240"/>
        <item x="208"/>
        <item x="302"/>
        <item x="147"/>
        <item x="220"/>
        <item x="138"/>
        <item x="181"/>
        <item x="78"/>
        <item x="131"/>
        <item x="335"/>
        <item x="178"/>
        <item x="60"/>
        <item x="27"/>
        <item x="83"/>
        <item x="127"/>
        <item x="46"/>
        <item x="232"/>
        <item x="109"/>
        <item x="107"/>
        <item x="259"/>
        <item x="315"/>
        <item x="52"/>
        <item x="118"/>
        <item x="162"/>
        <item x="63"/>
        <item x="134"/>
        <item x="136"/>
        <item x="288"/>
        <item x="14"/>
        <item x="319"/>
        <item x="187"/>
        <item x="68"/>
        <item x="56"/>
        <item x="280"/>
        <item x="210"/>
        <item x="81"/>
        <item x="203"/>
        <item x="204"/>
        <item x="104"/>
        <item x="26"/>
        <item x="158"/>
        <item x="112"/>
        <item x="38"/>
        <item x="105"/>
        <item x="34"/>
        <item x="9"/>
        <item x="40"/>
        <item x="276"/>
        <item x="123"/>
        <item x="234"/>
        <item x="120"/>
        <item x="175"/>
        <item x="334"/>
        <item x="291"/>
        <item x="149"/>
        <item x="130"/>
        <item x="267"/>
        <item x="231"/>
        <item x="45"/>
        <item x="269"/>
        <item x="324"/>
        <item x="85"/>
        <item x="69"/>
        <item x="35"/>
        <item x="171"/>
        <item x="75"/>
        <item x="343"/>
        <item x="2"/>
        <item x="201"/>
        <item x="89"/>
        <item x="67"/>
        <item x="94"/>
        <item x="76"/>
        <item x="101"/>
        <item x="260"/>
        <item x="331"/>
        <item x="86"/>
        <item x="241"/>
        <item x="169"/>
        <item x="286"/>
        <item x="213"/>
        <item x="157"/>
        <item x="7"/>
        <item x="270"/>
        <item x="135"/>
        <item x="122"/>
        <item x="282"/>
        <item x="294"/>
        <item x="100"/>
        <item x="342"/>
        <item x="261"/>
        <item x="307"/>
        <item x="21"/>
        <item x="233"/>
        <item x="36"/>
        <item x="110"/>
        <item x="32"/>
        <item x="172"/>
        <item x="180"/>
        <item x="91"/>
        <item x="258"/>
        <item x="314"/>
        <item x="214"/>
        <item x="93"/>
        <item x="176"/>
        <item x="248"/>
        <item x="263"/>
        <item x="126"/>
        <item x="332"/>
        <item x="338"/>
        <item x="215"/>
        <item x="98"/>
        <item x="197"/>
        <item x="160"/>
        <item x="19"/>
        <item x="128"/>
        <item x="328"/>
        <item x="189"/>
        <item x="327"/>
        <item x="143"/>
        <item x="340"/>
        <item x="1"/>
        <item x="330"/>
        <item x="205"/>
        <item x="333"/>
        <item x="140"/>
        <item x="321"/>
        <item x="228"/>
        <item x="74"/>
        <item x="113"/>
        <item x="243"/>
        <item x="57"/>
        <item x="73"/>
        <item x="39"/>
        <item x="41"/>
        <item x="6"/>
        <item x="59"/>
        <item x="84"/>
        <item x="156"/>
        <item x="44"/>
        <item x="121"/>
        <item x="49"/>
        <item x="255"/>
        <item x="153"/>
        <item x="165"/>
        <item x="146"/>
        <item x="119"/>
        <item x="289"/>
        <item x="244"/>
        <item x="12"/>
        <item x="284"/>
        <item x="191"/>
        <item x="237"/>
        <item x="216"/>
        <item x="155"/>
        <item x="256"/>
        <item x="15"/>
        <item x="320"/>
        <item x="125"/>
        <item x="186"/>
        <item x="129"/>
        <item x="239"/>
        <item x="184"/>
        <item x="95"/>
        <item x="144"/>
        <item x="0"/>
        <item x="245"/>
        <item x="279"/>
        <item x="106"/>
        <item x="43"/>
        <item x="254"/>
        <item x="116"/>
        <item x="192"/>
        <item x="221"/>
        <item x="117"/>
        <item x="247"/>
        <item x="227"/>
        <item x="317"/>
        <item x="275"/>
        <item x="287"/>
        <item x="257"/>
        <item x="173"/>
        <item x="28"/>
        <item x="20"/>
        <item x="236"/>
        <item x="235"/>
        <item x="50"/>
        <item x="222"/>
        <item x="225"/>
        <item x="72"/>
        <item x="142"/>
        <item x="185"/>
        <item x="37"/>
        <item x="196"/>
        <item x="295"/>
        <item x="152"/>
        <item x="304"/>
        <item x="193"/>
        <item x="77"/>
        <item x="300"/>
        <item x="164"/>
        <item x="139"/>
        <item x="145"/>
        <item x="266"/>
        <item x="292"/>
        <item x="262"/>
        <item x="296"/>
        <item x="200"/>
        <item x="62"/>
        <item x="326"/>
        <item x="177"/>
        <item x="305"/>
        <item x="325"/>
        <item x="298"/>
        <item x="167"/>
        <item x="285"/>
        <item x="278"/>
        <item x="29"/>
        <item x="339"/>
        <item x="316"/>
        <item x="211"/>
        <item x="238"/>
        <item x="82"/>
        <item x="174"/>
        <item x="212"/>
        <item x="309"/>
        <item x="87"/>
        <item x="170"/>
        <item x="312"/>
        <item x="48"/>
        <item x="163"/>
        <item x="277"/>
        <item x="297"/>
        <item x="268"/>
        <item x="322"/>
        <item x="159"/>
        <item x="206"/>
        <item x="133"/>
        <item x="10"/>
        <item x="154"/>
        <item x="306"/>
        <item x="90"/>
        <item x="182"/>
        <item x="271"/>
        <item x="223"/>
        <item x="308"/>
        <item x="54"/>
        <item x="17"/>
        <item x="161"/>
        <item x="24"/>
        <item x="150"/>
        <item x="341"/>
        <item x="5"/>
        <item x="318"/>
        <item x="250"/>
        <item x="70"/>
        <item x="207"/>
        <item x="13"/>
        <item x="25"/>
        <item x="99"/>
        <item x="4"/>
        <item x="209"/>
        <item x="264"/>
        <item x="219"/>
        <item x="226"/>
        <item x="55"/>
        <item x="42"/>
        <item x="18"/>
        <item x="303"/>
        <item x="183"/>
        <item x="151"/>
        <item x="224"/>
        <item x="11"/>
        <item x="103"/>
        <item x="217"/>
        <item x="274"/>
        <item x="53"/>
        <item x="33"/>
        <item x="132"/>
        <item x="273"/>
        <item x="281"/>
        <item x="179"/>
        <item x="22"/>
        <item x="344"/>
        <item t="default"/>
      </items>
    </pivotField>
    <pivotField showAll="0"/>
    <pivotField dataField="1" showAll="0"/>
    <pivotField showAll="0"/>
    <pivotField showAll="0">
      <items count="6">
        <item x="0"/>
        <item x="1"/>
        <item x="3"/>
        <item x="2"/>
        <item x="4"/>
        <item t="default"/>
      </items>
    </pivotField>
    <pivotField showAll="0"/>
    <pivotField showAll="0">
      <items count="6">
        <item x="0"/>
        <item x="2"/>
        <item x="1"/>
        <item x="3"/>
        <item x="4"/>
        <item t="default"/>
      </items>
    </pivotField>
    <pivotField showAll="0"/>
    <pivotField showAll="0"/>
    <pivotField showAll="0"/>
    <pivotField showAll="0"/>
    <pivotField showAll="0"/>
    <pivotField multipleItemSelectionAllowed="1" showAll="0">
      <items count="4">
        <item h="1" x="1"/>
        <item x="0"/>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budge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EC54A-A8E1-4177-98A1-B4F93580B3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6:C31" firstHeaderRow="1" firstDataRow="1" firstDataCol="1"/>
  <pivotFields count="18">
    <pivotField showAll="0">
      <items count="1001">
        <item x="352"/>
        <item x="71"/>
        <item x="689"/>
        <item x="279"/>
        <item x="852"/>
        <item x="939"/>
        <item x="504"/>
        <item x="514"/>
        <item x="254"/>
        <item x="492"/>
        <item x="562"/>
        <item x="772"/>
        <item x="441"/>
        <item x="175"/>
        <item x="405"/>
        <item x="227"/>
        <item x="39"/>
        <item x="248"/>
        <item x="111"/>
        <item x="349"/>
        <item x="332"/>
        <item x="544"/>
        <item x="760"/>
        <item x="280"/>
        <item x="338"/>
        <item x="259"/>
        <item x="895"/>
        <item x="361"/>
        <item x="528"/>
        <item x="618"/>
        <item x="741"/>
        <item x="491"/>
        <item x="187"/>
        <item x="679"/>
        <item x="116"/>
        <item x="460"/>
        <item x="570"/>
        <item x="899"/>
        <item x="604"/>
        <item x="404"/>
        <item x="690"/>
        <item x="631"/>
        <item x="880"/>
        <item x="2"/>
        <item x="569"/>
        <item x="841"/>
        <item x="165"/>
        <item x="915"/>
        <item x="873"/>
        <item x="475"/>
        <item x="516"/>
        <item x="59"/>
        <item x="577"/>
        <item x="154"/>
        <item x="190"/>
        <item x="680"/>
        <item x="152"/>
        <item x="556"/>
        <item x="756"/>
        <item x="342"/>
        <item x="593"/>
        <item x="272"/>
        <item x="101"/>
        <item x="398"/>
        <item x="318"/>
        <item x="555"/>
        <item x="727"/>
        <item x="430"/>
        <item x="910"/>
        <item x="474"/>
        <item x="705"/>
        <item x="393"/>
        <item x="546"/>
        <item x="931"/>
        <item x="820"/>
        <item x="140"/>
        <item x="218"/>
        <item x="394"/>
        <item x="425"/>
        <item x="787"/>
        <item x="397"/>
        <item x="840"/>
        <item x="444"/>
        <item x="76"/>
        <item x="718"/>
        <item x="345"/>
        <item x="923"/>
        <item x="373"/>
        <item x="829"/>
        <item x="33"/>
        <item x="15"/>
        <item x="221"/>
        <item x="478"/>
        <item x="714"/>
        <item x="798"/>
        <item x="387"/>
        <item x="501"/>
        <item x="244"/>
        <item x="16"/>
        <item x="205"/>
        <item x="513"/>
        <item x="495"/>
        <item x="234"/>
        <item x="456"/>
        <item x="894"/>
        <item x="536"/>
        <item x="41"/>
        <item x="485"/>
        <item x="776"/>
        <item x="22"/>
        <item x="138"/>
        <item x="696"/>
        <item x="144"/>
        <item x="11"/>
        <item x="799"/>
        <item x="35"/>
        <item x="590"/>
        <item x="958"/>
        <item x="488"/>
        <item x="720"/>
        <item x="864"/>
        <item x="173"/>
        <item x="494"/>
        <item x="463"/>
        <item x="132"/>
        <item x="436"/>
        <item x="388"/>
        <item x="304"/>
        <item x="490"/>
        <item x="621"/>
        <item x="697"/>
        <item x="34"/>
        <item x="297"/>
        <item x="458"/>
        <item x="737"/>
        <item x="449"/>
        <item x="810"/>
        <item x="496"/>
        <item x="243"/>
        <item x="403"/>
        <item x="324"/>
        <item x="957"/>
        <item x="428"/>
        <item x="240"/>
        <item x="662"/>
        <item x="92"/>
        <item x="465"/>
        <item x="213"/>
        <item x="452"/>
        <item x="19"/>
        <item x="423"/>
        <item x="1"/>
        <item x="709"/>
        <item x="122"/>
        <item x="706"/>
        <item x="722"/>
        <item x="287"/>
        <item x="936"/>
        <item x="467"/>
        <item x="881"/>
        <item x="912"/>
        <item x="974"/>
        <item x="399"/>
        <item x="529"/>
        <item x="274"/>
        <item x="583"/>
        <item x="79"/>
        <item x="282"/>
        <item x="499"/>
        <item x="326"/>
        <item x="235"/>
        <item x="168"/>
        <item x="550"/>
        <item x="176"/>
        <item x="686"/>
        <item x="729"/>
        <item x="242"/>
        <item x="989"/>
        <item x="214"/>
        <item x="333"/>
        <item x="302"/>
        <item x="129"/>
        <item x="3"/>
        <item x="751"/>
        <item x="857"/>
        <item x="228"/>
        <item x="66"/>
        <item x="289"/>
        <item x="666"/>
        <item x="114"/>
        <item x="51"/>
        <item x="249"/>
        <item x="226"/>
        <item x="64"/>
        <item x="260"/>
        <item x="945"/>
        <item x="261"/>
        <item x="162"/>
        <item x="251"/>
        <item x="517"/>
        <item x="743"/>
        <item x="845"/>
        <item x="866"/>
        <item x="763"/>
        <item x="537"/>
        <item x="141"/>
        <item x="67"/>
        <item x="147"/>
        <item x="693"/>
        <item x="600"/>
        <item x="88"/>
        <item x="656"/>
        <item x="835"/>
        <item x="809"/>
        <item x="503"/>
        <item x="340"/>
        <item x="443"/>
        <item x="109"/>
        <item x="761"/>
        <item x="956"/>
        <item x="784"/>
        <item x="683"/>
        <item x="70"/>
        <item x="636"/>
        <item x="813"/>
        <item x="896"/>
        <item x="158"/>
        <item x="439"/>
        <item x="955"/>
        <item x="844"/>
        <item x="715"/>
        <item x="869"/>
        <item x="169"/>
        <item x="37"/>
        <item x="649"/>
        <item x="643"/>
        <item x="429"/>
        <item x="74"/>
        <item x="793"/>
        <item x="412"/>
        <item x="179"/>
        <item x="502"/>
        <item x="924"/>
        <item x="233"/>
        <item x="582"/>
        <item x="733"/>
        <item x="736"/>
        <item x="94"/>
        <item x="930"/>
        <item x="102"/>
        <item x="975"/>
        <item x="534"/>
        <item x="597"/>
        <item x="223"/>
        <item x="863"/>
        <item x="532"/>
        <item x="876"/>
        <item x="606"/>
        <item x="865"/>
        <item x="828"/>
        <item x="719"/>
        <item x="174"/>
        <item x="354"/>
        <item x="409"/>
        <item x="589"/>
        <item x="139"/>
        <item x="547"/>
        <item x="797"/>
        <item x="247"/>
        <item x="778"/>
        <item x="420"/>
        <item x="921"/>
        <item x="401"/>
        <item x="867"/>
        <item x="926"/>
        <item x="757"/>
        <item x="202"/>
        <item x="969"/>
        <item x="903"/>
        <item x="888"/>
        <item x="194"/>
        <item x="4"/>
        <item x="80"/>
        <item x="476"/>
        <item x="207"/>
        <item x="421"/>
        <item x="619"/>
        <item x="482"/>
        <item x="638"/>
        <item x="119"/>
        <item x="57"/>
        <item x="603"/>
        <item x="521"/>
        <item x="598"/>
        <item x="846"/>
        <item x="620"/>
        <item x="878"/>
        <item x="640"/>
        <item x="357"/>
        <item x="276"/>
        <item x="188"/>
        <item x="791"/>
        <item x="758"/>
        <item x="273"/>
        <item x="52"/>
        <item x="68"/>
        <item x="610"/>
        <item x="588"/>
        <item x="18"/>
        <item x="518"/>
        <item x="258"/>
        <item x="567"/>
        <item x="263"/>
        <item x="774"/>
        <item x="91"/>
        <item x="811"/>
        <item x="49"/>
        <item x="23"/>
        <item x="512"/>
        <item x="459"/>
        <item x="724"/>
        <item x="278"/>
        <item x="615"/>
        <item x="917"/>
        <item x="734"/>
        <item x="484"/>
        <item x="628"/>
        <item x="457"/>
        <item x="81"/>
        <item x="239"/>
        <item x="353"/>
        <item x="802"/>
        <item x="634"/>
        <item x="171"/>
        <item x="711"/>
        <item x="256"/>
        <item x="889"/>
        <item x="356"/>
        <item x="198"/>
        <item x="710"/>
        <item x="229"/>
        <item x="24"/>
        <item x="703"/>
        <item x="380"/>
        <item x="231"/>
        <item x="831"/>
        <item x="633"/>
        <item x="612"/>
        <item x="948"/>
        <item x="870"/>
        <item x="963"/>
        <item x="907"/>
        <item x="591"/>
        <item x="783"/>
        <item x="329"/>
        <item x="905"/>
        <item x="82"/>
        <item x="893"/>
        <item x="6"/>
        <item x="745"/>
        <item x="148"/>
        <item x="704"/>
        <item x="566"/>
        <item x="581"/>
        <item x="935"/>
        <item x="938"/>
        <item x="622"/>
        <item x="14"/>
        <item x="576"/>
        <item x="565"/>
        <item x="937"/>
        <item x="347"/>
        <item x="732"/>
        <item x="104"/>
        <item x="611"/>
        <item x="510"/>
        <item x="197"/>
        <item x="535"/>
        <item x="837"/>
        <item x="992"/>
        <item x="818"/>
        <item x="75"/>
        <item x="17"/>
        <item x="635"/>
        <item x="44"/>
        <item x="531"/>
        <item x="668"/>
        <item x="827"/>
        <item x="85"/>
        <item x="9"/>
        <item x="350"/>
        <item x="468"/>
        <item x="65"/>
        <item x="609"/>
        <item x="417"/>
        <item x="676"/>
        <item x="25"/>
        <item x="803"/>
        <item x="671"/>
        <item x="293"/>
        <item x="288"/>
        <item x="667"/>
        <item x="437"/>
        <item x="752"/>
        <item x="307"/>
        <item x="928"/>
        <item x="862"/>
        <item x="742"/>
        <item x="123"/>
        <item x="953"/>
        <item x="27"/>
        <item x="69"/>
        <item x="195"/>
        <item x="596"/>
        <item x="348"/>
        <item x="411"/>
        <item x="435"/>
        <item x="747"/>
        <item x="985"/>
        <item x="785"/>
        <item x="20"/>
        <item x="670"/>
        <item x="424"/>
        <item x="549"/>
        <item x="210"/>
        <item x="45"/>
        <item x="725"/>
        <item x="770"/>
        <item x="480"/>
        <item x="281"/>
        <item x="641"/>
        <item x="406"/>
        <item x="215"/>
        <item x="204"/>
        <item x="471"/>
        <item x="186"/>
        <item x="396"/>
        <item x="694"/>
        <item x="658"/>
        <item x="995"/>
        <item x="362"/>
        <item x="856"/>
        <item x="986"/>
        <item x="61"/>
        <item x="301"/>
        <item x="901"/>
        <item x="336"/>
        <item x="877"/>
        <item x="447"/>
        <item x="434"/>
        <item x="150"/>
        <item x="572"/>
        <item x="602"/>
        <item x="325"/>
        <item x="677"/>
        <item x="10"/>
        <item x="462"/>
        <item x="861"/>
        <item x="391"/>
        <item x="438"/>
        <item x="627"/>
        <item x="700"/>
        <item x="575"/>
        <item x="650"/>
        <item x="647"/>
        <item x="882"/>
        <item x="500"/>
        <item x="971"/>
        <item x="432"/>
        <item x="674"/>
        <item x="808"/>
        <item x="967"/>
        <item x="790"/>
        <item x="766"/>
        <item x="608"/>
        <item x="407"/>
        <item x="920"/>
        <item x="341"/>
        <item x="753"/>
        <item x="377"/>
        <item x="183"/>
        <item x="390"/>
        <item x="665"/>
        <item x="358"/>
        <item x="299"/>
        <item x="133"/>
        <item x="145"/>
        <item x="113"/>
        <item x="12"/>
        <item x="182"/>
        <item x="970"/>
        <item x="804"/>
        <item x="29"/>
        <item x="898"/>
        <item x="160"/>
        <item x="469"/>
        <item x="819"/>
        <item x="775"/>
        <item x="966"/>
        <item x="890"/>
        <item x="346"/>
        <item x="72"/>
        <item x="584"/>
        <item x="270"/>
        <item x="934"/>
        <item x="561"/>
        <item x="699"/>
        <item x="448"/>
        <item x="285"/>
        <item x="283"/>
        <item x="702"/>
        <item x="885"/>
        <item x="884"/>
        <item x="996"/>
        <item x="385"/>
        <item x="601"/>
        <item x="153"/>
        <item x="365"/>
        <item x="300"/>
        <item x="30"/>
        <item x="964"/>
        <item x="897"/>
        <item x="55"/>
        <item x="178"/>
        <item x="90"/>
        <item x="988"/>
        <item x="225"/>
        <item x="366"/>
        <item x="587"/>
        <item x="84"/>
        <item x="470"/>
        <item x="313"/>
        <item x="222"/>
        <item x="624"/>
        <item x="858"/>
        <item x="316"/>
        <item x="843"/>
        <item x="806"/>
        <item x="659"/>
        <item x="909"/>
        <item x="997"/>
        <item x="292"/>
        <item x="507"/>
        <item x="767"/>
        <item x="708"/>
        <item x="871"/>
        <item x="573"/>
        <item x="978"/>
        <item x="402"/>
        <item x="298"/>
        <item x="13"/>
        <item x="100"/>
        <item x="929"/>
        <item x="764"/>
        <item x="672"/>
        <item x="973"/>
        <item x="916"/>
        <item x="201"/>
        <item x="644"/>
        <item x="663"/>
        <item x="156"/>
        <item x="987"/>
        <item x="208"/>
        <item x="653"/>
        <item x="46"/>
        <item x="595"/>
        <item x="58"/>
        <item x="681"/>
        <item x="559"/>
        <item x="599"/>
        <item x="433"/>
        <item x="317"/>
        <item x="993"/>
        <item x="220"/>
        <item x="639"/>
        <item x="520"/>
        <item x="371"/>
        <item x="682"/>
        <item x="115"/>
        <item x="839"/>
        <item x="673"/>
        <item x="904"/>
        <item x="265"/>
        <item x="830"/>
        <item x="155"/>
        <item x="180"/>
        <item x="777"/>
        <item x="511"/>
        <item x="739"/>
        <item x="339"/>
        <item x="498"/>
        <item x="134"/>
        <item x="121"/>
        <item x="632"/>
        <item x="933"/>
        <item x="250"/>
        <item x="526"/>
        <item x="792"/>
        <item x="60"/>
        <item x="252"/>
        <item x="106"/>
        <item x="327"/>
        <item x="382"/>
        <item x="103"/>
        <item x="695"/>
        <item x="731"/>
        <item x="749"/>
        <item x="330"/>
        <item x="968"/>
        <item x="309"/>
        <item x="607"/>
        <item x="364"/>
        <item x="487"/>
        <item x="900"/>
        <item x="211"/>
        <item x="748"/>
        <item x="782"/>
        <item x="189"/>
        <item x="539"/>
        <item x="414"/>
        <item x="26"/>
        <item x="321"/>
        <item x="120"/>
        <item x="519"/>
        <item x="455"/>
        <item x="951"/>
        <item x="212"/>
        <item x="164"/>
        <item x="161"/>
        <item x="645"/>
        <item x="927"/>
        <item x="557"/>
        <item x="167"/>
        <item x="497"/>
        <item x="359"/>
        <item x="368"/>
        <item x="284"/>
        <item x="568"/>
        <item x="8"/>
        <item x="574"/>
        <item x="728"/>
        <item x="473"/>
        <item x="453"/>
        <item x="824"/>
        <item x="868"/>
        <item x="551"/>
        <item x="376"/>
        <item x="838"/>
        <item x="701"/>
        <item x="400"/>
        <item x="306"/>
        <item x="721"/>
        <item x="384"/>
        <item x="97"/>
        <item x="236"/>
        <item x="48"/>
        <item x="40"/>
        <item x="664"/>
        <item x="427"/>
        <item x="159"/>
        <item x="312"/>
        <item x="822"/>
        <item x="977"/>
        <item x="779"/>
        <item x="370"/>
        <item x="185"/>
        <item x="543"/>
        <item x="717"/>
        <item x="949"/>
        <item x="914"/>
        <item x="77"/>
        <item x="323"/>
        <item x="124"/>
        <item x="707"/>
        <item x="563"/>
        <item x="98"/>
        <item x="374"/>
        <item x="431"/>
        <item x="961"/>
        <item x="823"/>
        <item x="0"/>
        <item x="334"/>
        <item x="545"/>
        <item x="489"/>
        <item x="146"/>
        <item x="918"/>
        <item x="369"/>
        <item x="826"/>
        <item x="128"/>
        <item x="580"/>
        <item x="655"/>
        <item x="506"/>
        <item x="269"/>
        <item x="360"/>
        <item x="906"/>
        <item x="87"/>
        <item x="383"/>
        <item x="940"/>
        <item x="117"/>
        <item x="290"/>
        <item x="422"/>
        <item x="294"/>
        <item x="812"/>
        <item x="118"/>
        <item x="560"/>
        <item x="170"/>
        <item x="585"/>
        <item x="626"/>
        <item x="181"/>
        <item x="848"/>
        <item x="684"/>
        <item x="805"/>
        <item x="481"/>
        <item x="253"/>
        <item x="62"/>
        <item x="408"/>
        <item x="246"/>
        <item x="392"/>
        <item x="267"/>
        <item x="410"/>
        <item x="617"/>
        <item x="554"/>
        <item x="464"/>
        <item x="637"/>
        <item x="477"/>
        <item x="648"/>
        <item x="925"/>
        <item x="466"/>
        <item x="629"/>
        <item x="415"/>
        <item x="219"/>
        <item x="56"/>
        <item x="295"/>
        <item x="419"/>
        <item x="613"/>
        <item x="801"/>
        <item x="192"/>
        <item x="367"/>
        <item x="305"/>
        <item x="337"/>
        <item x="675"/>
        <item x="505"/>
        <item x="217"/>
        <item x="688"/>
        <item x="446"/>
        <item x="149"/>
        <item x="768"/>
        <item x="691"/>
        <item x="196"/>
        <item x="230"/>
        <item x="493"/>
        <item x="50"/>
        <item x="291"/>
        <item x="224"/>
        <item x="112"/>
        <item x="980"/>
        <item x="712"/>
        <item x="351"/>
        <item x="965"/>
        <item x="83"/>
        <item x="922"/>
        <item x="780"/>
        <item x="579"/>
        <item x="832"/>
        <item x="947"/>
        <item x="264"/>
        <item x="795"/>
        <item x="203"/>
        <item x="723"/>
        <item x="163"/>
        <item x="552"/>
        <item x="759"/>
        <item x="200"/>
        <item x="522"/>
        <item x="509"/>
        <item x="63"/>
        <item x="825"/>
        <item x="310"/>
        <item x="605"/>
        <item x="508"/>
        <item x="979"/>
        <item x="461"/>
        <item x="331"/>
        <item x="232"/>
        <item x="416"/>
        <item x="614"/>
        <item x="800"/>
        <item x="817"/>
        <item x="744"/>
        <item x="199"/>
        <item x="853"/>
        <item x="678"/>
        <item x="755"/>
        <item x="43"/>
        <item x="28"/>
        <item x="807"/>
        <item x="892"/>
        <item x="553"/>
        <item x="286"/>
        <item x="541"/>
        <item x="137"/>
        <item x="859"/>
        <item x="548"/>
        <item x="73"/>
        <item x="32"/>
        <item x="944"/>
        <item x="442"/>
        <item x="962"/>
        <item x="216"/>
        <item x="849"/>
        <item x="981"/>
        <item x="95"/>
        <item x="245"/>
        <item x="31"/>
        <item x="919"/>
        <item x="657"/>
        <item x="42"/>
        <item x="135"/>
        <item x="661"/>
        <item x="375"/>
        <item x="107"/>
        <item x="21"/>
        <item x="592"/>
        <item x="594"/>
        <item x="883"/>
        <item x="765"/>
        <item x="257"/>
        <item x="335"/>
        <item x="320"/>
        <item x="716"/>
        <item x="886"/>
        <item x="769"/>
        <item x="850"/>
        <item x="542"/>
        <item x="78"/>
        <item x="322"/>
        <item x="127"/>
        <item x="834"/>
        <item x="193"/>
        <item x="89"/>
        <item x="879"/>
        <item x="268"/>
        <item x="816"/>
        <item x="815"/>
        <item x="166"/>
        <item x="533"/>
        <item x="794"/>
        <item x="642"/>
        <item x="836"/>
        <item x="315"/>
        <item x="687"/>
        <item x="746"/>
        <item x="796"/>
        <item x="266"/>
        <item x="142"/>
        <item x="426"/>
        <item x="472"/>
        <item x="303"/>
        <item x="395"/>
        <item x="860"/>
        <item x="206"/>
        <item x="578"/>
        <item x="623"/>
        <item x="440"/>
        <item x="994"/>
        <item x="130"/>
        <item x="942"/>
        <item x="157"/>
        <item x="651"/>
        <item x="646"/>
        <item x="887"/>
        <item x="523"/>
        <item x="99"/>
        <item x="660"/>
        <item x="277"/>
        <item x="172"/>
        <item x="379"/>
        <item x="483"/>
        <item x="855"/>
        <item x="96"/>
        <item x="616"/>
        <item x="275"/>
        <item x="754"/>
        <item x="450"/>
        <item x="363"/>
        <item x="143"/>
        <item x="389"/>
        <item x="713"/>
        <item x="525"/>
        <item x="93"/>
        <item x="726"/>
        <item x="908"/>
        <item x="381"/>
        <item x="136"/>
        <item x="314"/>
        <item x="308"/>
        <item x="913"/>
        <item x="255"/>
        <item x="486"/>
        <item x="630"/>
        <item x="652"/>
        <item x="237"/>
        <item x="105"/>
        <item x="413"/>
        <item x="762"/>
        <item x="558"/>
        <item x="527"/>
        <item x="625"/>
        <item x="990"/>
        <item x="530"/>
        <item x="952"/>
        <item x="378"/>
        <item x="177"/>
        <item x="669"/>
        <item x="262"/>
        <item x="932"/>
        <item x="982"/>
        <item x="960"/>
        <item x="386"/>
        <item x="851"/>
        <item x="151"/>
        <item x="654"/>
        <item x="735"/>
        <item x="959"/>
        <item x="821"/>
        <item x="564"/>
        <item x="946"/>
        <item x="5"/>
        <item x="110"/>
        <item x="126"/>
        <item x="343"/>
        <item x="902"/>
        <item x="328"/>
        <item x="872"/>
        <item x="842"/>
        <item x="750"/>
        <item x="874"/>
        <item x="698"/>
        <item x="814"/>
        <item x="998"/>
        <item x="788"/>
        <item x="943"/>
        <item x="976"/>
        <item x="271"/>
        <item x="53"/>
        <item x="847"/>
        <item x="789"/>
        <item x="108"/>
        <item x="47"/>
        <item x="7"/>
        <item x="238"/>
        <item x="586"/>
        <item x="571"/>
        <item x="692"/>
        <item x="983"/>
        <item x="771"/>
        <item x="209"/>
        <item x="479"/>
        <item x="538"/>
        <item x="540"/>
        <item x="854"/>
        <item x="875"/>
        <item x="451"/>
        <item x="911"/>
        <item x="833"/>
        <item x="941"/>
        <item x="781"/>
        <item x="372"/>
        <item x="319"/>
        <item x="86"/>
        <item x="131"/>
        <item x="685"/>
        <item x="184"/>
        <item x="311"/>
        <item x="241"/>
        <item x="344"/>
        <item x="296"/>
        <item x="54"/>
        <item x="972"/>
        <item x="125"/>
        <item x="891"/>
        <item x="950"/>
        <item x="954"/>
        <item x="191"/>
        <item x="738"/>
        <item x="773"/>
        <item x="740"/>
        <item x="355"/>
        <item x="515"/>
        <item x="524"/>
        <item x="991"/>
        <item x="38"/>
        <item x="730"/>
        <item x="418"/>
        <item x="36"/>
        <item x="786"/>
        <item x="445"/>
        <item x="454"/>
        <item x="984"/>
        <item x="999"/>
        <item t="default"/>
      </items>
    </pivotField>
    <pivotField showAll="0">
      <items count="346">
        <item x="323"/>
        <item x="198"/>
        <item x="71"/>
        <item x="58"/>
        <item x="47"/>
        <item x="310"/>
        <item x="283"/>
        <item x="65"/>
        <item x="229"/>
        <item x="290"/>
        <item x="30"/>
        <item x="329"/>
        <item x="293"/>
        <item x="114"/>
        <item x="108"/>
        <item x="166"/>
        <item x="79"/>
        <item x="336"/>
        <item x="190"/>
        <item x="253"/>
        <item x="168"/>
        <item x="188"/>
        <item x="115"/>
        <item x="141"/>
        <item x="23"/>
        <item x="66"/>
        <item x="64"/>
        <item x="137"/>
        <item x="148"/>
        <item x="202"/>
        <item x="251"/>
        <item x="242"/>
        <item x="265"/>
        <item x="299"/>
        <item x="313"/>
        <item x="8"/>
        <item x="96"/>
        <item x="249"/>
        <item x="337"/>
        <item x="102"/>
        <item x="272"/>
        <item x="230"/>
        <item x="195"/>
        <item x="16"/>
        <item x="97"/>
        <item x="124"/>
        <item x="194"/>
        <item x="80"/>
        <item x="88"/>
        <item x="246"/>
        <item x="111"/>
        <item x="218"/>
        <item x="252"/>
        <item x="92"/>
        <item x="3"/>
        <item x="311"/>
        <item x="199"/>
        <item x="61"/>
        <item x="51"/>
        <item x="301"/>
        <item x="31"/>
        <item x="240"/>
        <item x="208"/>
        <item x="302"/>
        <item x="147"/>
        <item x="220"/>
        <item x="138"/>
        <item x="181"/>
        <item x="78"/>
        <item x="131"/>
        <item x="335"/>
        <item x="178"/>
        <item x="60"/>
        <item x="27"/>
        <item x="83"/>
        <item x="127"/>
        <item x="46"/>
        <item x="232"/>
        <item x="109"/>
        <item x="107"/>
        <item x="259"/>
        <item x="315"/>
        <item x="52"/>
        <item x="118"/>
        <item x="162"/>
        <item x="63"/>
        <item x="134"/>
        <item x="136"/>
        <item x="288"/>
        <item x="14"/>
        <item x="319"/>
        <item x="187"/>
        <item x="68"/>
        <item x="56"/>
        <item x="280"/>
        <item x="210"/>
        <item x="81"/>
        <item x="203"/>
        <item x="204"/>
        <item x="104"/>
        <item x="26"/>
        <item x="158"/>
        <item x="112"/>
        <item x="38"/>
        <item x="105"/>
        <item x="34"/>
        <item x="9"/>
        <item x="40"/>
        <item x="276"/>
        <item x="123"/>
        <item x="234"/>
        <item x="120"/>
        <item x="175"/>
        <item x="334"/>
        <item x="291"/>
        <item x="149"/>
        <item x="130"/>
        <item x="267"/>
        <item x="231"/>
        <item x="45"/>
        <item x="269"/>
        <item x="324"/>
        <item x="85"/>
        <item x="69"/>
        <item x="35"/>
        <item x="171"/>
        <item x="75"/>
        <item x="343"/>
        <item x="2"/>
        <item x="201"/>
        <item x="89"/>
        <item x="67"/>
        <item x="94"/>
        <item x="76"/>
        <item x="101"/>
        <item x="260"/>
        <item x="331"/>
        <item x="86"/>
        <item x="241"/>
        <item x="169"/>
        <item x="286"/>
        <item x="213"/>
        <item x="157"/>
        <item x="7"/>
        <item x="270"/>
        <item x="135"/>
        <item x="122"/>
        <item x="282"/>
        <item x="294"/>
        <item x="100"/>
        <item x="342"/>
        <item x="261"/>
        <item x="307"/>
        <item x="21"/>
        <item x="233"/>
        <item x="36"/>
        <item x="110"/>
        <item x="32"/>
        <item x="172"/>
        <item x="180"/>
        <item x="91"/>
        <item x="258"/>
        <item x="314"/>
        <item x="214"/>
        <item x="93"/>
        <item x="176"/>
        <item x="248"/>
        <item x="263"/>
        <item x="126"/>
        <item x="332"/>
        <item x="338"/>
        <item x="215"/>
        <item x="98"/>
        <item x="197"/>
        <item x="160"/>
        <item x="19"/>
        <item x="128"/>
        <item x="328"/>
        <item x="189"/>
        <item x="327"/>
        <item x="143"/>
        <item x="340"/>
        <item x="1"/>
        <item x="330"/>
        <item x="205"/>
        <item x="333"/>
        <item x="140"/>
        <item x="321"/>
        <item x="228"/>
        <item x="74"/>
        <item x="113"/>
        <item x="243"/>
        <item x="57"/>
        <item x="73"/>
        <item x="39"/>
        <item x="41"/>
        <item x="6"/>
        <item x="59"/>
        <item x="84"/>
        <item x="156"/>
        <item x="44"/>
        <item x="121"/>
        <item x="49"/>
        <item x="255"/>
        <item x="153"/>
        <item x="165"/>
        <item x="146"/>
        <item x="119"/>
        <item x="289"/>
        <item x="244"/>
        <item x="12"/>
        <item x="284"/>
        <item x="191"/>
        <item x="237"/>
        <item x="216"/>
        <item x="155"/>
        <item x="256"/>
        <item x="15"/>
        <item x="320"/>
        <item x="125"/>
        <item x="186"/>
        <item x="129"/>
        <item x="239"/>
        <item x="184"/>
        <item x="95"/>
        <item x="144"/>
        <item x="0"/>
        <item x="245"/>
        <item x="279"/>
        <item x="106"/>
        <item x="43"/>
        <item x="254"/>
        <item x="116"/>
        <item x="192"/>
        <item x="221"/>
        <item x="117"/>
        <item x="247"/>
        <item x="227"/>
        <item x="317"/>
        <item x="275"/>
        <item x="287"/>
        <item x="257"/>
        <item x="173"/>
        <item x="28"/>
        <item x="20"/>
        <item x="236"/>
        <item x="235"/>
        <item x="50"/>
        <item x="222"/>
        <item x="225"/>
        <item x="72"/>
        <item x="142"/>
        <item x="185"/>
        <item x="37"/>
        <item x="196"/>
        <item x="295"/>
        <item x="152"/>
        <item x="304"/>
        <item x="193"/>
        <item x="77"/>
        <item x="300"/>
        <item x="164"/>
        <item x="139"/>
        <item x="145"/>
        <item x="266"/>
        <item x="292"/>
        <item x="262"/>
        <item x="296"/>
        <item x="200"/>
        <item x="62"/>
        <item x="326"/>
        <item x="177"/>
        <item x="305"/>
        <item x="325"/>
        <item x="298"/>
        <item x="167"/>
        <item x="285"/>
        <item x="278"/>
        <item x="29"/>
        <item x="339"/>
        <item x="316"/>
        <item x="211"/>
        <item x="238"/>
        <item x="82"/>
        <item x="174"/>
        <item x="212"/>
        <item x="309"/>
        <item x="87"/>
        <item x="170"/>
        <item x="312"/>
        <item x="48"/>
        <item x="163"/>
        <item x="277"/>
        <item x="297"/>
        <item x="268"/>
        <item x="322"/>
        <item x="159"/>
        <item x="206"/>
        <item x="133"/>
        <item x="10"/>
        <item x="154"/>
        <item x="306"/>
        <item x="90"/>
        <item x="182"/>
        <item x="271"/>
        <item x="223"/>
        <item x="308"/>
        <item x="54"/>
        <item x="17"/>
        <item x="161"/>
        <item x="24"/>
        <item x="150"/>
        <item x="341"/>
        <item x="5"/>
        <item x="318"/>
        <item x="250"/>
        <item x="70"/>
        <item x="207"/>
        <item x="13"/>
        <item x="25"/>
        <item x="99"/>
        <item x="4"/>
        <item x="209"/>
        <item x="264"/>
        <item x="219"/>
        <item x="226"/>
        <item x="55"/>
        <item x="42"/>
        <item x="18"/>
        <item x="303"/>
        <item x="183"/>
        <item x="151"/>
        <item x="224"/>
        <item x="11"/>
        <item x="103"/>
        <item x="217"/>
        <item x="274"/>
        <item x="53"/>
        <item x="33"/>
        <item x="132"/>
        <item x="273"/>
        <item x="281"/>
        <item x="179"/>
        <item x="22"/>
        <item x="344"/>
        <item t="default"/>
      </items>
    </pivotField>
    <pivotField showAll="0"/>
    <pivotField showAll="0"/>
    <pivotField showAll="0"/>
    <pivotField showAll="0">
      <items count="6">
        <item x="0"/>
        <item x="1"/>
        <item x="3"/>
        <item x="2"/>
        <item x="4"/>
        <item t="default"/>
      </items>
    </pivotField>
    <pivotField showAll="0"/>
    <pivotField axis="axisRow" showAll="0">
      <items count="6">
        <item x="0"/>
        <item x="2"/>
        <item x="1"/>
        <item x="3"/>
        <item x="4"/>
        <item t="default"/>
      </items>
    </pivotField>
    <pivotField showAll="0"/>
    <pivotField showAll="0"/>
    <pivotField showAll="0"/>
    <pivotField showAll="0"/>
    <pivotField dataField="1" showAll="0"/>
    <pivotField multipleItemSelectionAllowed="1" showAll="0">
      <items count="4">
        <item h="1" x="1"/>
        <item x="0"/>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Average of Adjusted ROI" fld="12" subtotal="average" baseField="7"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44E9B-60F6-443F-87E2-ABDB7CB34C4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8">
    <pivotField showAll="0">
      <items count="1001">
        <item x="352"/>
        <item x="71"/>
        <item x="689"/>
        <item x="279"/>
        <item x="852"/>
        <item x="939"/>
        <item x="504"/>
        <item x="514"/>
        <item x="254"/>
        <item x="492"/>
        <item x="562"/>
        <item x="772"/>
        <item x="441"/>
        <item x="175"/>
        <item x="405"/>
        <item x="227"/>
        <item x="39"/>
        <item x="248"/>
        <item x="111"/>
        <item x="349"/>
        <item x="332"/>
        <item x="544"/>
        <item x="760"/>
        <item x="280"/>
        <item x="338"/>
        <item x="259"/>
        <item x="895"/>
        <item x="361"/>
        <item x="528"/>
        <item x="618"/>
        <item x="741"/>
        <item x="491"/>
        <item x="187"/>
        <item x="679"/>
        <item x="116"/>
        <item x="460"/>
        <item x="570"/>
        <item x="899"/>
        <item x="604"/>
        <item x="404"/>
        <item x="690"/>
        <item x="631"/>
        <item x="880"/>
        <item x="2"/>
        <item x="569"/>
        <item x="841"/>
        <item x="165"/>
        <item x="915"/>
        <item x="873"/>
        <item x="475"/>
        <item x="516"/>
        <item x="59"/>
        <item x="577"/>
        <item x="154"/>
        <item x="190"/>
        <item x="680"/>
        <item x="152"/>
        <item x="556"/>
        <item x="756"/>
        <item x="342"/>
        <item x="593"/>
        <item x="272"/>
        <item x="101"/>
        <item x="398"/>
        <item x="318"/>
        <item x="555"/>
        <item x="727"/>
        <item x="430"/>
        <item x="910"/>
        <item x="474"/>
        <item x="705"/>
        <item x="393"/>
        <item x="546"/>
        <item x="931"/>
        <item x="820"/>
        <item x="140"/>
        <item x="218"/>
        <item x="394"/>
        <item x="425"/>
        <item x="787"/>
        <item x="397"/>
        <item x="840"/>
        <item x="444"/>
        <item x="76"/>
        <item x="718"/>
        <item x="345"/>
        <item x="923"/>
        <item x="373"/>
        <item x="829"/>
        <item x="33"/>
        <item x="15"/>
        <item x="221"/>
        <item x="478"/>
        <item x="714"/>
        <item x="798"/>
        <item x="387"/>
        <item x="501"/>
        <item x="244"/>
        <item x="16"/>
        <item x="205"/>
        <item x="513"/>
        <item x="495"/>
        <item x="234"/>
        <item x="456"/>
        <item x="894"/>
        <item x="536"/>
        <item x="41"/>
        <item x="485"/>
        <item x="776"/>
        <item x="22"/>
        <item x="138"/>
        <item x="696"/>
        <item x="144"/>
        <item x="11"/>
        <item x="799"/>
        <item x="35"/>
        <item x="590"/>
        <item x="958"/>
        <item x="488"/>
        <item x="720"/>
        <item x="864"/>
        <item x="173"/>
        <item x="494"/>
        <item x="463"/>
        <item x="132"/>
        <item x="436"/>
        <item x="388"/>
        <item x="304"/>
        <item x="490"/>
        <item x="621"/>
        <item x="697"/>
        <item x="34"/>
        <item x="297"/>
        <item x="458"/>
        <item x="737"/>
        <item x="449"/>
        <item x="810"/>
        <item x="496"/>
        <item x="243"/>
        <item x="403"/>
        <item x="324"/>
        <item x="957"/>
        <item x="428"/>
        <item x="240"/>
        <item x="662"/>
        <item x="92"/>
        <item x="465"/>
        <item x="213"/>
        <item x="452"/>
        <item x="19"/>
        <item x="423"/>
        <item x="1"/>
        <item x="709"/>
        <item x="122"/>
        <item x="706"/>
        <item x="722"/>
        <item x="287"/>
        <item x="936"/>
        <item x="467"/>
        <item x="881"/>
        <item x="912"/>
        <item x="974"/>
        <item x="399"/>
        <item x="529"/>
        <item x="274"/>
        <item x="583"/>
        <item x="79"/>
        <item x="282"/>
        <item x="499"/>
        <item x="326"/>
        <item x="235"/>
        <item x="168"/>
        <item x="550"/>
        <item x="176"/>
        <item x="686"/>
        <item x="729"/>
        <item x="242"/>
        <item x="989"/>
        <item x="214"/>
        <item x="333"/>
        <item x="302"/>
        <item x="129"/>
        <item x="3"/>
        <item x="751"/>
        <item x="857"/>
        <item x="228"/>
        <item x="66"/>
        <item x="289"/>
        <item x="666"/>
        <item x="114"/>
        <item x="51"/>
        <item x="249"/>
        <item x="226"/>
        <item x="64"/>
        <item x="260"/>
        <item x="945"/>
        <item x="261"/>
        <item x="162"/>
        <item x="251"/>
        <item x="517"/>
        <item x="743"/>
        <item x="845"/>
        <item x="866"/>
        <item x="763"/>
        <item x="537"/>
        <item x="141"/>
        <item x="67"/>
        <item x="147"/>
        <item x="693"/>
        <item x="600"/>
        <item x="88"/>
        <item x="656"/>
        <item x="835"/>
        <item x="809"/>
        <item x="503"/>
        <item x="340"/>
        <item x="443"/>
        <item x="109"/>
        <item x="761"/>
        <item x="956"/>
        <item x="784"/>
        <item x="683"/>
        <item x="70"/>
        <item x="636"/>
        <item x="813"/>
        <item x="896"/>
        <item x="158"/>
        <item x="439"/>
        <item x="955"/>
        <item x="844"/>
        <item x="715"/>
        <item x="869"/>
        <item x="169"/>
        <item x="37"/>
        <item x="649"/>
        <item x="643"/>
        <item x="429"/>
        <item x="74"/>
        <item x="793"/>
        <item x="412"/>
        <item x="179"/>
        <item x="502"/>
        <item x="924"/>
        <item x="233"/>
        <item x="582"/>
        <item x="733"/>
        <item x="736"/>
        <item x="94"/>
        <item x="930"/>
        <item x="102"/>
        <item x="975"/>
        <item x="534"/>
        <item x="597"/>
        <item x="223"/>
        <item x="863"/>
        <item x="532"/>
        <item x="876"/>
        <item x="606"/>
        <item x="865"/>
        <item x="828"/>
        <item x="719"/>
        <item x="174"/>
        <item x="354"/>
        <item x="409"/>
        <item x="589"/>
        <item x="139"/>
        <item x="547"/>
        <item x="797"/>
        <item x="247"/>
        <item x="778"/>
        <item x="420"/>
        <item x="921"/>
        <item x="401"/>
        <item x="867"/>
        <item x="926"/>
        <item x="757"/>
        <item x="202"/>
        <item x="969"/>
        <item x="903"/>
        <item x="888"/>
        <item x="194"/>
        <item x="4"/>
        <item x="80"/>
        <item x="476"/>
        <item x="207"/>
        <item x="421"/>
        <item x="619"/>
        <item x="482"/>
        <item x="638"/>
        <item x="119"/>
        <item x="57"/>
        <item x="603"/>
        <item x="521"/>
        <item x="598"/>
        <item x="846"/>
        <item x="620"/>
        <item x="878"/>
        <item x="640"/>
        <item x="357"/>
        <item x="276"/>
        <item x="188"/>
        <item x="791"/>
        <item x="758"/>
        <item x="273"/>
        <item x="52"/>
        <item x="68"/>
        <item x="610"/>
        <item x="588"/>
        <item x="18"/>
        <item x="518"/>
        <item x="258"/>
        <item x="567"/>
        <item x="263"/>
        <item x="774"/>
        <item x="91"/>
        <item x="811"/>
        <item x="49"/>
        <item x="23"/>
        <item x="512"/>
        <item x="459"/>
        <item x="724"/>
        <item x="278"/>
        <item x="615"/>
        <item x="917"/>
        <item x="734"/>
        <item x="484"/>
        <item x="628"/>
        <item x="457"/>
        <item x="81"/>
        <item x="239"/>
        <item x="353"/>
        <item x="802"/>
        <item x="634"/>
        <item x="171"/>
        <item x="711"/>
        <item x="256"/>
        <item x="889"/>
        <item x="356"/>
        <item x="198"/>
        <item x="710"/>
        <item x="229"/>
        <item x="24"/>
        <item x="703"/>
        <item x="380"/>
        <item x="231"/>
        <item x="831"/>
        <item x="633"/>
        <item x="612"/>
        <item x="948"/>
        <item x="870"/>
        <item x="963"/>
        <item x="907"/>
        <item x="591"/>
        <item x="783"/>
        <item x="329"/>
        <item x="905"/>
        <item x="82"/>
        <item x="893"/>
        <item x="6"/>
        <item x="745"/>
        <item x="148"/>
        <item x="704"/>
        <item x="566"/>
        <item x="581"/>
        <item x="935"/>
        <item x="938"/>
        <item x="622"/>
        <item x="14"/>
        <item x="576"/>
        <item x="565"/>
        <item x="937"/>
        <item x="347"/>
        <item x="732"/>
        <item x="104"/>
        <item x="611"/>
        <item x="510"/>
        <item x="197"/>
        <item x="535"/>
        <item x="837"/>
        <item x="992"/>
        <item x="818"/>
        <item x="75"/>
        <item x="17"/>
        <item x="635"/>
        <item x="44"/>
        <item x="531"/>
        <item x="668"/>
        <item x="827"/>
        <item x="85"/>
        <item x="9"/>
        <item x="350"/>
        <item x="468"/>
        <item x="65"/>
        <item x="609"/>
        <item x="417"/>
        <item x="676"/>
        <item x="25"/>
        <item x="803"/>
        <item x="671"/>
        <item x="293"/>
        <item x="288"/>
        <item x="667"/>
        <item x="437"/>
        <item x="752"/>
        <item x="307"/>
        <item x="928"/>
        <item x="862"/>
        <item x="742"/>
        <item x="123"/>
        <item x="953"/>
        <item x="27"/>
        <item x="69"/>
        <item x="195"/>
        <item x="596"/>
        <item x="348"/>
        <item x="411"/>
        <item x="435"/>
        <item x="747"/>
        <item x="985"/>
        <item x="785"/>
        <item x="20"/>
        <item x="670"/>
        <item x="424"/>
        <item x="549"/>
        <item x="210"/>
        <item x="45"/>
        <item x="725"/>
        <item x="770"/>
        <item x="480"/>
        <item x="281"/>
        <item x="641"/>
        <item x="406"/>
        <item x="215"/>
        <item x="204"/>
        <item x="471"/>
        <item x="186"/>
        <item x="396"/>
        <item x="694"/>
        <item x="658"/>
        <item x="995"/>
        <item x="362"/>
        <item x="856"/>
        <item x="986"/>
        <item x="61"/>
        <item x="301"/>
        <item x="901"/>
        <item x="336"/>
        <item x="877"/>
        <item x="447"/>
        <item x="434"/>
        <item x="150"/>
        <item x="572"/>
        <item x="602"/>
        <item x="325"/>
        <item x="677"/>
        <item x="10"/>
        <item x="462"/>
        <item x="861"/>
        <item x="391"/>
        <item x="438"/>
        <item x="627"/>
        <item x="700"/>
        <item x="575"/>
        <item x="650"/>
        <item x="647"/>
        <item x="882"/>
        <item x="500"/>
        <item x="971"/>
        <item x="432"/>
        <item x="674"/>
        <item x="808"/>
        <item x="967"/>
        <item x="790"/>
        <item x="766"/>
        <item x="608"/>
        <item x="407"/>
        <item x="920"/>
        <item x="341"/>
        <item x="753"/>
        <item x="377"/>
        <item x="183"/>
        <item x="390"/>
        <item x="665"/>
        <item x="358"/>
        <item x="299"/>
        <item x="133"/>
        <item x="145"/>
        <item x="113"/>
        <item x="12"/>
        <item x="182"/>
        <item x="970"/>
        <item x="804"/>
        <item x="29"/>
        <item x="898"/>
        <item x="160"/>
        <item x="469"/>
        <item x="819"/>
        <item x="775"/>
        <item x="966"/>
        <item x="890"/>
        <item x="346"/>
        <item x="72"/>
        <item x="584"/>
        <item x="270"/>
        <item x="934"/>
        <item x="561"/>
        <item x="699"/>
        <item x="448"/>
        <item x="285"/>
        <item x="283"/>
        <item x="702"/>
        <item x="885"/>
        <item x="884"/>
        <item x="996"/>
        <item x="385"/>
        <item x="601"/>
        <item x="153"/>
        <item x="365"/>
        <item x="300"/>
        <item x="30"/>
        <item x="964"/>
        <item x="897"/>
        <item x="55"/>
        <item x="178"/>
        <item x="90"/>
        <item x="988"/>
        <item x="225"/>
        <item x="366"/>
        <item x="587"/>
        <item x="84"/>
        <item x="470"/>
        <item x="313"/>
        <item x="222"/>
        <item x="624"/>
        <item x="858"/>
        <item x="316"/>
        <item x="843"/>
        <item x="806"/>
        <item x="659"/>
        <item x="909"/>
        <item x="997"/>
        <item x="292"/>
        <item x="507"/>
        <item x="767"/>
        <item x="708"/>
        <item x="871"/>
        <item x="573"/>
        <item x="978"/>
        <item x="402"/>
        <item x="298"/>
        <item x="13"/>
        <item x="100"/>
        <item x="929"/>
        <item x="764"/>
        <item x="672"/>
        <item x="973"/>
        <item x="916"/>
        <item x="201"/>
        <item x="644"/>
        <item x="663"/>
        <item x="156"/>
        <item x="987"/>
        <item x="208"/>
        <item x="653"/>
        <item x="46"/>
        <item x="595"/>
        <item x="58"/>
        <item x="681"/>
        <item x="559"/>
        <item x="599"/>
        <item x="433"/>
        <item x="317"/>
        <item x="993"/>
        <item x="220"/>
        <item x="639"/>
        <item x="520"/>
        <item x="371"/>
        <item x="682"/>
        <item x="115"/>
        <item x="839"/>
        <item x="673"/>
        <item x="904"/>
        <item x="265"/>
        <item x="830"/>
        <item x="155"/>
        <item x="180"/>
        <item x="777"/>
        <item x="511"/>
        <item x="739"/>
        <item x="339"/>
        <item x="498"/>
        <item x="134"/>
        <item x="121"/>
        <item x="632"/>
        <item x="933"/>
        <item x="250"/>
        <item x="526"/>
        <item x="792"/>
        <item x="60"/>
        <item x="252"/>
        <item x="106"/>
        <item x="327"/>
        <item x="382"/>
        <item x="103"/>
        <item x="695"/>
        <item x="731"/>
        <item x="749"/>
        <item x="330"/>
        <item x="968"/>
        <item x="309"/>
        <item x="607"/>
        <item x="364"/>
        <item x="487"/>
        <item x="900"/>
        <item x="211"/>
        <item x="748"/>
        <item x="782"/>
        <item x="189"/>
        <item x="539"/>
        <item x="414"/>
        <item x="26"/>
        <item x="321"/>
        <item x="120"/>
        <item x="519"/>
        <item x="455"/>
        <item x="951"/>
        <item x="212"/>
        <item x="164"/>
        <item x="161"/>
        <item x="645"/>
        <item x="927"/>
        <item x="557"/>
        <item x="167"/>
        <item x="497"/>
        <item x="359"/>
        <item x="368"/>
        <item x="284"/>
        <item x="568"/>
        <item x="8"/>
        <item x="574"/>
        <item x="728"/>
        <item x="473"/>
        <item x="453"/>
        <item x="824"/>
        <item x="868"/>
        <item x="551"/>
        <item x="376"/>
        <item x="838"/>
        <item x="701"/>
        <item x="400"/>
        <item x="306"/>
        <item x="721"/>
        <item x="384"/>
        <item x="97"/>
        <item x="236"/>
        <item x="48"/>
        <item x="40"/>
        <item x="664"/>
        <item x="427"/>
        <item x="159"/>
        <item x="312"/>
        <item x="822"/>
        <item x="977"/>
        <item x="779"/>
        <item x="370"/>
        <item x="185"/>
        <item x="543"/>
        <item x="717"/>
        <item x="949"/>
        <item x="914"/>
        <item x="77"/>
        <item x="323"/>
        <item x="124"/>
        <item x="707"/>
        <item x="563"/>
        <item x="98"/>
        <item x="374"/>
        <item x="431"/>
        <item x="961"/>
        <item x="823"/>
        <item x="0"/>
        <item x="334"/>
        <item x="545"/>
        <item x="489"/>
        <item x="146"/>
        <item x="918"/>
        <item x="369"/>
        <item x="826"/>
        <item x="128"/>
        <item x="580"/>
        <item x="655"/>
        <item x="506"/>
        <item x="269"/>
        <item x="360"/>
        <item x="906"/>
        <item x="87"/>
        <item x="383"/>
        <item x="940"/>
        <item x="117"/>
        <item x="290"/>
        <item x="422"/>
        <item x="294"/>
        <item x="812"/>
        <item x="118"/>
        <item x="560"/>
        <item x="170"/>
        <item x="585"/>
        <item x="626"/>
        <item x="181"/>
        <item x="848"/>
        <item x="684"/>
        <item x="805"/>
        <item x="481"/>
        <item x="253"/>
        <item x="62"/>
        <item x="408"/>
        <item x="246"/>
        <item x="392"/>
        <item x="267"/>
        <item x="410"/>
        <item x="617"/>
        <item x="554"/>
        <item x="464"/>
        <item x="637"/>
        <item x="477"/>
        <item x="648"/>
        <item x="925"/>
        <item x="466"/>
        <item x="629"/>
        <item x="415"/>
        <item x="219"/>
        <item x="56"/>
        <item x="295"/>
        <item x="419"/>
        <item x="613"/>
        <item x="801"/>
        <item x="192"/>
        <item x="367"/>
        <item x="305"/>
        <item x="337"/>
        <item x="675"/>
        <item x="505"/>
        <item x="217"/>
        <item x="688"/>
        <item x="446"/>
        <item x="149"/>
        <item x="768"/>
        <item x="691"/>
        <item x="196"/>
        <item x="230"/>
        <item x="493"/>
        <item x="50"/>
        <item x="291"/>
        <item x="224"/>
        <item x="112"/>
        <item x="980"/>
        <item x="712"/>
        <item x="351"/>
        <item x="965"/>
        <item x="83"/>
        <item x="922"/>
        <item x="780"/>
        <item x="579"/>
        <item x="832"/>
        <item x="947"/>
        <item x="264"/>
        <item x="795"/>
        <item x="203"/>
        <item x="723"/>
        <item x="163"/>
        <item x="552"/>
        <item x="759"/>
        <item x="200"/>
        <item x="522"/>
        <item x="509"/>
        <item x="63"/>
        <item x="825"/>
        <item x="310"/>
        <item x="605"/>
        <item x="508"/>
        <item x="979"/>
        <item x="461"/>
        <item x="331"/>
        <item x="232"/>
        <item x="416"/>
        <item x="614"/>
        <item x="800"/>
        <item x="817"/>
        <item x="744"/>
        <item x="199"/>
        <item x="853"/>
        <item x="678"/>
        <item x="755"/>
        <item x="43"/>
        <item x="28"/>
        <item x="807"/>
        <item x="892"/>
        <item x="553"/>
        <item x="286"/>
        <item x="541"/>
        <item x="137"/>
        <item x="859"/>
        <item x="548"/>
        <item x="73"/>
        <item x="32"/>
        <item x="944"/>
        <item x="442"/>
        <item x="962"/>
        <item x="216"/>
        <item x="849"/>
        <item x="981"/>
        <item x="95"/>
        <item x="245"/>
        <item x="31"/>
        <item x="919"/>
        <item x="657"/>
        <item x="42"/>
        <item x="135"/>
        <item x="661"/>
        <item x="375"/>
        <item x="107"/>
        <item x="21"/>
        <item x="592"/>
        <item x="594"/>
        <item x="883"/>
        <item x="765"/>
        <item x="257"/>
        <item x="335"/>
        <item x="320"/>
        <item x="716"/>
        <item x="886"/>
        <item x="769"/>
        <item x="850"/>
        <item x="542"/>
        <item x="78"/>
        <item x="322"/>
        <item x="127"/>
        <item x="834"/>
        <item x="193"/>
        <item x="89"/>
        <item x="879"/>
        <item x="268"/>
        <item x="816"/>
        <item x="815"/>
        <item x="166"/>
        <item x="533"/>
        <item x="794"/>
        <item x="642"/>
        <item x="836"/>
        <item x="315"/>
        <item x="687"/>
        <item x="746"/>
        <item x="796"/>
        <item x="266"/>
        <item x="142"/>
        <item x="426"/>
        <item x="472"/>
        <item x="303"/>
        <item x="395"/>
        <item x="860"/>
        <item x="206"/>
        <item x="578"/>
        <item x="623"/>
        <item x="440"/>
        <item x="994"/>
        <item x="130"/>
        <item x="942"/>
        <item x="157"/>
        <item x="651"/>
        <item x="646"/>
        <item x="887"/>
        <item x="523"/>
        <item x="99"/>
        <item x="660"/>
        <item x="277"/>
        <item x="172"/>
        <item x="379"/>
        <item x="483"/>
        <item x="855"/>
        <item x="96"/>
        <item x="616"/>
        <item x="275"/>
        <item x="754"/>
        <item x="450"/>
        <item x="363"/>
        <item x="143"/>
        <item x="389"/>
        <item x="713"/>
        <item x="525"/>
        <item x="93"/>
        <item x="726"/>
        <item x="908"/>
        <item x="381"/>
        <item x="136"/>
        <item x="314"/>
        <item x="308"/>
        <item x="913"/>
        <item x="255"/>
        <item x="486"/>
        <item x="630"/>
        <item x="652"/>
        <item x="237"/>
        <item x="105"/>
        <item x="413"/>
        <item x="762"/>
        <item x="558"/>
        <item x="527"/>
        <item x="625"/>
        <item x="990"/>
        <item x="530"/>
        <item x="952"/>
        <item x="378"/>
        <item x="177"/>
        <item x="669"/>
        <item x="262"/>
        <item x="932"/>
        <item x="982"/>
        <item x="960"/>
        <item x="386"/>
        <item x="851"/>
        <item x="151"/>
        <item x="654"/>
        <item x="735"/>
        <item x="959"/>
        <item x="821"/>
        <item x="564"/>
        <item x="946"/>
        <item x="5"/>
        <item x="110"/>
        <item x="126"/>
        <item x="343"/>
        <item x="902"/>
        <item x="328"/>
        <item x="872"/>
        <item x="842"/>
        <item x="750"/>
        <item x="874"/>
        <item x="698"/>
        <item x="814"/>
        <item x="998"/>
        <item x="788"/>
        <item x="943"/>
        <item x="976"/>
        <item x="271"/>
        <item x="53"/>
        <item x="847"/>
        <item x="789"/>
        <item x="108"/>
        <item x="47"/>
        <item x="7"/>
        <item x="238"/>
        <item x="586"/>
        <item x="571"/>
        <item x="692"/>
        <item x="983"/>
        <item x="771"/>
        <item x="209"/>
        <item x="479"/>
        <item x="538"/>
        <item x="540"/>
        <item x="854"/>
        <item x="875"/>
        <item x="451"/>
        <item x="911"/>
        <item x="833"/>
        <item x="941"/>
        <item x="781"/>
        <item x="372"/>
        <item x="319"/>
        <item x="86"/>
        <item x="131"/>
        <item x="685"/>
        <item x="184"/>
        <item x="311"/>
        <item x="241"/>
        <item x="344"/>
        <item x="296"/>
        <item x="54"/>
        <item x="972"/>
        <item x="125"/>
        <item x="891"/>
        <item x="950"/>
        <item x="954"/>
        <item x="191"/>
        <item x="738"/>
        <item x="773"/>
        <item x="740"/>
        <item x="355"/>
        <item x="515"/>
        <item x="524"/>
        <item x="991"/>
        <item x="38"/>
        <item x="730"/>
        <item x="418"/>
        <item x="36"/>
        <item x="786"/>
        <item x="445"/>
        <item x="454"/>
        <item x="984"/>
        <item x="999"/>
        <item t="default"/>
      </items>
    </pivotField>
    <pivotField showAll="0">
      <items count="346">
        <item x="323"/>
        <item x="198"/>
        <item x="71"/>
        <item x="58"/>
        <item x="47"/>
        <item x="310"/>
        <item x="283"/>
        <item x="65"/>
        <item x="229"/>
        <item x="290"/>
        <item x="30"/>
        <item x="329"/>
        <item x="293"/>
        <item x="114"/>
        <item x="108"/>
        <item x="166"/>
        <item x="79"/>
        <item x="336"/>
        <item x="190"/>
        <item x="253"/>
        <item x="168"/>
        <item x="188"/>
        <item x="115"/>
        <item x="141"/>
        <item x="23"/>
        <item x="66"/>
        <item x="64"/>
        <item x="137"/>
        <item x="148"/>
        <item x="202"/>
        <item x="251"/>
        <item x="242"/>
        <item x="265"/>
        <item x="299"/>
        <item x="313"/>
        <item x="8"/>
        <item x="96"/>
        <item x="249"/>
        <item x="337"/>
        <item x="102"/>
        <item x="272"/>
        <item x="230"/>
        <item x="195"/>
        <item x="16"/>
        <item x="97"/>
        <item x="124"/>
        <item x="194"/>
        <item x="80"/>
        <item x="88"/>
        <item x="246"/>
        <item x="111"/>
        <item x="218"/>
        <item x="252"/>
        <item x="92"/>
        <item x="3"/>
        <item x="311"/>
        <item x="199"/>
        <item x="61"/>
        <item x="51"/>
        <item x="301"/>
        <item x="31"/>
        <item x="240"/>
        <item x="208"/>
        <item x="302"/>
        <item x="147"/>
        <item x="220"/>
        <item x="138"/>
        <item x="181"/>
        <item x="78"/>
        <item x="131"/>
        <item x="335"/>
        <item x="178"/>
        <item x="60"/>
        <item x="27"/>
        <item x="83"/>
        <item x="127"/>
        <item x="46"/>
        <item x="232"/>
        <item x="109"/>
        <item x="107"/>
        <item x="259"/>
        <item x="315"/>
        <item x="52"/>
        <item x="118"/>
        <item x="162"/>
        <item x="63"/>
        <item x="134"/>
        <item x="136"/>
        <item x="288"/>
        <item x="14"/>
        <item x="319"/>
        <item x="187"/>
        <item x="68"/>
        <item x="56"/>
        <item x="280"/>
        <item x="210"/>
        <item x="81"/>
        <item x="203"/>
        <item x="204"/>
        <item x="104"/>
        <item x="26"/>
        <item x="158"/>
        <item x="112"/>
        <item x="38"/>
        <item x="105"/>
        <item x="34"/>
        <item x="9"/>
        <item x="40"/>
        <item x="276"/>
        <item x="123"/>
        <item x="234"/>
        <item x="120"/>
        <item x="175"/>
        <item x="334"/>
        <item x="291"/>
        <item x="149"/>
        <item x="130"/>
        <item x="267"/>
        <item x="231"/>
        <item x="45"/>
        <item x="269"/>
        <item x="324"/>
        <item x="85"/>
        <item x="69"/>
        <item x="35"/>
        <item x="171"/>
        <item x="75"/>
        <item x="343"/>
        <item x="2"/>
        <item x="201"/>
        <item x="89"/>
        <item x="67"/>
        <item x="94"/>
        <item x="76"/>
        <item x="101"/>
        <item x="260"/>
        <item x="331"/>
        <item x="86"/>
        <item x="241"/>
        <item x="169"/>
        <item x="286"/>
        <item x="213"/>
        <item x="157"/>
        <item x="7"/>
        <item x="270"/>
        <item x="135"/>
        <item x="122"/>
        <item x="282"/>
        <item x="294"/>
        <item x="100"/>
        <item x="342"/>
        <item x="261"/>
        <item x="307"/>
        <item x="21"/>
        <item x="233"/>
        <item x="36"/>
        <item x="110"/>
        <item x="32"/>
        <item x="172"/>
        <item x="180"/>
        <item x="91"/>
        <item x="258"/>
        <item x="314"/>
        <item x="214"/>
        <item x="93"/>
        <item x="176"/>
        <item x="248"/>
        <item x="263"/>
        <item x="126"/>
        <item x="332"/>
        <item x="338"/>
        <item x="215"/>
        <item x="98"/>
        <item x="197"/>
        <item x="160"/>
        <item x="19"/>
        <item x="128"/>
        <item x="328"/>
        <item x="189"/>
        <item x="327"/>
        <item x="143"/>
        <item x="340"/>
        <item x="1"/>
        <item x="330"/>
        <item x="205"/>
        <item x="333"/>
        <item x="140"/>
        <item x="321"/>
        <item x="228"/>
        <item x="74"/>
        <item x="113"/>
        <item x="243"/>
        <item x="57"/>
        <item x="73"/>
        <item x="39"/>
        <item x="41"/>
        <item x="6"/>
        <item x="59"/>
        <item x="84"/>
        <item x="156"/>
        <item x="44"/>
        <item x="121"/>
        <item x="49"/>
        <item x="255"/>
        <item x="153"/>
        <item x="165"/>
        <item x="146"/>
        <item x="119"/>
        <item x="289"/>
        <item x="244"/>
        <item x="12"/>
        <item x="284"/>
        <item x="191"/>
        <item x="237"/>
        <item x="216"/>
        <item x="155"/>
        <item x="256"/>
        <item x="15"/>
        <item x="320"/>
        <item x="125"/>
        <item x="186"/>
        <item x="129"/>
        <item x="239"/>
        <item x="184"/>
        <item x="95"/>
        <item x="144"/>
        <item x="0"/>
        <item x="245"/>
        <item x="279"/>
        <item x="106"/>
        <item x="43"/>
        <item x="254"/>
        <item x="116"/>
        <item x="192"/>
        <item x="221"/>
        <item x="117"/>
        <item x="247"/>
        <item x="227"/>
        <item x="317"/>
        <item x="275"/>
        <item x="287"/>
        <item x="257"/>
        <item x="173"/>
        <item x="28"/>
        <item x="20"/>
        <item x="236"/>
        <item x="235"/>
        <item x="50"/>
        <item x="222"/>
        <item x="225"/>
        <item x="72"/>
        <item x="142"/>
        <item x="185"/>
        <item x="37"/>
        <item x="196"/>
        <item x="295"/>
        <item x="152"/>
        <item x="304"/>
        <item x="193"/>
        <item x="77"/>
        <item x="300"/>
        <item x="164"/>
        <item x="139"/>
        <item x="145"/>
        <item x="266"/>
        <item x="292"/>
        <item x="262"/>
        <item x="296"/>
        <item x="200"/>
        <item x="62"/>
        <item x="326"/>
        <item x="177"/>
        <item x="305"/>
        <item x="325"/>
        <item x="298"/>
        <item x="167"/>
        <item x="285"/>
        <item x="278"/>
        <item x="29"/>
        <item x="339"/>
        <item x="316"/>
        <item x="211"/>
        <item x="238"/>
        <item x="82"/>
        <item x="174"/>
        <item x="212"/>
        <item x="309"/>
        <item x="87"/>
        <item x="170"/>
        <item x="312"/>
        <item x="48"/>
        <item x="163"/>
        <item x="277"/>
        <item x="297"/>
        <item x="268"/>
        <item x="322"/>
        <item x="159"/>
        <item x="206"/>
        <item x="133"/>
        <item x="10"/>
        <item x="154"/>
        <item x="306"/>
        <item x="90"/>
        <item x="182"/>
        <item x="271"/>
        <item x="223"/>
        <item x="308"/>
        <item x="54"/>
        <item x="17"/>
        <item x="161"/>
        <item x="24"/>
        <item x="150"/>
        <item x="341"/>
        <item x="5"/>
        <item x="318"/>
        <item x="250"/>
        <item x="70"/>
        <item x="207"/>
        <item x="13"/>
        <item x="25"/>
        <item x="99"/>
        <item x="4"/>
        <item x="209"/>
        <item x="264"/>
        <item x="219"/>
        <item x="226"/>
        <item x="55"/>
        <item x="42"/>
        <item x="18"/>
        <item x="303"/>
        <item x="183"/>
        <item x="151"/>
        <item x="224"/>
        <item x="11"/>
        <item x="103"/>
        <item x="217"/>
        <item x="274"/>
        <item x="53"/>
        <item x="33"/>
        <item x="132"/>
        <item x="273"/>
        <item x="281"/>
        <item x="179"/>
        <item x="22"/>
        <item x="344"/>
        <item t="default"/>
      </items>
    </pivotField>
    <pivotField showAll="0"/>
    <pivotField showAll="0"/>
    <pivotField showAll="0"/>
    <pivotField showAll="0">
      <items count="6">
        <item x="0"/>
        <item x="1"/>
        <item x="3"/>
        <item x="2"/>
        <item x="4"/>
        <item t="default"/>
      </items>
    </pivotField>
    <pivotField showAll="0"/>
    <pivotField showAll="0">
      <items count="6">
        <item x="0"/>
        <item x="2"/>
        <item x="1"/>
        <item x="3"/>
        <item x="4"/>
        <item t="default"/>
      </items>
    </pivotField>
    <pivotField showAll="0"/>
    <pivotField showAll="0"/>
    <pivotField showAll="0"/>
    <pivotField dataField="1" showAll="0"/>
    <pivotField showAll="0"/>
    <pivotField multipleItemSelectionAllowed="1" showAll="0">
      <items count="4">
        <item h="1" x="1"/>
        <item x="0"/>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Adjusted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0B7FC8-820B-4E8C-91C8-A3149047E4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5:E11" firstHeaderRow="1" firstDataRow="2" firstDataCol="1"/>
  <pivotFields count="18">
    <pivotField dataField="1" showAll="0">
      <items count="1001">
        <item x="352"/>
        <item x="71"/>
        <item x="689"/>
        <item x="279"/>
        <item x="852"/>
        <item x="939"/>
        <item x="504"/>
        <item x="514"/>
        <item x="254"/>
        <item x="492"/>
        <item x="562"/>
        <item x="772"/>
        <item x="441"/>
        <item x="175"/>
        <item x="405"/>
        <item x="227"/>
        <item x="39"/>
        <item x="248"/>
        <item x="111"/>
        <item x="349"/>
        <item x="332"/>
        <item x="544"/>
        <item x="760"/>
        <item x="280"/>
        <item x="338"/>
        <item x="259"/>
        <item x="895"/>
        <item x="361"/>
        <item x="528"/>
        <item x="618"/>
        <item x="741"/>
        <item x="491"/>
        <item x="187"/>
        <item x="679"/>
        <item x="116"/>
        <item x="460"/>
        <item x="570"/>
        <item x="899"/>
        <item x="604"/>
        <item x="404"/>
        <item x="690"/>
        <item x="631"/>
        <item x="880"/>
        <item x="2"/>
        <item x="569"/>
        <item x="841"/>
        <item x="165"/>
        <item x="915"/>
        <item x="873"/>
        <item x="475"/>
        <item x="516"/>
        <item x="59"/>
        <item x="577"/>
        <item x="154"/>
        <item x="190"/>
        <item x="680"/>
        <item x="152"/>
        <item x="556"/>
        <item x="756"/>
        <item x="342"/>
        <item x="593"/>
        <item x="272"/>
        <item x="101"/>
        <item x="398"/>
        <item x="318"/>
        <item x="555"/>
        <item x="727"/>
        <item x="430"/>
        <item x="910"/>
        <item x="474"/>
        <item x="705"/>
        <item x="393"/>
        <item x="546"/>
        <item x="931"/>
        <item x="820"/>
        <item x="140"/>
        <item x="218"/>
        <item x="394"/>
        <item x="425"/>
        <item x="787"/>
        <item x="397"/>
        <item x="840"/>
        <item x="444"/>
        <item x="76"/>
        <item x="718"/>
        <item x="345"/>
        <item x="923"/>
        <item x="373"/>
        <item x="829"/>
        <item x="33"/>
        <item x="15"/>
        <item x="221"/>
        <item x="478"/>
        <item x="714"/>
        <item x="798"/>
        <item x="387"/>
        <item x="501"/>
        <item x="244"/>
        <item x="16"/>
        <item x="205"/>
        <item x="513"/>
        <item x="495"/>
        <item x="234"/>
        <item x="456"/>
        <item x="894"/>
        <item x="536"/>
        <item x="41"/>
        <item x="485"/>
        <item x="776"/>
        <item x="22"/>
        <item x="138"/>
        <item x="696"/>
        <item x="144"/>
        <item x="11"/>
        <item x="799"/>
        <item x="35"/>
        <item x="590"/>
        <item x="958"/>
        <item x="488"/>
        <item x="720"/>
        <item x="864"/>
        <item x="173"/>
        <item x="494"/>
        <item x="463"/>
        <item x="132"/>
        <item x="436"/>
        <item x="388"/>
        <item x="304"/>
        <item x="490"/>
        <item x="621"/>
        <item x="697"/>
        <item x="34"/>
        <item x="297"/>
        <item x="458"/>
        <item x="737"/>
        <item x="449"/>
        <item x="810"/>
        <item x="496"/>
        <item x="243"/>
        <item x="403"/>
        <item x="324"/>
        <item x="957"/>
        <item x="428"/>
        <item x="240"/>
        <item x="662"/>
        <item x="92"/>
        <item x="465"/>
        <item x="213"/>
        <item x="452"/>
        <item x="19"/>
        <item x="423"/>
        <item x="1"/>
        <item x="709"/>
        <item x="122"/>
        <item x="706"/>
        <item x="722"/>
        <item x="287"/>
        <item x="936"/>
        <item x="467"/>
        <item x="881"/>
        <item x="912"/>
        <item x="974"/>
        <item x="399"/>
        <item x="529"/>
        <item x="274"/>
        <item x="583"/>
        <item x="79"/>
        <item x="282"/>
        <item x="499"/>
        <item x="326"/>
        <item x="235"/>
        <item x="168"/>
        <item x="550"/>
        <item x="176"/>
        <item x="686"/>
        <item x="729"/>
        <item x="242"/>
        <item x="989"/>
        <item x="214"/>
        <item x="333"/>
        <item x="302"/>
        <item x="129"/>
        <item x="3"/>
        <item x="751"/>
        <item x="857"/>
        <item x="228"/>
        <item x="66"/>
        <item x="289"/>
        <item x="666"/>
        <item x="114"/>
        <item x="51"/>
        <item x="249"/>
        <item x="226"/>
        <item x="64"/>
        <item x="260"/>
        <item x="945"/>
        <item x="261"/>
        <item x="162"/>
        <item x="251"/>
        <item x="517"/>
        <item x="743"/>
        <item x="845"/>
        <item x="866"/>
        <item x="763"/>
        <item x="537"/>
        <item x="141"/>
        <item x="67"/>
        <item x="147"/>
        <item x="693"/>
        <item x="600"/>
        <item x="88"/>
        <item x="656"/>
        <item x="835"/>
        <item x="809"/>
        <item x="503"/>
        <item x="340"/>
        <item x="443"/>
        <item x="109"/>
        <item x="761"/>
        <item x="956"/>
        <item x="784"/>
        <item x="683"/>
        <item x="70"/>
        <item x="636"/>
        <item x="813"/>
        <item x="896"/>
        <item x="158"/>
        <item x="439"/>
        <item x="955"/>
        <item x="844"/>
        <item x="715"/>
        <item x="869"/>
        <item x="169"/>
        <item x="37"/>
        <item x="649"/>
        <item x="643"/>
        <item x="429"/>
        <item x="74"/>
        <item x="793"/>
        <item x="412"/>
        <item x="179"/>
        <item x="502"/>
        <item x="924"/>
        <item x="233"/>
        <item x="582"/>
        <item x="733"/>
        <item x="736"/>
        <item x="94"/>
        <item x="930"/>
        <item x="102"/>
        <item x="975"/>
        <item x="534"/>
        <item x="597"/>
        <item x="223"/>
        <item x="863"/>
        <item x="532"/>
        <item x="876"/>
        <item x="606"/>
        <item x="865"/>
        <item x="828"/>
        <item x="719"/>
        <item x="174"/>
        <item x="354"/>
        <item x="409"/>
        <item x="589"/>
        <item x="139"/>
        <item x="547"/>
        <item x="797"/>
        <item x="247"/>
        <item x="778"/>
        <item x="420"/>
        <item x="921"/>
        <item x="401"/>
        <item x="867"/>
        <item x="926"/>
        <item x="757"/>
        <item x="202"/>
        <item x="969"/>
        <item x="903"/>
        <item x="888"/>
        <item x="194"/>
        <item x="4"/>
        <item x="80"/>
        <item x="476"/>
        <item x="207"/>
        <item x="421"/>
        <item x="619"/>
        <item x="482"/>
        <item x="638"/>
        <item x="119"/>
        <item x="57"/>
        <item x="603"/>
        <item x="521"/>
        <item x="598"/>
        <item x="846"/>
        <item x="620"/>
        <item x="878"/>
        <item x="640"/>
        <item x="357"/>
        <item x="276"/>
        <item x="188"/>
        <item x="791"/>
        <item x="758"/>
        <item x="273"/>
        <item x="52"/>
        <item x="68"/>
        <item x="610"/>
        <item x="588"/>
        <item x="18"/>
        <item x="518"/>
        <item x="258"/>
        <item x="567"/>
        <item x="263"/>
        <item x="774"/>
        <item x="91"/>
        <item x="811"/>
        <item x="49"/>
        <item x="23"/>
        <item x="512"/>
        <item x="459"/>
        <item x="724"/>
        <item x="278"/>
        <item x="615"/>
        <item x="917"/>
        <item x="734"/>
        <item x="484"/>
        <item x="628"/>
        <item x="457"/>
        <item x="81"/>
        <item x="239"/>
        <item x="353"/>
        <item x="802"/>
        <item x="634"/>
        <item x="171"/>
        <item x="711"/>
        <item x="256"/>
        <item x="889"/>
        <item x="356"/>
        <item x="198"/>
        <item x="710"/>
        <item x="229"/>
        <item x="24"/>
        <item x="703"/>
        <item x="380"/>
        <item x="231"/>
        <item x="831"/>
        <item x="633"/>
        <item x="612"/>
        <item x="948"/>
        <item x="870"/>
        <item x="963"/>
        <item x="907"/>
        <item x="591"/>
        <item x="783"/>
        <item x="329"/>
        <item x="905"/>
        <item x="82"/>
        <item x="893"/>
        <item x="6"/>
        <item x="745"/>
        <item x="148"/>
        <item x="704"/>
        <item x="566"/>
        <item x="581"/>
        <item x="935"/>
        <item x="938"/>
        <item x="622"/>
        <item x="14"/>
        <item x="576"/>
        <item x="565"/>
        <item x="937"/>
        <item x="347"/>
        <item x="732"/>
        <item x="104"/>
        <item x="611"/>
        <item x="510"/>
        <item x="197"/>
        <item x="535"/>
        <item x="837"/>
        <item x="992"/>
        <item x="818"/>
        <item x="75"/>
        <item x="17"/>
        <item x="635"/>
        <item x="44"/>
        <item x="531"/>
        <item x="668"/>
        <item x="827"/>
        <item x="85"/>
        <item x="9"/>
        <item x="350"/>
        <item x="468"/>
        <item x="65"/>
        <item x="609"/>
        <item x="417"/>
        <item x="676"/>
        <item x="25"/>
        <item x="803"/>
        <item x="671"/>
        <item x="293"/>
        <item x="288"/>
        <item x="667"/>
        <item x="437"/>
        <item x="752"/>
        <item x="307"/>
        <item x="928"/>
        <item x="862"/>
        <item x="742"/>
        <item x="123"/>
        <item x="953"/>
        <item x="27"/>
        <item x="69"/>
        <item x="195"/>
        <item x="596"/>
        <item x="348"/>
        <item x="411"/>
        <item x="435"/>
        <item x="747"/>
        <item x="985"/>
        <item x="785"/>
        <item x="20"/>
        <item x="670"/>
        <item x="424"/>
        <item x="549"/>
        <item x="210"/>
        <item x="45"/>
        <item x="725"/>
        <item x="770"/>
        <item x="480"/>
        <item x="281"/>
        <item x="641"/>
        <item x="406"/>
        <item x="215"/>
        <item x="204"/>
        <item x="471"/>
        <item x="186"/>
        <item x="396"/>
        <item x="694"/>
        <item x="658"/>
        <item x="995"/>
        <item x="362"/>
        <item x="856"/>
        <item x="986"/>
        <item x="61"/>
        <item x="301"/>
        <item x="901"/>
        <item x="336"/>
        <item x="877"/>
        <item x="447"/>
        <item x="434"/>
        <item x="150"/>
        <item x="572"/>
        <item x="602"/>
        <item x="325"/>
        <item x="677"/>
        <item x="10"/>
        <item x="462"/>
        <item x="861"/>
        <item x="391"/>
        <item x="438"/>
        <item x="627"/>
        <item x="700"/>
        <item x="575"/>
        <item x="650"/>
        <item x="647"/>
        <item x="882"/>
        <item x="500"/>
        <item x="971"/>
        <item x="432"/>
        <item x="674"/>
        <item x="808"/>
        <item x="967"/>
        <item x="790"/>
        <item x="766"/>
        <item x="608"/>
        <item x="407"/>
        <item x="920"/>
        <item x="341"/>
        <item x="753"/>
        <item x="377"/>
        <item x="183"/>
        <item x="390"/>
        <item x="665"/>
        <item x="358"/>
        <item x="299"/>
        <item x="133"/>
        <item x="145"/>
        <item x="113"/>
        <item x="12"/>
        <item x="182"/>
        <item x="970"/>
        <item x="804"/>
        <item x="29"/>
        <item x="898"/>
        <item x="160"/>
        <item x="469"/>
        <item x="819"/>
        <item x="775"/>
        <item x="966"/>
        <item x="890"/>
        <item x="346"/>
        <item x="72"/>
        <item x="584"/>
        <item x="270"/>
        <item x="934"/>
        <item x="561"/>
        <item x="699"/>
        <item x="448"/>
        <item x="285"/>
        <item x="283"/>
        <item x="702"/>
        <item x="885"/>
        <item x="884"/>
        <item x="996"/>
        <item x="385"/>
        <item x="601"/>
        <item x="153"/>
        <item x="365"/>
        <item x="300"/>
        <item x="30"/>
        <item x="964"/>
        <item x="897"/>
        <item x="55"/>
        <item x="178"/>
        <item x="90"/>
        <item x="988"/>
        <item x="225"/>
        <item x="366"/>
        <item x="587"/>
        <item x="84"/>
        <item x="470"/>
        <item x="313"/>
        <item x="222"/>
        <item x="624"/>
        <item x="858"/>
        <item x="316"/>
        <item x="843"/>
        <item x="806"/>
        <item x="659"/>
        <item x="909"/>
        <item x="997"/>
        <item x="292"/>
        <item x="507"/>
        <item x="767"/>
        <item x="708"/>
        <item x="871"/>
        <item x="573"/>
        <item x="978"/>
        <item x="402"/>
        <item x="298"/>
        <item x="13"/>
        <item x="100"/>
        <item x="929"/>
        <item x="764"/>
        <item x="672"/>
        <item x="973"/>
        <item x="916"/>
        <item x="201"/>
        <item x="644"/>
        <item x="663"/>
        <item x="156"/>
        <item x="987"/>
        <item x="208"/>
        <item x="653"/>
        <item x="46"/>
        <item x="595"/>
        <item x="58"/>
        <item x="681"/>
        <item x="559"/>
        <item x="599"/>
        <item x="433"/>
        <item x="317"/>
        <item x="993"/>
        <item x="220"/>
        <item x="639"/>
        <item x="520"/>
        <item x="371"/>
        <item x="682"/>
        <item x="115"/>
        <item x="839"/>
        <item x="673"/>
        <item x="904"/>
        <item x="265"/>
        <item x="830"/>
        <item x="155"/>
        <item x="180"/>
        <item x="777"/>
        <item x="511"/>
        <item x="739"/>
        <item x="339"/>
        <item x="498"/>
        <item x="134"/>
        <item x="121"/>
        <item x="632"/>
        <item x="933"/>
        <item x="250"/>
        <item x="526"/>
        <item x="792"/>
        <item x="60"/>
        <item x="252"/>
        <item x="106"/>
        <item x="327"/>
        <item x="382"/>
        <item x="103"/>
        <item x="695"/>
        <item x="731"/>
        <item x="749"/>
        <item x="330"/>
        <item x="968"/>
        <item x="309"/>
        <item x="607"/>
        <item x="364"/>
        <item x="487"/>
        <item x="900"/>
        <item x="211"/>
        <item x="748"/>
        <item x="782"/>
        <item x="189"/>
        <item x="539"/>
        <item x="414"/>
        <item x="26"/>
        <item x="321"/>
        <item x="120"/>
        <item x="519"/>
        <item x="455"/>
        <item x="951"/>
        <item x="212"/>
        <item x="164"/>
        <item x="161"/>
        <item x="645"/>
        <item x="927"/>
        <item x="557"/>
        <item x="167"/>
        <item x="497"/>
        <item x="359"/>
        <item x="368"/>
        <item x="284"/>
        <item x="568"/>
        <item x="8"/>
        <item x="574"/>
        <item x="728"/>
        <item x="473"/>
        <item x="453"/>
        <item x="824"/>
        <item x="868"/>
        <item x="551"/>
        <item x="376"/>
        <item x="838"/>
        <item x="701"/>
        <item x="400"/>
        <item x="306"/>
        <item x="721"/>
        <item x="384"/>
        <item x="97"/>
        <item x="236"/>
        <item x="48"/>
        <item x="40"/>
        <item x="664"/>
        <item x="427"/>
        <item x="159"/>
        <item x="312"/>
        <item x="822"/>
        <item x="977"/>
        <item x="779"/>
        <item x="370"/>
        <item x="185"/>
        <item x="543"/>
        <item x="717"/>
        <item x="949"/>
        <item x="914"/>
        <item x="77"/>
        <item x="323"/>
        <item x="124"/>
        <item x="707"/>
        <item x="563"/>
        <item x="98"/>
        <item x="374"/>
        <item x="431"/>
        <item x="961"/>
        <item x="823"/>
        <item x="0"/>
        <item x="334"/>
        <item x="545"/>
        <item x="489"/>
        <item x="146"/>
        <item x="918"/>
        <item x="369"/>
        <item x="826"/>
        <item x="128"/>
        <item x="580"/>
        <item x="655"/>
        <item x="506"/>
        <item x="269"/>
        <item x="360"/>
        <item x="906"/>
        <item x="87"/>
        <item x="383"/>
        <item x="940"/>
        <item x="117"/>
        <item x="290"/>
        <item x="422"/>
        <item x="294"/>
        <item x="812"/>
        <item x="118"/>
        <item x="560"/>
        <item x="170"/>
        <item x="585"/>
        <item x="626"/>
        <item x="181"/>
        <item x="848"/>
        <item x="684"/>
        <item x="805"/>
        <item x="481"/>
        <item x="253"/>
        <item x="62"/>
        <item x="408"/>
        <item x="246"/>
        <item x="392"/>
        <item x="267"/>
        <item x="410"/>
        <item x="617"/>
        <item x="554"/>
        <item x="464"/>
        <item x="637"/>
        <item x="477"/>
        <item x="648"/>
        <item x="925"/>
        <item x="466"/>
        <item x="629"/>
        <item x="415"/>
        <item x="219"/>
        <item x="56"/>
        <item x="295"/>
        <item x="419"/>
        <item x="613"/>
        <item x="801"/>
        <item x="192"/>
        <item x="367"/>
        <item x="305"/>
        <item x="337"/>
        <item x="675"/>
        <item x="505"/>
        <item x="217"/>
        <item x="688"/>
        <item x="446"/>
        <item x="149"/>
        <item x="768"/>
        <item x="691"/>
        <item x="196"/>
        <item x="230"/>
        <item x="493"/>
        <item x="50"/>
        <item x="291"/>
        <item x="224"/>
        <item x="112"/>
        <item x="980"/>
        <item x="712"/>
        <item x="351"/>
        <item x="965"/>
        <item x="83"/>
        <item x="922"/>
        <item x="780"/>
        <item x="579"/>
        <item x="832"/>
        <item x="947"/>
        <item x="264"/>
        <item x="795"/>
        <item x="203"/>
        <item x="723"/>
        <item x="163"/>
        <item x="552"/>
        <item x="759"/>
        <item x="200"/>
        <item x="522"/>
        <item x="509"/>
        <item x="63"/>
        <item x="825"/>
        <item x="310"/>
        <item x="605"/>
        <item x="508"/>
        <item x="979"/>
        <item x="461"/>
        <item x="331"/>
        <item x="232"/>
        <item x="416"/>
        <item x="614"/>
        <item x="800"/>
        <item x="817"/>
        <item x="744"/>
        <item x="199"/>
        <item x="853"/>
        <item x="678"/>
        <item x="755"/>
        <item x="43"/>
        <item x="28"/>
        <item x="807"/>
        <item x="892"/>
        <item x="553"/>
        <item x="286"/>
        <item x="541"/>
        <item x="137"/>
        <item x="859"/>
        <item x="548"/>
        <item x="73"/>
        <item x="32"/>
        <item x="944"/>
        <item x="442"/>
        <item x="962"/>
        <item x="216"/>
        <item x="849"/>
        <item x="981"/>
        <item x="95"/>
        <item x="245"/>
        <item x="31"/>
        <item x="919"/>
        <item x="657"/>
        <item x="42"/>
        <item x="135"/>
        <item x="661"/>
        <item x="375"/>
        <item x="107"/>
        <item x="21"/>
        <item x="592"/>
        <item x="594"/>
        <item x="883"/>
        <item x="765"/>
        <item x="257"/>
        <item x="335"/>
        <item x="320"/>
        <item x="716"/>
        <item x="886"/>
        <item x="769"/>
        <item x="850"/>
        <item x="542"/>
        <item x="78"/>
        <item x="322"/>
        <item x="127"/>
        <item x="834"/>
        <item x="193"/>
        <item x="89"/>
        <item x="879"/>
        <item x="268"/>
        <item x="816"/>
        <item x="815"/>
        <item x="166"/>
        <item x="533"/>
        <item x="794"/>
        <item x="642"/>
        <item x="836"/>
        <item x="315"/>
        <item x="687"/>
        <item x="746"/>
        <item x="796"/>
        <item x="266"/>
        <item x="142"/>
        <item x="426"/>
        <item x="472"/>
        <item x="303"/>
        <item x="395"/>
        <item x="860"/>
        <item x="206"/>
        <item x="578"/>
        <item x="623"/>
        <item x="440"/>
        <item x="994"/>
        <item x="130"/>
        <item x="942"/>
        <item x="157"/>
        <item x="651"/>
        <item x="646"/>
        <item x="887"/>
        <item x="523"/>
        <item x="99"/>
        <item x="660"/>
        <item x="277"/>
        <item x="172"/>
        <item x="379"/>
        <item x="483"/>
        <item x="855"/>
        <item x="96"/>
        <item x="616"/>
        <item x="275"/>
        <item x="754"/>
        <item x="450"/>
        <item x="363"/>
        <item x="143"/>
        <item x="389"/>
        <item x="713"/>
        <item x="525"/>
        <item x="93"/>
        <item x="726"/>
        <item x="908"/>
        <item x="381"/>
        <item x="136"/>
        <item x="314"/>
        <item x="308"/>
        <item x="913"/>
        <item x="255"/>
        <item x="486"/>
        <item x="630"/>
        <item x="652"/>
        <item x="237"/>
        <item x="105"/>
        <item x="413"/>
        <item x="762"/>
        <item x="558"/>
        <item x="527"/>
        <item x="625"/>
        <item x="990"/>
        <item x="530"/>
        <item x="952"/>
        <item x="378"/>
        <item x="177"/>
        <item x="669"/>
        <item x="262"/>
        <item x="932"/>
        <item x="982"/>
        <item x="960"/>
        <item x="386"/>
        <item x="851"/>
        <item x="151"/>
        <item x="654"/>
        <item x="735"/>
        <item x="959"/>
        <item x="821"/>
        <item x="564"/>
        <item x="946"/>
        <item x="5"/>
        <item x="110"/>
        <item x="126"/>
        <item x="343"/>
        <item x="902"/>
        <item x="328"/>
        <item x="872"/>
        <item x="842"/>
        <item x="750"/>
        <item x="874"/>
        <item x="698"/>
        <item x="814"/>
        <item x="998"/>
        <item x="788"/>
        <item x="943"/>
        <item x="976"/>
        <item x="271"/>
        <item x="53"/>
        <item x="847"/>
        <item x="789"/>
        <item x="108"/>
        <item x="47"/>
        <item x="7"/>
        <item x="238"/>
        <item x="586"/>
        <item x="571"/>
        <item x="692"/>
        <item x="983"/>
        <item x="771"/>
        <item x="209"/>
        <item x="479"/>
        <item x="538"/>
        <item x="540"/>
        <item x="854"/>
        <item x="875"/>
        <item x="451"/>
        <item x="911"/>
        <item x="833"/>
        <item x="941"/>
        <item x="781"/>
        <item x="372"/>
        <item x="319"/>
        <item x="86"/>
        <item x="131"/>
        <item x="685"/>
        <item x="184"/>
        <item x="311"/>
        <item x="241"/>
        <item x="344"/>
        <item x="296"/>
        <item x="54"/>
        <item x="972"/>
        <item x="125"/>
        <item x="891"/>
        <item x="950"/>
        <item x="954"/>
        <item x="191"/>
        <item x="738"/>
        <item x="773"/>
        <item x="740"/>
        <item x="355"/>
        <item x="515"/>
        <item x="524"/>
        <item x="991"/>
        <item x="38"/>
        <item x="730"/>
        <item x="418"/>
        <item x="36"/>
        <item x="786"/>
        <item x="445"/>
        <item x="454"/>
        <item x="984"/>
        <item x="999"/>
        <item t="default"/>
      </items>
    </pivotField>
    <pivotField showAll="0">
      <items count="346">
        <item x="323"/>
        <item x="198"/>
        <item x="71"/>
        <item x="58"/>
        <item x="47"/>
        <item x="310"/>
        <item x="283"/>
        <item x="65"/>
        <item x="229"/>
        <item x="290"/>
        <item x="30"/>
        <item x="329"/>
        <item x="293"/>
        <item x="114"/>
        <item x="108"/>
        <item x="166"/>
        <item x="79"/>
        <item x="336"/>
        <item x="190"/>
        <item x="253"/>
        <item x="168"/>
        <item x="188"/>
        <item x="115"/>
        <item x="141"/>
        <item x="23"/>
        <item x="66"/>
        <item x="64"/>
        <item x="137"/>
        <item x="148"/>
        <item x="202"/>
        <item x="251"/>
        <item x="242"/>
        <item x="265"/>
        <item x="299"/>
        <item x="313"/>
        <item x="8"/>
        <item x="96"/>
        <item x="249"/>
        <item x="337"/>
        <item x="102"/>
        <item x="272"/>
        <item x="230"/>
        <item x="195"/>
        <item x="16"/>
        <item x="97"/>
        <item x="124"/>
        <item x="194"/>
        <item x="80"/>
        <item x="88"/>
        <item x="246"/>
        <item x="111"/>
        <item x="218"/>
        <item x="252"/>
        <item x="92"/>
        <item x="3"/>
        <item x="311"/>
        <item x="199"/>
        <item x="61"/>
        <item x="51"/>
        <item x="301"/>
        <item x="31"/>
        <item x="240"/>
        <item x="208"/>
        <item x="302"/>
        <item x="147"/>
        <item x="220"/>
        <item x="138"/>
        <item x="181"/>
        <item x="78"/>
        <item x="131"/>
        <item x="335"/>
        <item x="178"/>
        <item x="60"/>
        <item x="27"/>
        <item x="83"/>
        <item x="127"/>
        <item x="46"/>
        <item x="232"/>
        <item x="109"/>
        <item x="107"/>
        <item x="259"/>
        <item x="315"/>
        <item x="52"/>
        <item x="118"/>
        <item x="162"/>
        <item x="63"/>
        <item x="134"/>
        <item x="136"/>
        <item x="288"/>
        <item x="14"/>
        <item x="319"/>
        <item x="187"/>
        <item x="68"/>
        <item x="56"/>
        <item x="280"/>
        <item x="210"/>
        <item x="81"/>
        <item x="203"/>
        <item x="204"/>
        <item x="104"/>
        <item x="26"/>
        <item x="158"/>
        <item x="112"/>
        <item x="38"/>
        <item x="105"/>
        <item x="34"/>
        <item x="9"/>
        <item x="40"/>
        <item x="276"/>
        <item x="123"/>
        <item x="234"/>
        <item x="120"/>
        <item x="175"/>
        <item x="334"/>
        <item x="291"/>
        <item x="149"/>
        <item x="130"/>
        <item x="267"/>
        <item x="231"/>
        <item x="45"/>
        <item x="269"/>
        <item x="324"/>
        <item x="85"/>
        <item x="69"/>
        <item x="35"/>
        <item x="171"/>
        <item x="75"/>
        <item x="343"/>
        <item x="2"/>
        <item x="201"/>
        <item x="89"/>
        <item x="67"/>
        <item x="94"/>
        <item x="76"/>
        <item x="101"/>
        <item x="260"/>
        <item x="331"/>
        <item x="86"/>
        <item x="241"/>
        <item x="169"/>
        <item x="286"/>
        <item x="213"/>
        <item x="157"/>
        <item x="7"/>
        <item x="270"/>
        <item x="135"/>
        <item x="122"/>
        <item x="282"/>
        <item x="294"/>
        <item x="100"/>
        <item x="342"/>
        <item x="261"/>
        <item x="307"/>
        <item x="21"/>
        <item x="233"/>
        <item x="36"/>
        <item x="110"/>
        <item x="32"/>
        <item x="172"/>
        <item x="180"/>
        <item x="91"/>
        <item x="258"/>
        <item x="314"/>
        <item x="214"/>
        <item x="93"/>
        <item x="176"/>
        <item x="248"/>
        <item x="263"/>
        <item x="126"/>
        <item x="332"/>
        <item x="338"/>
        <item x="215"/>
        <item x="98"/>
        <item x="197"/>
        <item x="160"/>
        <item x="19"/>
        <item x="128"/>
        <item x="328"/>
        <item x="189"/>
        <item x="327"/>
        <item x="143"/>
        <item x="340"/>
        <item x="1"/>
        <item x="330"/>
        <item x="205"/>
        <item x="333"/>
        <item x="140"/>
        <item x="321"/>
        <item x="228"/>
        <item x="74"/>
        <item x="113"/>
        <item x="243"/>
        <item x="57"/>
        <item x="73"/>
        <item x="39"/>
        <item x="41"/>
        <item x="6"/>
        <item x="59"/>
        <item x="84"/>
        <item x="156"/>
        <item x="44"/>
        <item x="121"/>
        <item x="49"/>
        <item x="255"/>
        <item x="153"/>
        <item x="165"/>
        <item x="146"/>
        <item x="119"/>
        <item x="289"/>
        <item x="244"/>
        <item x="12"/>
        <item x="284"/>
        <item x="191"/>
        <item x="237"/>
        <item x="216"/>
        <item x="155"/>
        <item x="256"/>
        <item x="15"/>
        <item x="320"/>
        <item x="125"/>
        <item x="186"/>
        <item x="129"/>
        <item x="239"/>
        <item x="184"/>
        <item x="95"/>
        <item x="144"/>
        <item x="0"/>
        <item x="245"/>
        <item x="279"/>
        <item x="106"/>
        <item x="43"/>
        <item x="254"/>
        <item x="116"/>
        <item x="192"/>
        <item x="221"/>
        <item x="117"/>
        <item x="247"/>
        <item x="227"/>
        <item x="317"/>
        <item x="275"/>
        <item x="287"/>
        <item x="257"/>
        <item x="173"/>
        <item x="28"/>
        <item x="20"/>
        <item x="236"/>
        <item x="235"/>
        <item x="50"/>
        <item x="222"/>
        <item x="225"/>
        <item x="72"/>
        <item x="142"/>
        <item x="185"/>
        <item x="37"/>
        <item x="196"/>
        <item x="295"/>
        <item x="152"/>
        <item x="304"/>
        <item x="193"/>
        <item x="77"/>
        <item x="300"/>
        <item x="164"/>
        <item x="139"/>
        <item x="145"/>
        <item x="266"/>
        <item x="292"/>
        <item x="262"/>
        <item x="296"/>
        <item x="200"/>
        <item x="62"/>
        <item x="326"/>
        <item x="177"/>
        <item x="305"/>
        <item x="325"/>
        <item x="298"/>
        <item x="167"/>
        <item x="285"/>
        <item x="278"/>
        <item x="29"/>
        <item x="339"/>
        <item x="316"/>
        <item x="211"/>
        <item x="238"/>
        <item x="82"/>
        <item x="174"/>
        <item x="212"/>
        <item x="309"/>
        <item x="87"/>
        <item x="170"/>
        <item x="312"/>
        <item x="48"/>
        <item x="163"/>
        <item x="277"/>
        <item x="297"/>
        <item x="268"/>
        <item x="322"/>
        <item x="159"/>
        <item x="206"/>
        <item x="133"/>
        <item x="10"/>
        <item x="154"/>
        <item x="306"/>
        <item x="90"/>
        <item x="182"/>
        <item x="271"/>
        <item x="223"/>
        <item x="308"/>
        <item x="54"/>
        <item x="17"/>
        <item x="161"/>
        <item x="24"/>
        <item x="150"/>
        <item x="341"/>
        <item x="5"/>
        <item x="318"/>
        <item x="250"/>
        <item x="70"/>
        <item x="207"/>
        <item x="13"/>
        <item x="25"/>
        <item x="99"/>
        <item x="4"/>
        <item x="209"/>
        <item x="264"/>
        <item x="219"/>
        <item x="226"/>
        <item x="55"/>
        <item x="42"/>
        <item x="18"/>
        <item x="303"/>
        <item x="183"/>
        <item x="151"/>
        <item x="224"/>
        <item x="11"/>
        <item x="103"/>
        <item x="217"/>
        <item x="274"/>
        <item x="53"/>
        <item x="33"/>
        <item x="132"/>
        <item x="273"/>
        <item x="281"/>
        <item x="179"/>
        <item x="22"/>
        <item x="344"/>
        <item t="default"/>
      </items>
    </pivotField>
    <pivotField showAll="0"/>
    <pivotField showAll="0"/>
    <pivotField showAll="0"/>
    <pivotField showAll="0">
      <items count="6">
        <item x="0"/>
        <item x="1"/>
        <item x="3"/>
        <item x="2"/>
        <item x="4"/>
        <item t="default"/>
      </items>
    </pivotField>
    <pivotField showAll="0"/>
    <pivotField axis="axisRow" showAll="0">
      <items count="6">
        <item x="0"/>
        <item x="2"/>
        <item x="1"/>
        <item x="3"/>
        <item x="4"/>
        <item t="default"/>
      </items>
    </pivotField>
    <pivotField showAll="0"/>
    <pivotField showAll="0"/>
    <pivotField showAll="0"/>
    <pivotField showAll="0"/>
    <pivotField showAll="0"/>
    <pivotField axis="axisCol" multipleItemSelectionAllowed="1" showAll="0">
      <items count="4">
        <item h="1" x="1"/>
        <item x="0"/>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13"/>
  </colFields>
  <colItems count="2">
    <i>
      <x v="1"/>
    </i>
    <i t="grand">
      <x/>
    </i>
  </colItems>
  <dataFields count="1">
    <dataField name="Count of campaign_name" fld="0" subtotal="count" baseField="7" baseItem="0"/>
  </dataFields>
  <chartFormats count="19">
    <chartFormat chart="3" format="5" series="1">
      <pivotArea type="data" outline="0" fieldPosition="0">
        <references count="2">
          <reference field="4294967294" count="1" selected="0">
            <x v="0"/>
          </reference>
          <reference field="13" count="1" selected="0">
            <x v="1"/>
          </reference>
        </references>
      </pivotArea>
    </chartFormat>
    <chartFormat chart="3" format="6">
      <pivotArea type="data" outline="0" fieldPosition="0">
        <references count="3">
          <reference field="4294967294" count="1" selected="0">
            <x v="0"/>
          </reference>
          <reference field="7" count="1" selected="0">
            <x v="0"/>
          </reference>
          <reference field="13" count="1" selected="0">
            <x v="1"/>
          </reference>
        </references>
      </pivotArea>
    </chartFormat>
    <chartFormat chart="3" format="7">
      <pivotArea type="data" outline="0" fieldPosition="0">
        <references count="3">
          <reference field="4294967294" count="1" selected="0">
            <x v="0"/>
          </reference>
          <reference field="7" count="1" selected="0">
            <x v="1"/>
          </reference>
          <reference field="13" count="1" selected="0">
            <x v="1"/>
          </reference>
        </references>
      </pivotArea>
    </chartFormat>
    <chartFormat chart="3" format="8">
      <pivotArea type="data" outline="0" fieldPosition="0">
        <references count="3">
          <reference field="4294967294" count="1" selected="0">
            <x v="0"/>
          </reference>
          <reference field="7" count="1" selected="0">
            <x v="2"/>
          </reference>
          <reference field="13" count="1" selected="0">
            <x v="1"/>
          </reference>
        </references>
      </pivotArea>
    </chartFormat>
    <chartFormat chart="3" format="9">
      <pivotArea type="data" outline="0" fieldPosition="0">
        <references count="3">
          <reference field="4294967294" count="1" selected="0">
            <x v="0"/>
          </reference>
          <reference field="7" count="1" selected="0">
            <x v="3"/>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3">
          <reference field="4294967294" count="1" selected="0">
            <x v="0"/>
          </reference>
          <reference field="7" count="1" selected="0">
            <x v="0"/>
          </reference>
          <reference field="13" count="1" selected="0">
            <x v="0"/>
          </reference>
        </references>
      </pivotArea>
    </chartFormat>
    <chartFormat chart="3" format="13">
      <pivotArea type="data" outline="0" fieldPosition="0">
        <references count="3">
          <reference field="4294967294" count="1" selected="0">
            <x v="0"/>
          </reference>
          <reference field="7" count="1" selected="0">
            <x v="1"/>
          </reference>
          <reference field="13" count="1" selected="0">
            <x v="0"/>
          </reference>
        </references>
      </pivotArea>
    </chartFormat>
    <chartFormat chart="3" format="14">
      <pivotArea type="data" outline="0" fieldPosition="0">
        <references count="3">
          <reference field="4294967294" count="1" selected="0">
            <x v="0"/>
          </reference>
          <reference field="7" count="1" selected="0">
            <x v="2"/>
          </reference>
          <reference field="13" count="1" selected="0">
            <x v="0"/>
          </reference>
        </references>
      </pivotArea>
    </chartFormat>
    <chartFormat chart="3" format="15">
      <pivotArea type="data" outline="0" fieldPosition="0">
        <references count="3">
          <reference field="4294967294" count="1" selected="0">
            <x v="0"/>
          </reference>
          <reference field="7" count="1" selected="0">
            <x v="3"/>
          </reference>
          <reference field="13" count="1" selected="0">
            <x v="0"/>
          </reference>
        </references>
      </pivotArea>
    </chartFormat>
    <chartFormat chart="3" format="16" series="1">
      <pivotArea type="data" outline="0" fieldPosition="0">
        <references count="2">
          <reference field="4294967294" count="1" selected="0">
            <x v="0"/>
          </reference>
          <reference field="13" count="1" selected="0">
            <x v="2"/>
          </reference>
        </references>
      </pivotArea>
    </chartFormat>
    <chartFormat chart="3" format="17">
      <pivotArea type="data" outline="0" fieldPosition="0">
        <references count="3">
          <reference field="4294967294" count="1" selected="0">
            <x v="0"/>
          </reference>
          <reference field="7" count="1" selected="0">
            <x v="4"/>
          </reference>
          <reference field="13" count="1" selected="0">
            <x v="0"/>
          </reference>
        </references>
      </pivotArea>
    </chartFormat>
    <chartFormat chart="3" format="18">
      <pivotArea type="data" outline="0" fieldPosition="0">
        <references count="3">
          <reference field="4294967294" count="1" selected="0">
            <x v="0"/>
          </reference>
          <reference field="7" count="1" selected="0">
            <x v="4"/>
          </reference>
          <reference field="13" count="1" selected="0">
            <x v="1"/>
          </reference>
        </references>
      </pivotArea>
    </chartFormat>
    <chartFormat chart="3" format="19">
      <pivotArea type="data" outline="0" fieldPosition="0">
        <references count="3">
          <reference field="4294967294" count="1" selected="0">
            <x v="0"/>
          </reference>
          <reference field="7" count="1" selected="0">
            <x v="0"/>
          </reference>
          <reference field="13" count="1" selected="0">
            <x v="2"/>
          </reference>
        </references>
      </pivotArea>
    </chartFormat>
    <chartFormat chart="3" format="20">
      <pivotArea type="data" outline="0" fieldPosition="0">
        <references count="3">
          <reference field="4294967294" count="1" selected="0">
            <x v="0"/>
          </reference>
          <reference field="7" count="1" selected="0">
            <x v="1"/>
          </reference>
          <reference field="13" count="1" selected="0">
            <x v="2"/>
          </reference>
        </references>
      </pivotArea>
    </chartFormat>
    <chartFormat chart="3" format="21">
      <pivotArea type="data" outline="0" fieldPosition="0">
        <references count="3">
          <reference field="4294967294" count="1" selected="0">
            <x v="0"/>
          </reference>
          <reference field="7" count="1" selected="0">
            <x v="2"/>
          </reference>
          <reference field="13" count="1" selected="0">
            <x v="2"/>
          </reference>
        </references>
      </pivotArea>
    </chartFormat>
    <chartFormat chart="3" format="22">
      <pivotArea type="data" outline="0" fieldPosition="0">
        <references count="3">
          <reference field="4294967294" count="1" selected="0">
            <x v="0"/>
          </reference>
          <reference field="7" count="1" selected="0">
            <x v="3"/>
          </reference>
          <reference field="13" count="1" selected="0">
            <x v="2"/>
          </reference>
        </references>
      </pivotArea>
    </chartFormat>
    <chartFormat chart="3" format="23">
      <pivotArea type="data" outline="0" fieldPosition="0">
        <references count="3">
          <reference field="4294967294" count="1" selected="0">
            <x v="0"/>
          </reference>
          <reference field="7" count="1" selected="0">
            <x v="4"/>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FA8A9F-8301-4172-AD26-194272597F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8">
    <pivotField showAll="0">
      <items count="1001">
        <item x="352"/>
        <item x="71"/>
        <item x="689"/>
        <item x="279"/>
        <item x="852"/>
        <item x="939"/>
        <item x="504"/>
        <item x="514"/>
        <item x="254"/>
        <item x="492"/>
        <item x="562"/>
        <item x="772"/>
        <item x="441"/>
        <item x="175"/>
        <item x="405"/>
        <item x="227"/>
        <item x="39"/>
        <item x="248"/>
        <item x="111"/>
        <item x="349"/>
        <item x="332"/>
        <item x="544"/>
        <item x="760"/>
        <item x="280"/>
        <item x="338"/>
        <item x="259"/>
        <item x="895"/>
        <item x="361"/>
        <item x="528"/>
        <item x="618"/>
        <item x="741"/>
        <item x="491"/>
        <item x="187"/>
        <item x="679"/>
        <item x="116"/>
        <item x="460"/>
        <item x="570"/>
        <item x="899"/>
        <item x="604"/>
        <item x="404"/>
        <item x="690"/>
        <item x="631"/>
        <item x="880"/>
        <item x="2"/>
        <item x="569"/>
        <item x="841"/>
        <item x="165"/>
        <item x="915"/>
        <item x="873"/>
        <item x="475"/>
        <item x="516"/>
        <item x="59"/>
        <item x="577"/>
        <item x="154"/>
        <item x="190"/>
        <item x="680"/>
        <item x="152"/>
        <item x="556"/>
        <item x="756"/>
        <item x="342"/>
        <item x="593"/>
        <item x="272"/>
        <item x="101"/>
        <item x="398"/>
        <item x="318"/>
        <item x="555"/>
        <item x="727"/>
        <item x="430"/>
        <item x="910"/>
        <item x="474"/>
        <item x="705"/>
        <item x="393"/>
        <item x="546"/>
        <item x="931"/>
        <item x="820"/>
        <item x="140"/>
        <item x="218"/>
        <item x="394"/>
        <item x="425"/>
        <item x="787"/>
        <item x="397"/>
        <item x="840"/>
        <item x="444"/>
        <item x="76"/>
        <item x="718"/>
        <item x="345"/>
        <item x="923"/>
        <item x="373"/>
        <item x="829"/>
        <item x="33"/>
        <item x="15"/>
        <item x="221"/>
        <item x="478"/>
        <item x="714"/>
        <item x="798"/>
        <item x="387"/>
        <item x="501"/>
        <item x="244"/>
        <item x="16"/>
        <item x="205"/>
        <item x="513"/>
        <item x="495"/>
        <item x="234"/>
        <item x="456"/>
        <item x="894"/>
        <item x="536"/>
        <item x="41"/>
        <item x="485"/>
        <item x="776"/>
        <item x="22"/>
        <item x="138"/>
        <item x="696"/>
        <item x="144"/>
        <item x="11"/>
        <item x="799"/>
        <item x="35"/>
        <item x="590"/>
        <item x="958"/>
        <item x="488"/>
        <item x="720"/>
        <item x="864"/>
        <item x="173"/>
        <item x="494"/>
        <item x="463"/>
        <item x="132"/>
        <item x="436"/>
        <item x="388"/>
        <item x="304"/>
        <item x="490"/>
        <item x="621"/>
        <item x="697"/>
        <item x="34"/>
        <item x="297"/>
        <item x="458"/>
        <item x="737"/>
        <item x="449"/>
        <item x="810"/>
        <item x="496"/>
        <item x="243"/>
        <item x="403"/>
        <item x="324"/>
        <item x="957"/>
        <item x="428"/>
        <item x="240"/>
        <item x="662"/>
        <item x="92"/>
        <item x="465"/>
        <item x="213"/>
        <item x="452"/>
        <item x="19"/>
        <item x="423"/>
        <item x="1"/>
        <item x="709"/>
        <item x="122"/>
        <item x="706"/>
        <item x="722"/>
        <item x="287"/>
        <item x="936"/>
        <item x="467"/>
        <item x="881"/>
        <item x="912"/>
        <item x="974"/>
        <item x="399"/>
        <item x="529"/>
        <item x="274"/>
        <item x="583"/>
        <item x="79"/>
        <item x="282"/>
        <item x="499"/>
        <item x="326"/>
        <item x="235"/>
        <item x="168"/>
        <item x="550"/>
        <item x="176"/>
        <item x="686"/>
        <item x="729"/>
        <item x="242"/>
        <item x="989"/>
        <item x="214"/>
        <item x="333"/>
        <item x="302"/>
        <item x="129"/>
        <item x="3"/>
        <item x="751"/>
        <item x="857"/>
        <item x="228"/>
        <item x="66"/>
        <item x="289"/>
        <item x="666"/>
        <item x="114"/>
        <item x="51"/>
        <item x="249"/>
        <item x="226"/>
        <item x="64"/>
        <item x="260"/>
        <item x="945"/>
        <item x="261"/>
        <item x="162"/>
        <item x="251"/>
        <item x="517"/>
        <item x="743"/>
        <item x="845"/>
        <item x="866"/>
        <item x="763"/>
        <item x="537"/>
        <item x="141"/>
        <item x="67"/>
        <item x="147"/>
        <item x="693"/>
        <item x="600"/>
        <item x="88"/>
        <item x="656"/>
        <item x="835"/>
        <item x="809"/>
        <item x="503"/>
        <item x="340"/>
        <item x="443"/>
        <item x="109"/>
        <item x="761"/>
        <item x="956"/>
        <item x="784"/>
        <item x="683"/>
        <item x="70"/>
        <item x="636"/>
        <item x="813"/>
        <item x="896"/>
        <item x="158"/>
        <item x="439"/>
        <item x="955"/>
        <item x="844"/>
        <item x="715"/>
        <item x="869"/>
        <item x="169"/>
        <item x="37"/>
        <item x="649"/>
        <item x="643"/>
        <item x="429"/>
        <item x="74"/>
        <item x="793"/>
        <item x="412"/>
        <item x="179"/>
        <item x="502"/>
        <item x="924"/>
        <item x="233"/>
        <item x="582"/>
        <item x="733"/>
        <item x="736"/>
        <item x="94"/>
        <item x="930"/>
        <item x="102"/>
        <item x="975"/>
        <item x="534"/>
        <item x="597"/>
        <item x="223"/>
        <item x="863"/>
        <item x="532"/>
        <item x="876"/>
        <item x="606"/>
        <item x="865"/>
        <item x="828"/>
        <item x="719"/>
        <item x="174"/>
        <item x="354"/>
        <item x="409"/>
        <item x="589"/>
        <item x="139"/>
        <item x="547"/>
        <item x="797"/>
        <item x="247"/>
        <item x="778"/>
        <item x="420"/>
        <item x="921"/>
        <item x="401"/>
        <item x="867"/>
        <item x="926"/>
        <item x="757"/>
        <item x="202"/>
        <item x="969"/>
        <item x="903"/>
        <item x="888"/>
        <item x="194"/>
        <item x="4"/>
        <item x="80"/>
        <item x="476"/>
        <item x="207"/>
        <item x="421"/>
        <item x="619"/>
        <item x="482"/>
        <item x="638"/>
        <item x="119"/>
        <item x="57"/>
        <item x="603"/>
        <item x="521"/>
        <item x="598"/>
        <item x="846"/>
        <item x="620"/>
        <item x="878"/>
        <item x="640"/>
        <item x="357"/>
        <item x="276"/>
        <item x="188"/>
        <item x="791"/>
        <item x="758"/>
        <item x="273"/>
        <item x="52"/>
        <item x="68"/>
        <item x="610"/>
        <item x="588"/>
        <item x="18"/>
        <item x="518"/>
        <item x="258"/>
        <item x="567"/>
        <item x="263"/>
        <item x="774"/>
        <item x="91"/>
        <item x="811"/>
        <item x="49"/>
        <item x="23"/>
        <item x="512"/>
        <item x="459"/>
        <item x="724"/>
        <item x="278"/>
        <item x="615"/>
        <item x="917"/>
        <item x="734"/>
        <item x="484"/>
        <item x="628"/>
        <item x="457"/>
        <item x="81"/>
        <item x="239"/>
        <item x="353"/>
        <item x="802"/>
        <item x="634"/>
        <item x="171"/>
        <item x="711"/>
        <item x="256"/>
        <item x="889"/>
        <item x="356"/>
        <item x="198"/>
        <item x="710"/>
        <item x="229"/>
        <item x="24"/>
        <item x="703"/>
        <item x="380"/>
        <item x="231"/>
        <item x="831"/>
        <item x="633"/>
        <item x="612"/>
        <item x="948"/>
        <item x="870"/>
        <item x="963"/>
        <item x="907"/>
        <item x="591"/>
        <item x="783"/>
        <item x="329"/>
        <item x="905"/>
        <item x="82"/>
        <item x="893"/>
        <item x="6"/>
        <item x="745"/>
        <item x="148"/>
        <item x="704"/>
        <item x="566"/>
        <item x="581"/>
        <item x="935"/>
        <item x="938"/>
        <item x="622"/>
        <item x="14"/>
        <item x="576"/>
        <item x="565"/>
        <item x="937"/>
        <item x="347"/>
        <item x="732"/>
        <item x="104"/>
        <item x="611"/>
        <item x="510"/>
        <item x="197"/>
        <item x="535"/>
        <item x="837"/>
        <item x="992"/>
        <item x="818"/>
        <item x="75"/>
        <item x="17"/>
        <item x="635"/>
        <item x="44"/>
        <item x="531"/>
        <item x="668"/>
        <item x="827"/>
        <item x="85"/>
        <item x="9"/>
        <item x="350"/>
        <item x="468"/>
        <item x="65"/>
        <item x="609"/>
        <item x="417"/>
        <item x="676"/>
        <item x="25"/>
        <item x="803"/>
        <item x="671"/>
        <item x="293"/>
        <item x="288"/>
        <item x="667"/>
        <item x="437"/>
        <item x="752"/>
        <item x="307"/>
        <item x="928"/>
        <item x="862"/>
        <item x="742"/>
        <item x="123"/>
        <item x="953"/>
        <item x="27"/>
        <item x="69"/>
        <item x="195"/>
        <item x="596"/>
        <item x="348"/>
        <item x="411"/>
        <item x="435"/>
        <item x="747"/>
        <item x="985"/>
        <item x="785"/>
        <item x="20"/>
        <item x="670"/>
        <item x="424"/>
        <item x="549"/>
        <item x="210"/>
        <item x="45"/>
        <item x="725"/>
        <item x="770"/>
        <item x="480"/>
        <item x="281"/>
        <item x="641"/>
        <item x="406"/>
        <item x="215"/>
        <item x="204"/>
        <item x="471"/>
        <item x="186"/>
        <item x="396"/>
        <item x="694"/>
        <item x="658"/>
        <item x="995"/>
        <item x="362"/>
        <item x="856"/>
        <item x="986"/>
        <item x="61"/>
        <item x="301"/>
        <item x="901"/>
        <item x="336"/>
        <item x="877"/>
        <item x="447"/>
        <item x="434"/>
        <item x="150"/>
        <item x="572"/>
        <item x="602"/>
        <item x="325"/>
        <item x="677"/>
        <item x="10"/>
        <item x="462"/>
        <item x="861"/>
        <item x="391"/>
        <item x="438"/>
        <item x="627"/>
        <item x="700"/>
        <item x="575"/>
        <item x="650"/>
        <item x="647"/>
        <item x="882"/>
        <item x="500"/>
        <item x="971"/>
        <item x="432"/>
        <item x="674"/>
        <item x="808"/>
        <item x="967"/>
        <item x="790"/>
        <item x="766"/>
        <item x="608"/>
        <item x="407"/>
        <item x="920"/>
        <item x="341"/>
        <item x="753"/>
        <item x="377"/>
        <item x="183"/>
        <item x="390"/>
        <item x="665"/>
        <item x="358"/>
        <item x="299"/>
        <item x="133"/>
        <item x="145"/>
        <item x="113"/>
        <item x="12"/>
        <item x="182"/>
        <item x="970"/>
        <item x="804"/>
        <item x="29"/>
        <item x="898"/>
        <item x="160"/>
        <item x="469"/>
        <item x="819"/>
        <item x="775"/>
        <item x="966"/>
        <item x="890"/>
        <item x="346"/>
        <item x="72"/>
        <item x="584"/>
        <item x="270"/>
        <item x="934"/>
        <item x="561"/>
        <item x="699"/>
        <item x="448"/>
        <item x="285"/>
        <item x="283"/>
        <item x="702"/>
        <item x="885"/>
        <item x="884"/>
        <item x="996"/>
        <item x="385"/>
        <item x="601"/>
        <item x="153"/>
        <item x="365"/>
        <item x="300"/>
        <item x="30"/>
        <item x="964"/>
        <item x="897"/>
        <item x="55"/>
        <item x="178"/>
        <item x="90"/>
        <item x="988"/>
        <item x="225"/>
        <item x="366"/>
        <item x="587"/>
        <item x="84"/>
        <item x="470"/>
        <item x="313"/>
        <item x="222"/>
        <item x="624"/>
        <item x="858"/>
        <item x="316"/>
        <item x="843"/>
        <item x="806"/>
        <item x="659"/>
        <item x="909"/>
        <item x="997"/>
        <item x="292"/>
        <item x="507"/>
        <item x="767"/>
        <item x="708"/>
        <item x="871"/>
        <item x="573"/>
        <item x="978"/>
        <item x="402"/>
        <item x="298"/>
        <item x="13"/>
        <item x="100"/>
        <item x="929"/>
        <item x="764"/>
        <item x="672"/>
        <item x="973"/>
        <item x="916"/>
        <item x="201"/>
        <item x="644"/>
        <item x="663"/>
        <item x="156"/>
        <item x="987"/>
        <item x="208"/>
        <item x="653"/>
        <item x="46"/>
        <item x="595"/>
        <item x="58"/>
        <item x="681"/>
        <item x="559"/>
        <item x="599"/>
        <item x="433"/>
        <item x="317"/>
        <item x="993"/>
        <item x="220"/>
        <item x="639"/>
        <item x="520"/>
        <item x="371"/>
        <item x="682"/>
        <item x="115"/>
        <item x="839"/>
        <item x="673"/>
        <item x="904"/>
        <item x="265"/>
        <item x="830"/>
        <item x="155"/>
        <item x="180"/>
        <item x="777"/>
        <item x="511"/>
        <item x="739"/>
        <item x="339"/>
        <item x="498"/>
        <item x="134"/>
        <item x="121"/>
        <item x="632"/>
        <item x="933"/>
        <item x="250"/>
        <item x="526"/>
        <item x="792"/>
        <item x="60"/>
        <item x="252"/>
        <item x="106"/>
        <item x="327"/>
        <item x="382"/>
        <item x="103"/>
        <item x="695"/>
        <item x="731"/>
        <item x="749"/>
        <item x="330"/>
        <item x="968"/>
        <item x="309"/>
        <item x="607"/>
        <item x="364"/>
        <item x="487"/>
        <item x="900"/>
        <item x="211"/>
        <item x="748"/>
        <item x="782"/>
        <item x="189"/>
        <item x="539"/>
        <item x="414"/>
        <item x="26"/>
        <item x="321"/>
        <item x="120"/>
        <item x="519"/>
        <item x="455"/>
        <item x="951"/>
        <item x="212"/>
        <item x="164"/>
        <item x="161"/>
        <item x="645"/>
        <item x="927"/>
        <item x="557"/>
        <item x="167"/>
        <item x="497"/>
        <item x="359"/>
        <item x="368"/>
        <item x="284"/>
        <item x="568"/>
        <item x="8"/>
        <item x="574"/>
        <item x="728"/>
        <item x="473"/>
        <item x="453"/>
        <item x="824"/>
        <item x="868"/>
        <item x="551"/>
        <item x="376"/>
        <item x="838"/>
        <item x="701"/>
        <item x="400"/>
        <item x="306"/>
        <item x="721"/>
        <item x="384"/>
        <item x="97"/>
        <item x="236"/>
        <item x="48"/>
        <item x="40"/>
        <item x="664"/>
        <item x="427"/>
        <item x="159"/>
        <item x="312"/>
        <item x="822"/>
        <item x="977"/>
        <item x="779"/>
        <item x="370"/>
        <item x="185"/>
        <item x="543"/>
        <item x="717"/>
        <item x="949"/>
        <item x="914"/>
        <item x="77"/>
        <item x="323"/>
        <item x="124"/>
        <item x="707"/>
        <item x="563"/>
        <item x="98"/>
        <item x="374"/>
        <item x="431"/>
        <item x="961"/>
        <item x="823"/>
        <item x="0"/>
        <item x="334"/>
        <item x="545"/>
        <item x="489"/>
        <item x="146"/>
        <item x="918"/>
        <item x="369"/>
        <item x="826"/>
        <item x="128"/>
        <item x="580"/>
        <item x="655"/>
        <item x="506"/>
        <item x="269"/>
        <item x="360"/>
        <item x="906"/>
        <item x="87"/>
        <item x="383"/>
        <item x="940"/>
        <item x="117"/>
        <item x="290"/>
        <item x="422"/>
        <item x="294"/>
        <item x="812"/>
        <item x="118"/>
        <item x="560"/>
        <item x="170"/>
        <item x="585"/>
        <item x="626"/>
        <item x="181"/>
        <item x="848"/>
        <item x="684"/>
        <item x="805"/>
        <item x="481"/>
        <item x="253"/>
        <item x="62"/>
        <item x="408"/>
        <item x="246"/>
        <item x="392"/>
        <item x="267"/>
        <item x="410"/>
        <item x="617"/>
        <item x="554"/>
        <item x="464"/>
        <item x="637"/>
        <item x="477"/>
        <item x="648"/>
        <item x="925"/>
        <item x="466"/>
        <item x="629"/>
        <item x="415"/>
        <item x="219"/>
        <item x="56"/>
        <item x="295"/>
        <item x="419"/>
        <item x="613"/>
        <item x="801"/>
        <item x="192"/>
        <item x="367"/>
        <item x="305"/>
        <item x="337"/>
        <item x="675"/>
        <item x="505"/>
        <item x="217"/>
        <item x="688"/>
        <item x="446"/>
        <item x="149"/>
        <item x="768"/>
        <item x="691"/>
        <item x="196"/>
        <item x="230"/>
        <item x="493"/>
        <item x="50"/>
        <item x="291"/>
        <item x="224"/>
        <item x="112"/>
        <item x="980"/>
        <item x="712"/>
        <item x="351"/>
        <item x="965"/>
        <item x="83"/>
        <item x="922"/>
        <item x="780"/>
        <item x="579"/>
        <item x="832"/>
        <item x="947"/>
        <item x="264"/>
        <item x="795"/>
        <item x="203"/>
        <item x="723"/>
        <item x="163"/>
        <item x="552"/>
        <item x="759"/>
        <item x="200"/>
        <item x="522"/>
        <item x="509"/>
        <item x="63"/>
        <item x="825"/>
        <item x="310"/>
        <item x="605"/>
        <item x="508"/>
        <item x="979"/>
        <item x="461"/>
        <item x="331"/>
        <item x="232"/>
        <item x="416"/>
        <item x="614"/>
        <item x="800"/>
        <item x="817"/>
        <item x="744"/>
        <item x="199"/>
        <item x="853"/>
        <item x="678"/>
        <item x="755"/>
        <item x="43"/>
        <item x="28"/>
        <item x="807"/>
        <item x="892"/>
        <item x="553"/>
        <item x="286"/>
        <item x="541"/>
        <item x="137"/>
        <item x="859"/>
        <item x="548"/>
        <item x="73"/>
        <item x="32"/>
        <item x="944"/>
        <item x="442"/>
        <item x="962"/>
        <item x="216"/>
        <item x="849"/>
        <item x="981"/>
        <item x="95"/>
        <item x="245"/>
        <item x="31"/>
        <item x="919"/>
        <item x="657"/>
        <item x="42"/>
        <item x="135"/>
        <item x="661"/>
        <item x="375"/>
        <item x="107"/>
        <item x="21"/>
        <item x="592"/>
        <item x="594"/>
        <item x="883"/>
        <item x="765"/>
        <item x="257"/>
        <item x="335"/>
        <item x="320"/>
        <item x="716"/>
        <item x="886"/>
        <item x="769"/>
        <item x="850"/>
        <item x="542"/>
        <item x="78"/>
        <item x="322"/>
        <item x="127"/>
        <item x="834"/>
        <item x="193"/>
        <item x="89"/>
        <item x="879"/>
        <item x="268"/>
        <item x="816"/>
        <item x="815"/>
        <item x="166"/>
        <item x="533"/>
        <item x="794"/>
        <item x="642"/>
        <item x="836"/>
        <item x="315"/>
        <item x="687"/>
        <item x="746"/>
        <item x="796"/>
        <item x="266"/>
        <item x="142"/>
        <item x="426"/>
        <item x="472"/>
        <item x="303"/>
        <item x="395"/>
        <item x="860"/>
        <item x="206"/>
        <item x="578"/>
        <item x="623"/>
        <item x="440"/>
        <item x="994"/>
        <item x="130"/>
        <item x="942"/>
        <item x="157"/>
        <item x="651"/>
        <item x="646"/>
        <item x="887"/>
        <item x="523"/>
        <item x="99"/>
        <item x="660"/>
        <item x="277"/>
        <item x="172"/>
        <item x="379"/>
        <item x="483"/>
        <item x="855"/>
        <item x="96"/>
        <item x="616"/>
        <item x="275"/>
        <item x="754"/>
        <item x="450"/>
        <item x="363"/>
        <item x="143"/>
        <item x="389"/>
        <item x="713"/>
        <item x="525"/>
        <item x="93"/>
        <item x="726"/>
        <item x="908"/>
        <item x="381"/>
        <item x="136"/>
        <item x="314"/>
        <item x="308"/>
        <item x="913"/>
        <item x="255"/>
        <item x="486"/>
        <item x="630"/>
        <item x="652"/>
        <item x="237"/>
        <item x="105"/>
        <item x="413"/>
        <item x="762"/>
        <item x="558"/>
        <item x="527"/>
        <item x="625"/>
        <item x="990"/>
        <item x="530"/>
        <item x="952"/>
        <item x="378"/>
        <item x="177"/>
        <item x="669"/>
        <item x="262"/>
        <item x="932"/>
        <item x="982"/>
        <item x="960"/>
        <item x="386"/>
        <item x="851"/>
        <item x="151"/>
        <item x="654"/>
        <item x="735"/>
        <item x="959"/>
        <item x="821"/>
        <item x="564"/>
        <item x="946"/>
        <item x="5"/>
        <item x="110"/>
        <item x="126"/>
        <item x="343"/>
        <item x="902"/>
        <item x="328"/>
        <item x="872"/>
        <item x="842"/>
        <item x="750"/>
        <item x="874"/>
        <item x="698"/>
        <item x="814"/>
        <item x="998"/>
        <item x="788"/>
        <item x="943"/>
        <item x="976"/>
        <item x="271"/>
        <item x="53"/>
        <item x="847"/>
        <item x="789"/>
        <item x="108"/>
        <item x="47"/>
        <item x="7"/>
        <item x="238"/>
        <item x="586"/>
        <item x="571"/>
        <item x="692"/>
        <item x="983"/>
        <item x="771"/>
        <item x="209"/>
        <item x="479"/>
        <item x="538"/>
        <item x="540"/>
        <item x="854"/>
        <item x="875"/>
        <item x="451"/>
        <item x="911"/>
        <item x="833"/>
        <item x="941"/>
        <item x="781"/>
        <item x="372"/>
        <item x="319"/>
        <item x="86"/>
        <item x="131"/>
        <item x="685"/>
        <item x="184"/>
        <item x="311"/>
        <item x="241"/>
        <item x="344"/>
        <item x="296"/>
        <item x="54"/>
        <item x="972"/>
        <item x="125"/>
        <item x="891"/>
        <item x="950"/>
        <item x="954"/>
        <item x="191"/>
        <item x="738"/>
        <item x="773"/>
        <item x="740"/>
        <item x="355"/>
        <item x="515"/>
        <item x="524"/>
        <item x="991"/>
        <item x="38"/>
        <item x="730"/>
        <item x="418"/>
        <item x="36"/>
        <item x="786"/>
        <item x="445"/>
        <item x="454"/>
        <item x="984"/>
        <item x="999"/>
        <item t="default"/>
      </items>
    </pivotField>
    <pivotField showAll="0">
      <items count="346">
        <item x="323"/>
        <item x="198"/>
        <item x="71"/>
        <item x="58"/>
        <item x="47"/>
        <item x="310"/>
        <item x="283"/>
        <item x="65"/>
        <item x="229"/>
        <item x="290"/>
        <item x="30"/>
        <item x="329"/>
        <item x="293"/>
        <item x="114"/>
        <item x="108"/>
        <item x="166"/>
        <item x="79"/>
        <item x="336"/>
        <item x="190"/>
        <item x="253"/>
        <item x="168"/>
        <item x="188"/>
        <item x="115"/>
        <item x="141"/>
        <item x="23"/>
        <item x="66"/>
        <item x="64"/>
        <item x="137"/>
        <item x="148"/>
        <item x="202"/>
        <item x="251"/>
        <item x="242"/>
        <item x="265"/>
        <item x="299"/>
        <item x="313"/>
        <item x="8"/>
        <item x="96"/>
        <item x="249"/>
        <item x="337"/>
        <item x="102"/>
        <item x="272"/>
        <item x="230"/>
        <item x="195"/>
        <item x="16"/>
        <item x="97"/>
        <item x="124"/>
        <item x="194"/>
        <item x="80"/>
        <item x="88"/>
        <item x="246"/>
        <item x="111"/>
        <item x="218"/>
        <item x="252"/>
        <item x="92"/>
        <item x="3"/>
        <item x="311"/>
        <item x="199"/>
        <item x="61"/>
        <item x="51"/>
        <item x="301"/>
        <item x="31"/>
        <item x="240"/>
        <item x="208"/>
        <item x="302"/>
        <item x="147"/>
        <item x="220"/>
        <item x="138"/>
        <item x="181"/>
        <item x="78"/>
        <item x="131"/>
        <item x="335"/>
        <item x="178"/>
        <item x="60"/>
        <item x="27"/>
        <item x="83"/>
        <item x="127"/>
        <item x="46"/>
        <item x="232"/>
        <item x="109"/>
        <item x="107"/>
        <item x="259"/>
        <item x="315"/>
        <item x="52"/>
        <item x="118"/>
        <item x="162"/>
        <item x="63"/>
        <item x="134"/>
        <item x="136"/>
        <item x="288"/>
        <item x="14"/>
        <item x="319"/>
        <item x="187"/>
        <item x="68"/>
        <item x="56"/>
        <item x="280"/>
        <item x="210"/>
        <item x="81"/>
        <item x="203"/>
        <item x="204"/>
        <item x="104"/>
        <item x="26"/>
        <item x="158"/>
        <item x="112"/>
        <item x="38"/>
        <item x="105"/>
        <item x="34"/>
        <item x="9"/>
        <item x="40"/>
        <item x="276"/>
        <item x="123"/>
        <item x="234"/>
        <item x="120"/>
        <item x="175"/>
        <item x="334"/>
        <item x="291"/>
        <item x="149"/>
        <item x="130"/>
        <item x="267"/>
        <item x="231"/>
        <item x="45"/>
        <item x="269"/>
        <item x="324"/>
        <item x="85"/>
        <item x="69"/>
        <item x="35"/>
        <item x="171"/>
        <item x="75"/>
        <item x="343"/>
        <item x="2"/>
        <item x="201"/>
        <item x="89"/>
        <item x="67"/>
        <item x="94"/>
        <item x="76"/>
        <item x="101"/>
        <item x="260"/>
        <item x="331"/>
        <item x="86"/>
        <item x="241"/>
        <item x="169"/>
        <item x="286"/>
        <item x="213"/>
        <item x="157"/>
        <item x="7"/>
        <item x="270"/>
        <item x="135"/>
        <item x="122"/>
        <item x="282"/>
        <item x="294"/>
        <item x="100"/>
        <item x="342"/>
        <item x="261"/>
        <item x="307"/>
        <item x="21"/>
        <item x="233"/>
        <item x="36"/>
        <item x="110"/>
        <item x="32"/>
        <item x="172"/>
        <item x="180"/>
        <item x="91"/>
        <item x="258"/>
        <item x="314"/>
        <item x="214"/>
        <item x="93"/>
        <item x="176"/>
        <item x="248"/>
        <item x="263"/>
        <item x="126"/>
        <item x="332"/>
        <item x="338"/>
        <item x="215"/>
        <item x="98"/>
        <item x="197"/>
        <item x="160"/>
        <item x="19"/>
        <item x="128"/>
        <item x="328"/>
        <item x="189"/>
        <item x="327"/>
        <item x="143"/>
        <item x="340"/>
        <item x="1"/>
        <item x="330"/>
        <item x="205"/>
        <item x="333"/>
        <item x="140"/>
        <item x="321"/>
        <item x="228"/>
        <item x="74"/>
        <item x="113"/>
        <item x="243"/>
        <item x="57"/>
        <item x="73"/>
        <item x="39"/>
        <item x="41"/>
        <item x="6"/>
        <item x="59"/>
        <item x="84"/>
        <item x="156"/>
        <item x="44"/>
        <item x="121"/>
        <item x="49"/>
        <item x="255"/>
        <item x="153"/>
        <item x="165"/>
        <item x="146"/>
        <item x="119"/>
        <item x="289"/>
        <item x="244"/>
        <item x="12"/>
        <item x="284"/>
        <item x="191"/>
        <item x="237"/>
        <item x="216"/>
        <item x="155"/>
        <item x="256"/>
        <item x="15"/>
        <item x="320"/>
        <item x="125"/>
        <item x="186"/>
        <item x="129"/>
        <item x="239"/>
        <item x="184"/>
        <item x="95"/>
        <item x="144"/>
        <item x="0"/>
        <item x="245"/>
        <item x="279"/>
        <item x="106"/>
        <item x="43"/>
        <item x="254"/>
        <item x="116"/>
        <item x="192"/>
        <item x="221"/>
        <item x="117"/>
        <item x="247"/>
        <item x="227"/>
        <item x="317"/>
        <item x="275"/>
        <item x="287"/>
        <item x="257"/>
        <item x="173"/>
        <item x="28"/>
        <item x="20"/>
        <item x="236"/>
        <item x="235"/>
        <item x="50"/>
        <item x="222"/>
        <item x="225"/>
        <item x="72"/>
        <item x="142"/>
        <item x="185"/>
        <item x="37"/>
        <item x="196"/>
        <item x="295"/>
        <item x="152"/>
        <item x="304"/>
        <item x="193"/>
        <item x="77"/>
        <item x="300"/>
        <item x="164"/>
        <item x="139"/>
        <item x="145"/>
        <item x="266"/>
        <item x="292"/>
        <item x="262"/>
        <item x="296"/>
        <item x="200"/>
        <item x="62"/>
        <item x="326"/>
        <item x="177"/>
        <item x="305"/>
        <item x="325"/>
        <item x="298"/>
        <item x="167"/>
        <item x="285"/>
        <item x="278"/>
        <item x="29"/>
        <item x="339"/>
        <item x="316"/>
        <item x="211"/>
        <item x="238"/>
        <item x="82"/>
        <item x="174"/>
        <item x="212"/>
        <item x="309"/>
        <item x="87"/>
        <item x="170"/>
        <item x="312"/>
        <item x="48"/>
        <item x="163"/>
        <item x="277"/>
        <item x="297"/>
        <item x="268"/>
        <item x="322"/>
        <item x="159"/>
        <item x="206"/>
        <item x="133"/>
        <item x="10"/>
        <item x="154"/>
        <item x="306"/>
        <item x="90"/>
        <item x="182"/>
        <item x="271"/>
        <item x="223"/>
        <item x="308"/>
        <item x="54"/>
        <item x="17"/>
        <item x="161"/>
        <item x="24"/>
        <item x="150"/>
        <item x="341"/>
        <item x="5"/>
        <item x="318"/>
        <item x="250"/>
        <item x="70"/>
        <item x="207"/>
        <item x="13"/>
        <item x="25"/>
        <item x="99"/>
        <item x="4"/>
        <item x="209"/>
        <item x="264"/>
        <item x="219"/>
        <item x="226"/>
        <item x="55"/>
        <item x="42"/>
        <item x="18"/>
        <item x="303"/>
        <item x="183"/>
        <item x="151"/>
        <item x="224"/>
        <item x="11"/>
        <item x="103"/>
        <item x="217"/>
        <item x="274"/>
        <item x="53"/>
        <item x="33"/>
        <item x="132"/>
        <item x="273"/>
        <item x="281"/>
        <item x="179"/>
        <item x="22"/>
        <item x="344"/>
        <item t="default"/>
      </items>
    </pivotField>
    <pivotField showAll="0"/>
    <pivotField showAll="0"/>
    <pivotField showAll="0"/>
    <pivotField showAll="0">
      <items count="6">
        <item x="0"/>
        <item x="1"/>
        <item x="3"/>
        <item x="2"/>
        <item x="4"/>
        <item t="default"/>
      </items>
    </pivotField>
    <pivotField showAll="0"/>
    <pivotField showAll="0">
      <items count="6">
        <item x="0"/>
        <item x="2"/>
        <item x="1"/>
        <item x="3"/>
        <item x="4"/>
        <item t="default"/>
      </items>
    </pivotField>
    <pivotField showAll="0"/>
    <pivotField showAll="0"/>
    <pivotField showAll="0"/>
    <pivotField showAll="0"/>
    <pivotField dataField="1" showAll="0"/>
    <pivotField multipleItemSelectionAllowed="1" showAll="0">
      <items count="4">
        <item h="1" x="1"/>
        <item x="0"/>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Adjusted ROI"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F175B7-B672-424E-8F8E-75C86C0FCD2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26:V957" firstHeaderRow="0" firstDataRow="1" firstDataCol="1" rowPageCount="1" colPageCount="1"/>
  <pivotFields count="18">
    <pivotField axis="axisRow" showAll="0">
      <items count="1001">
        <item x="352"/>
        <item x="71"/>
        <item x="689"/>
        <item x="279"/>
        <item x="852"/>
        <item x="939"/>
        <item x="504"/>
        <item x="514"/>
        <item x="254"/>
        <item x="492"/>
        <item x="562"/>
        <item x="772"/>
        <item x="441"/>
        <item x="175"/>
        <item x="405"/>
        <item x="227"/>
        <item x="39"/>
        <item x="248"/>
        <item x="111"/>
        <item x="349"/>
        <item x="332"/>
        <item x="544"/>
        <item x="760"/>
        <item x="280"/>
        <item x="338"/>
        <item x="259"/>
        <item x="895"/>
        <item x="361"/>
        <item x="528"/>
        <item x="618"/>
        <item x="741"/>
        <item x="491"/>
        <item x="187"/>
        <item x="679"/>
        <item x="116"/>
        <item x="460"/>
        <item x="570"/>
        <item x="899"/>
        <item x="604"/>
        <item x="404"/>
        <item x="690"/>
        <item x="631"/>
        <item x="880"/>
        <item x="2"/>
        <item x="569"/>
        <item x="841"/>
        <item x="165"/>
        <item x="915"/>
        <item x="873"/>
        <item x="475"/>
        <item x="516"/>
        <item x="59"/>
        <item x="577"/>
        <item x="154"/>
        <item x="190"/>
        <item x="680"/>
        <item x="152"/>
        <item x="556"/>
        <item x="756"/>
        <item x="342"/>
        <item x="593"/>
        <item x="272"/>
        <item x="101"/>
        <item x="398"/>
        <item x="318"/>
        <item x="555"/>
        <item x="727"/>
        <item x="430"/>
        <item x="910"/>
        <item x="474"/>
        <item x="705"/>
        <item x="393"/>
        <item x="546"/>
        <item x="931"/>
        <item x="820"/>
        <item x="140"/>
        <item x="218"/>
        <item x="394"/>
        <item x="425"/>
        <item x="787"/>
        <item x="397"/>
        <item x="840"/>
        <item x="444"/>
        <item x="76"/>
        <item x="718"/>
        <item x="345"/>
        <item x="923"/>
        <item x="373"/>
        <item x="829"/>
        <item x="33"/>
        <item x="15"/>
        <item x="221"/>
        <item x="478"/>
        <item x="714"/>
        <item x="798"/>
        <item x="387"/>
        <item x="501"/>
        <item x="244"/>
        <item x="16"/>
        <item x="205"/>
        <item x="513"/>
        <item x="495"/>
        <item x="234"/>
        <item x="456"/>
        <item x="894"/>
        <item x="536"/>
        <item x="41"/>
        <item x="485"/>
        <item x="776"/>
        <item x="22"/>
        <item x="138"/>
        <item x="696"/>
        <item x="144"/>
        <item x="11"/>
        <item x="799"/>
        <item x="35"/>
        <item x="590"/>
        <item x="958"/>
        <item x="488"/>
        <item x="720"/>
        <item x="864"/>
        <item x="173"/>
        <item x="494"/>
        <item x="463"/>
        <item x="132"/>
        <item x="436"/>
        <item x="388"/>
        <item x="304"/>
        <item x="490"/>
        <item x="621"/>
        <item x="697"/>
        <item x="34"/>
        <item x="297"/>
        <item x="458"/>
        <item x="737"/>
        <item x="449"/>
        <item x="810"/>
        <item x="496"/>
        <item x="243"/>
        <item x="403"/>
        <item x="324"/>
        <item x="957"/>
        <item x="428"/>
        <item x="240"/>
        <item x="662"/>
        <item x="92"/>
        <item x="465"/>
        <item x="213"/>
        <item x="452"/>
        <item x="19"/>
        <item x="423"/>
        <item x="1"/>
        <item x="709"/>
        <item x="122"/>
        <item x="706"/>
        <item x="722"/>
        <item x="287"/>
        <item x="936"/>
        <item x="467"/>
        <item x="881"/>
        <item x="912"/>
        <item x="974"/>
        <item x="399"/>
        <item x="529"/>
        <item x="274"/>
        <item x="583"/>
        <item x="79"/>
        <item x="282"/>
        <item x="499"/>
        <item x="326"/>
        <item x="235"/>
        <item x="168"/>
        <item x="550"/>
        <item x="176"/>
        <item x="686"/>
        <item x="729"/>
        <item x="242"/>
        <item x="989"/>
        <item x="214"/>
        <item x="333"/>
        <item x="302"/>
        <item x="129"/>
        <item x="3"/>
        <item x="751"/>
        <item x="857"/>
        <item x="228"/>
        <item x="66"/>
        <item x="289"/>
        <item x="666"/>
        <item x="114"/>
        <item x="51"/>
        <item x="249"/>
        <item x="226"/>
        <item x="64"/>
        <item x="260"/>
        <item x="945"/>
        <item x="261"/>
        <item x="162"/>
        <item x="251"/>
        <item x="517"/>
        <item x="743"/>
        <item x="845"/>
        <item x="866"/>
        <item x="763"/>
        <item x="537"/>
        <item x="141"/>
        <item x="67"/>
        <item x="147"/>
        <item x="693"/>
        <item x="600"/>
        <item x="88"/>
        <item x="656"/>
        <item x="835"/>
        <item x="809"/>
        <item x="503"/>
        <item x="340"/>
        <item x="443"/>
        <item x="109"/>
        <item x="761"/>
        <item x="956"/>
        <item x="784"/>
        <item x="683"/>
        <item x="70"/>
        <item x="636"/>
        <item x="813"/>
        <item x="896"/>
        <item x="158"/>
        <item x="439"/>
        <item x="955"/>
        <item x="844"/>
        <item x="715"/>
        <item x="869"/>
        <item x="169"/>
        <item x="37"/>
        <item x="649"/>
        <item x="643"/>
        <item x="429"/>
        <item x="74"/>
        <item x="793"/>
        <item x="412"/>
        <item x="179"/>
        <item x="502"/>
        <item x="924"/>
        <item x="233"/>
        <item x="582"/>
        <item x="733"/>
        <item x="736"/>
        <item x="94"/>
        <item x="930"/>
        <item x="102"/>
        <item x="975"/>
        <item x="534"/>
        <item x="597"/>
        <item x="223"/>
        <item x="863"/>
        <item x="532"/>
        <item x="876"/>
        <item x="606"/>
        <item x="865"/>
        <item x="828"/>
        <item x="719"/>
        <item x="174"/>
        <item x="354"/>
        <item x="409"/>
        <item x="589"/>
        <item x="139"/>
        <item x="547"/>
        <item x="797"/>
        <item x="247"/>
        <item x="778"/>
        <item x="420"/>
        <item x="921"/>
        <item x="401"/>
        <item x="867"/>
        <item x="926"/>
        <item x="757"/>
        <item x="202"/>
        <item x="969"/>
        <item x="903"/>
        <item x="888"/>
        <item x="194"/>
        <item x="4"/>
        <item x="80"/>
        <item x="476"/>
        <item x="207"/>
        <item x="421"/>
        <item x="619"/>
        <item x="482"/>
        <item x="638"/>
        <item x="119"/>
        <item x="57"/>
        <item x="603"/>
        <item x="521"/>
        <item x="598"/>
        <item x="846"/>
        <item x="620"/>
        <item x="878"/>
        <item x="640"/>
        <item x="357"/>
        <item x="276"/>
        <item x="188"/>
        <item x="791"/>
        <item x="758"/>
        <item x="273"/>
        <item x="52"/>
        <item x="68"/>
        <item x="610"/>
        <item x="588"/>
        <item x="18"/>
        <item x="518"/>
        <item x="258"/>
        <item x="567"/>
        <item x="263"/>
        <item x="774"/>
        <item x="91"/>
        <item x="811"/>
        <item x="49"/>
        <item x="23"/>
        <item x="512"/>
        <item x="459"/>
        <item x="724"/>
        <item x="278"/>
        <item x="615"/>
        <item x="917"/>
        <item x="734"/>
        <item x="484"/>
        <item x="628"/>
        <item x="457"/>
        <item x="81"/>
        <item x="239"/>
        <item x="353"/>
        <item x="802"/>
        <item x="634"/>
        <item x="171"/>
        <item x="711"/>
        <item x="256"/>
        <item x="889"/>
        <item x="356"/>
        <item x="198"/>
        <item x="710"/>
        <item x="229"/>
        <item x="24"/>
        <item x="703"/>
        <item x="380"/>
        <item x="231"/>
        <item x="831"/>
        <item x="633"/>
        <item x="612"/>
        <item x="948"/>
        <item x="870"/>
        <item x="963"/>
        <item x="907"/>
        <item x="591"/>
        <item x="783"/>
        <item x="329"/>
        <item x="905"/>
        <item x="82"/>
        <item x="893"/>
        <item x="6"/>
        <item x="745"/>
        <item x="148"/>
        <item x="704"/>
        <item x="566"/>
        <item x="581"/>
        <item x="935"/>
        <item x="938"/>
        <item x="622"/>
        <item x="14"/>
        <item x="576"/>
        <item x="565"/>
        <item x="937"/>
        <item x="347"/>
        <item x="732"/>
        <item x="104"/>
        <item x="611"/>
        <item x="510"/>
        <item x="197"/>
        <item x="535"/>
        <item x="837"/>
        <item x="992"/>
        <item x="818"/>
        <item x="75"/>
        <item x="17"/>
        <item x="635"/>
        <item x="44"/>
        <item x="531"/>
        <item x="668"/>
        <item x="827"/>
        <item x="85"/>
        <item x="9"/>
        <item x="350"/>
        <item x="468"/>
        <item x="65"/>
        <item x="609"/>
        <item x="417"/>
        <item x="676"/>
        <item x="25"/>
        <item x="803"/>
        <item x="671"/>
        <item x="293"/>
        <item x="288"/>
        <item x="667"/>
        <item x="437"/>
        <item x="752"/>
        <item x="307"/>
        <item x="928"/>
        <item x="862"/>
        <item x="742"/>
        <item x="123"/>
        <item x="953"/>
        <item x="27"/>
        <item x="69"/>
        <item x="195"/>
        <item x="596"/>
        <item x="348"/>
        <item x="411"/>
        <item x="435"/>
        <item x="747"/>
        <item x="985"/>
        <item x="785"/>
        <item x="20"/>
        <item x="670"/>
        <item x="424"/>
        <item x="549"/>
        <item x="210"/>
        <item x="45"/>
        <item x="725"/>
        <item x="770"/>
        <item x="480"/>
        <item x="281"/>
        <item x="641"/>
        <item x="406"/>
        <item x="215"/>
        <item x="204"/>
        <item x="471"/>
        <item x="186"/>
        <item x="396"/>
        <item x="694"/>
        <item x="658"/>
        <item x="995"/>
        <item x="362"/>
        <item x="856"/>
        <item x="986"/>
        <item x="61"/>
        <item x="301"/>
        <item x="901"/>
        <item x="336"/>
        <item x="877"/>
        <item x="447"/>
        <item x="434"/>
        <item x="150"/>
        <item x="572"/>
        <item x="602"/>
        <item x="325"/>
        <item x="677"/>
        <item x="10"/>
        <item x="462"/>
        <item x="861"/>
        <item x="391"/>
        <item x="438"/>
        <item x="627"/>
        <item x="700"/>
        <item x="575"/>
        <item x="650"/>
        <item x="647"/>
        <item x="882"/>
        <item x="500"/>
        <item x="971"/>
        <item x="432"/>
        <item x="674"/>
        <item x="808"/>
        <item x="967"/>
        <item x="790"/>
        <item x="766"/>
        <item x="608"/>
        <item x="407"/>
        <item x="920"/>
        <item x="341"/>
        <item x="753"/>
        <item x="377"/>
        <item x="183"/>
        <item x="390"/>
        <item x="665"/>
        <item x="358"/>
        <item x="299"/>
        <item x="133"/>
        <item x="145"/>
        <item x="113"/>
        <item x="12"/>
        <item x="182"/>
        <item x="970"/>
        <item x="804"/>
        <item x="29"/>
        <item x="898"/>
        <item x="160"/>
        <item x="469"/>
        <item x="819"/>
        <item x="775"/>
        <item x="966"/>
        <item x="890"/>
        <item x="346"/>
        <item x="72"/>
        <item x="584"/>
        <item x="270"/>
        <item x="934"/>
        <item x="561"/>
        <item x="699"/>
        <item x="448"/>
        <item x="285"/>
        <item x="283"/>
        <item x="702"/>
        <item x="885"/>
        <item x="884"/>
        <item x="996"/>
        <item x="385"/>
        <item x="601"/>
        <item x="153"/>
        <item x="365"/>
        <item x="300"/>
        <item x="30"/>
        <item x="964"/>
        <item x="897"/>
        <item x="55"/>
        <item x="178"/>
        <item x="90"/>
        <item x="988"/>
        <item x="225"/>
        <item x="366"/>
        <item x="587"/>
        <item x="84"/>
        <item x="470"/>
        <item x="313"/>
        <item x="222"/>
        <item x="624"/>
        <item x="858"/>
        <item x="316"/>
        <item x="843"/>
        <item x="806"/>
        <item x="659"/>
        <item x="909"/>
        <item x="997"/>
        <item x="292"/>
        <item x="507"/>
        <item x="767"/>
        <item x="708"/>
        <item x="871"/>
        <item x="573"/>
        <item x="978"/>
        <item x="402"/>
        <item x="298"/>
        <item x="13"/>
        <item x="100"/>
        <item x="929"/>
        <item x="764"/>
        <item x="672"/>
        <item x="973"/>
        <item x="916"/>
        <item x="201"/>
        <item x="644"/>
        <item x="663"/>
        <item x="156"/>
        <item x="987"/>
        <item x="208"/>
        <item x="653"/>
        <item x="46"/>
        <item x="595"/>
        <item x="58"/>
        <item x="681"/>
        <item x="559"/>
        <item x="599"/>
        <item x="433"/>
        <item x="317"/>
        <item x="993"/>
        <item x="220"/>
        <item x="639"/>
        <item x="520"/>
        <item x="371"/>
        <item x="682"/>
        <item x="115"/>
        <item x="839"/>
        <item x="673"/>
        <item x="904"/>
        <item x="265"/>
        <item x="830"/>
        <item x="155"/>
        <item x="180"/>
        <item x="777"/>
        <item x="511"/>
        <item x="739"/>
        <item x="339"/>
        <item x="498"/>
        <item x="134"/>
        <item x="121"/>
        <item x="632"/>
        <item x="933"/>
        <item x="250"/>
        <item x="526"/>
        <item x="792"/>
        <item x="60"/>
        <item x="252"/>
        <item x="106"/>
        <item x="327"/>
        <item x="382"/>
        <item x="103"/>
        <item x="695"/>
        <item x="731"/>
        <item x="749"/>
        <item x="330"/>
        <item x="968"/>
        <item x="309"/>
        <item x="607"/>
        <item x="364"/>
        <item x="487"/>
        <item x="900"/>
        <item x="211"/>
        <item x="748"/>
        <item x="782"/>
        <item x="189"/>
        <item x="539"/>
        <item x="414"/>
        <item x="26"/>
        <item x="321"/>
        <item x="120"/>
        <item x="519"/>
        <item x="455"/>
        <item x="951"/>
        <item x="212"/>
        <item x="164"/>
        <item x="161"/>
        <item x="645"/>
        <item x="927"/>
        <item x="557"/>
        <item x="167"/>
        <item x="497"/>
        <item x="359"/>
        <item x="368"/>
        <item x="284"/>
        <item x="568"/>
        <item x="8"/>
        <item x="574"/>
        <item x="728"/>
        <item x="473"/>
        <item x="453"/>
        <item x="824"/>
        <item x="868"/>
        <item x="551"/>
        <item x="376"/>
        <item x="838"/>
        <item x="701"/>
        <item x="400"/>
        <item x="306"/>
        <item x="721"/>
        <item x="384"/>
        <item x="97"/>
        <item x="236"/>
        <item x="48"/>
        <item x="40"/>
        <item x="664"/>
        <item x="427"/>
        <item x="159"/>
        <item x="312"/>
        <item x="822"/>
        <item x="977"/>
        <item x="779"/>
        <item x="370"/>
        <item x="185"/>
        <item x="543"/>
        <item x="717"/>
        <item x="949"/>
        <item x="914"/>
        <item x="77"/>
        <item x="323"/>
        <item x="124"/>
        <item x="707"/>
        <item x="563"/>
        <item x="98"/>
        <item x="374"/>
        <item x="431"/>
        <item x="961"/>
        <item x="823"/>
        <item x="0"/>
        <item x="334"/>
        <item x="545"/>
        <item x="489"/>
        <item x="146"/>
        <item x="918"/>
        <item x="369"/>
        <item x="826"/>
        <item x="128"/>
        <item x="580"/>
        <item x="655"/>
        <item x="506"/>
        <item x="269"/>
        <item x="360"/>
        <item x="906"/>
        <item x="87"/>
        <item x="383"/>
        <item x="940"/>
        <item x="117"/>
        <item x="290"/>
        <item x="422"/>
        <item x="294"/>
        <item x="812"/>
        <item x="118"/>
        <item x="560"/>
        <item x="170"/>
        <item x="585"/>
        <item x="626"/>
        <item x="181"/>
        <item x="848"/>
        <item x="684"/>
        <item x="805"/>
        <item x="481"/>
        <item x="253"/>
        <item x="62"/>
        <item x="408"/>
        <item x="246"/>
        <item x="392"/>
        <item x="267"/>
        <item x="410"/>
        <item x="617"/>
        <item x="554"/>
        <item x="464"/>
        <item x="637"/>
        <item x="477"/>
        <item x="648"/>
        <item x="925"/>
        <item x="466"/>
        <item x="629"/>
        <item x="415"/>
        <item x="219"/>
        <item x="56"/>
        <item x="295"/>
        <item x="419"/>
        <item x="613"/>
        <item x="801"/>
        <item x="192"/>
        <item x="367"/>
        <item x="305"/>
        <item x="337"/>
        <item x="675"/>
        <item x="505"/>
        <item x="217"/>
        <item x="688"/>
        <item x="446"/>
        <item x="149"/>
        <item x="768"/>
        <item x="691"/>
        <item x="196"/>
        <item x="230"/>
        <item x="493"/>
        <item x="50"/>
        <item x="291"/>
        <item x="224"/>
        <item x="112"/>
        <item x="980"/>
        <item x="712"/>
        <item x="351"/>
        <item x="965"/>
        <item x="83"/>
        <item x="922"/>
        <item x="780"/>
        <item x="579"/>
        <item x="832"/>
        <item x="947"/>
        <item x="264"/>
        <item x="795"/>
        <item x="203"/>
        <item x="723"/>
        <item x="163"/>
        <item x="552"/>
        <item x="759"/>
        <item x="200"/>
        <item x="522"/>
        <item x="509"/>
        <item x="63"/>
        <item x="825"/>
        <item x="310"/>
        <item x="605"/>
        <item x="508"/>
        <item x="979"/>
        <item x="461"/>
        <item x="331"/>
        <item x="232"/>
        <item x="416"/>
        <item x="614"/>
        <item x="800"/>
        <item x="817"/>
        <item x="744"/>
        <item x="199"/>
        <item x="853"/>
        <item x="678"/>
        <item x="755"/>
        <item x="43"/>
        <item x="28"/>
        <item x="807"/>
        <item x="892"/>
        <item x="553"/>
        <item x="286"/>
        <item x="541"/>
        <item x="137"/>
        <item x="859"/>
        <item x="548"/>
        <item x="73"/>
        <item x="32"/>
        <item x="944"/>
        <item x="442"/>
        <item x="962"/>
        <item x="216"/>
        <item x="849"/>
        <item x="981"/>
        <item x="95"/>
        <item x="245"/>
        <item x="31"/>
        <item x="919"/>
        <item x="657"/>
        <item x="42"/>
        <item x="135"/>
        <item x="661"/>
        <item x="375"/>
        <item x="107"/>
        <item x="21"/>
        <item x="592"/>
        <item x="594"/>
        <item x="883"/>
        <item x="765"/>
        <item x="257"/>
        <item x="335"/>
        <item x="320"/>
        <item x="716"/>
        <item x="886"/>
        <item x="769"/>
        <item x="850"/>
        <item x="542"/>
        <item x="78"/>
        <item x="322"/>
        <item x="127"/>
        <item x="834"/>
        <item x="193"/>
        <item x="89"/>
        <item x="879"/>
        <item x="268"/>
        <item x="816"/>
        <item x="815"/>
        <item x="166"/>
        <item x="533"/>
        <item x="794"/>
        <item x="642"/>
        <item x="836"/>
        <item x="315"/>
        <item x="687"/>
        <item x="746"/>
        <item x="796"/>
        <item x="266"/>
        <item x="142"/>
        <item x="426"/>
        <item x="472"/>
        <item x="303"/>
        <item x="395"/>
        <item x="860"/>
        <item x="206"/>
        <item x="578"/>
        <item x="623"/>
        <item x="440"/>
        <item x="994"/>
        <item x="130"/>
        <item x="942"/>
        <item x="157"/>
        <item x="651"/>
        <item x="646"/>
        <item x="887"/>
        <item x="523"/>
        <item x="99"/>
        <item x="660"/>
        <item x="277"/>
        <item x="172"/>
        <item x="379"/>
        <item x="483"/>
        <item x="855"/>
        <item x="96"/>
        <item x="616"/>
        <item x="275"/>
        <item x="754"/>
        <item x="450"/>
        <item x="363"/>
        <item x="143"/>
        <item x="389"/>
        <item x="713"/>
        <item x="525"/>
        <item x="93"/>
        <item x="726"/>
        <item x="908"/>
        <item x="381"/>
        <item x="136"/>
        <item x="314"/>
        <item x="308"/>
        <item x="913"/>
        <item x="255"/>
        <item x="486"/>
        <item x="630"/>
        <item x="652"/>
        <item x="237"/>
        <item x="105"/>
        <item x="413"/>
        <item x="762"/>
        <item x="558"/>
        <item x="527"/>
        <item x="625"/>
        <item x="990"/>
        <item x="530"/>
        <item x="952"/>
        <item x="378"/>
        <item x="177"/>
        <item x="669"/>
        <item x="262"/>
        <item x="932"/>
        <item x="982"/>
        <item x="960"/>
        <item x="386"/>
        <item x="851"/>
        <item x="151"/>
        <item x="654"/>
        <item x="735"/>
        <item x="959"/>
        <item x="821"/>
        <item x="564"/>
        <item x="946"/>
        <item x="5"/>
        <item x="110"/>
        <item x="126"/>
        <item x="343"/>
        <item x="902"/>
        <item x="328"/>
        <item x="872"/>
        <item x="842"/>
        <item x="750"/>
        <item x="874"/>
        <item x="698"/>
        <item x="814"/>
        <item x="998"/>
        <item x="788"/>
        <item x="943"/>
        <item x="976"/>
        <item x="271"/>
        <item x="53"/>
        <item x="847"/>
        <item x="789"/>
        <item x="108"/>
        <item x="47"/>
        <item x="7"/>
        <item x="238"/>
        <item x="586"/>
        <item x="571"/>
        <item x="692"/>
        <item x="983"/>
        <item x="771"/>
        <item x="209"/>
        <item x="479"/>
        <item x="538"/>
        <item x="540"/>
        <item x="854"/>
        <item x="875"/>
        <item x="451"/>
        <item x="911"/>
        <item x="833"/>
        <item x="941"/>
        <item x="781"/>
        <item x="372"/>
        <item x="319"/>
        <item x="86"/>
        <item x="131"/>
        <item x="685"/>
        <item x="184"/>
        <item x="311"/>
        <item x="241"/>
        <item x="344"/>
        <item x="296"/>
        <item x="54"/>
        <item x="972"/>
        <item x="125"/>
        <item x="891"/>
        <item x="950"/>
        <item x="954"/>
        <item x="191"/>
        <item x="738"/>
        <item x="773"/>
        <item x="740"/>
        <item x="355"/>
        <item x="515"/>
        <item x="524"/>
        <item x="991"/>
        <item x="38"/>
        <item x="730"/>
        <item x="418"/>
        <item x="36"/>
        <item x="786"/>
        <item x="445"/>
        <item x="454"/>
        <item x="984"/>
        <item x="999"/>
        <item t="default"/>
      </items>
    </pivotField>
    <pivotField showAll="0">
      <items count="346">
        <item x="323"/>
        <item x="198"/>
        <item x="71"/>
        <item x="58"/>
        <item x="47"/>
        <item x="310"/>
        <item x="283"/>
        <item x="65"/>
        <item x="229"/>
        <item x="290"/>
        <item x="30"/>
        <item x="329"/>
        <item x="293"/>
        <item x="114"/>
        <item x="108"/>
        <item x="166"/>
        <item x="79"/>
        <item x="336"/>
        <item x="190"/>
        <item x="253"/>
        <item x="168"/>
        <item x="188"/>
        <item x="115"/>
        <item x="141"/>
        <item x="23"/>
        <item x="66"/>
        <item x="64"/>
        <item x="137"/>
        <item x="148"/>
        <item x="202"/>
        <item x="251"/>
        <item x="242"/>
        <item x="265"/>
        <item x="299"/>
        <item x="313"/>
        <item x="8"/>
        <item x="96"/>
        <item x="249"/>
        <item x="337"/>
        <item x="102"/>
        <item x="272"/>
        <item x="230"/>
        <item x="195"/>
        <item x="16"/>
        <item x="97"/>
        <item x="124"/>
        <item x="194"/>
        <item x="80"/>
        <item x="88"/>
        <item x="246"/>
        <item x="111"/>
        <item x="218"/>
        <item x="252"/>
        <item x="92"/>
        <item x="3"/>
        <item x="311"/>
        <item x="199"/>
        <item x="61"/>
        <item x="51"/>
        <item x="301"/>
        <item x="31"/>
        <item x="240"/>
        <item x="208"/>
        <item x="302"/>
        <item x="147"/>
        <item x="220"/>
        <item x="138"/>
        <item x="181"/>
        <item x="78"/>
        <item x="131"/>
        <item x="335"/>
        <item x="178"/>
        <item x="60"/>
        <item x="27"/>
        <item x="83"/>
        <item x="127"/>
        <item x="46"/>
        <item x="232"/>
        <item x="109"/>
        <item x="107"/>
        <item x="259"/>
        <item x="315"/>
        <item x="52"/>
        <item x="118"/>
        <item x="162"/>
        <item x="63"/>
        <item x="134"/>
        <item x="136"/>
        <item x="288"/>
        <item x="14"/>
        <item x="319"/>
        <item x="187"/>
        <item x="68"/>
        <item x="56"/>
        <item x="280"/>
        <item x="210"/>
        <item x="81"/>
        <item x="203"/>
        <item x="204"/>
        <item x="104"/>
        <item x="26"/>
        <item x="158"/>
        <item x="112"/>
        <item x="38"/>
        <item x="105"/>
        <item x="34"/>
        <item x="9"/>
        <item x="40"/>
        <item x="276"/>
        <item x="123"/>
        <item x="234"/>
        <item x="120"/>
        <item x="175"/>
        <item x="334"/>
        <item x="291"/>
        <item x="149"/>
        <item x="130"/>
        <item x="267"/>
        <item x="231"/>
        <item x="45"/>
        <item x="269"/>
        <item x="324"/>
        <item x="85"/>
        <item x="69"/>
        <item x="35"/>
        <item x="171"/>
        <item x="75"/>
        <item x="343"/>
        <item x="2"/>
        <item x="201"/>
        <item x="89"/>
        <item x="67"/>
        <item x="94"/>
        <item x="76"/>
        <item x="101"/>
        <item x="260"/>
        <item x="331"/>
        <item x="86"/>
        <item x="241"/>
        <item x="169"/>
        <item x="286"/>
        <item x="213"/>
        <item x="157"/>
        <item x="7"/>
        <item x="270"/>
        <item x="135"/>
        <item x="122"/>
        <item x="282"/>
        <item x="294"/>
        <item x="100"/>
        <item x="342"/>
        <item x="261"/>
        <item x="307"/>
        <item x="21"/>
        <item x="233"/>
        <item x="36"/>
        <item x="110"/>
        <item x="32"/>
        <item x="172"/>
        <item x="180"/>
        <item x="91"/>
        <item x="258"/>
        <item x="314"/>
        <item x="214"/>
        <item x="93"/>
        <item x="176"/>
        <item x="248"/>
        <item x="263"/>
        <item x="126"/>
        <item x="332"/>
        <item x="338"/>
        <item x="215"/>
        <item x="98"/>
        <item x="197"/>
        <item x="160"/>
        <item x="19"/>
        <item x="128"/>
        <item x="328"/>
        <item x="189"/>
        <item x="327"/>
        <item x="143"/>
        <item x="340"/>
        <item x="1"/>
        <item x="330"/>
        <item x="205"/>
        <item x="333"/>
        <item x="140"/>
        <item x="321"/>
        <item x="228"/>
        <item x="74"/>
        <item x="113"/>
        <item x="243"/>
        <item x="57"/>
        <item x="73"/>
        <item x="39"/>
        <item x="41"/>
        <item x="6"/>
        <item x="59"/>
        <item x="84"/>
        <item x="156"/>
        <item x="44"/>
        <item x="121"/>
        <item x="49"/>
        <item x="255"/>
        <item x="153"/>
        <item x="165"/>
        <item x="146"/>
        <item x="119"/>
        <item x="289"/>
        <item x="244"/>
        <item x="12"/>
        <item x="284"/>
        <item x="191"/>
        <item x="237"/>
        <item x="216"/>
        <item x="155"/>
        <item x="256"/>
        <item x="15"/>
        <item x="320"/>
        <item x="125"/>
        <item x="186"/>
        <item x="129"/>
        <item x="239"/>
        <item x="184"/>
        <item x="95"/>
        <item x="144"/>
        <item x="0"/>
        <item x="245"/>
        <item x="279"/>
        <item x="106"/>
        <item x="43"/>
        <item x="254"/>
        <item x="116"/>
        <item x="192"/>
        <item x="221"/>
        <item x="117"/>
        <item x="247"/>
        <item x="227"/>
        <item x="317"/>
        <item x="275"/>
        <item x="287"/>
        <item x="257"/>
        <item x="173"/>
        <item x="28"/>
        <item x="20"/>
        <item x="236"/>
        <item x="235"/>
        <item x="50"/>
        <item x="222"/>
        <item x="225"/>
        <item x="72"/>
        <item x="142"/>
        <item x="185"/>
        <item x="37"/>
        <item x="196"/>
        <item x="295"/>
        <item x="152"/>
        <item x="304"/>
        <item x="193"/>
        <item x="77"/>
        <item x="300"/>
        <item x="164"/>
        <item x="139"/>
        <item x="145"/>
        <item x="266"/>
        <item x="292"/>
        <item x="262"/>
        <item x="296"/>
        <item x="200"/>
        <item x="62"/>
        <item x="326"/>
        <item x="177"/>
        <item x="305"/>
        <item x="325"/>
        <item x="298"/>
        <item x="167"/>
        <item x="285"/>
        <item x="278"/>
        <item x="29"/>
        <item x="339"/>
        <item x="316"/>
        <item x="211"/>
        <item x="238"/>
        <item x="82"/>
        <item x="174"/>
        <item x="212"/>
        <item x="309"/>
        <item x="87"/>
        <item x="170"/>
        <item x="312"/>
        <item x="48"/>
        <item x="163"/>
        <item x="277"/>
        <item x="297"/>
        <item x="268"/>
        <item x="322"/>
        <item x="159"/>
        <item x="206"/>
        <item x="133"/>
        <item x="10"/>
        <item x="154"/>
        <item x="306"/>
        <item x="90"/>
        <item x="182"/>
        <item x="271"/>
        <item x="223"/>
        <item x="308"/>
        <item x="54"/>
        <item x="17"/>
        <item x="161"/>
        <item x="24"/>
        <item x="150"/>
        <item x="341"/>
        <item x="5"/>
        <item x="318"/>
        <item x="250"/>
        <item x="70"/>
        <item x="207"/>
        <item x="13"/>
        <item x="25"/>
        <item x="99"/>
        <item x="4"/>
        <item x="209"/>
        <item x="264"/>
        <item x="219"/>
        <item x="226"/>
        <item x="55"/>
        <item x="42"/>
        <item x="18"/>
        <item x="303"/>
        <item x="183"/>
        <item x="151"/>
        <item x="224"/>
        <item x="11"/>
        <item x="103"/>
        <item x="217"/>
        <item x="274"/>
        <item x="53"/>
        <item x="33"/>
        <item x="132"/>
        <item x="273"/>
        <item x="281"/>
        <item x="179"/>
        <item x="22"/>
        <item x="344"/>
        <item t="default"/>
      </items>
    </pivotField>
    <pivotField showAll="0"/>
    <pivotField dataField="1" showAll="0"/>
    <pivotField showAll="0"/>
    <pivotField showAll="0">
      <items count="6">
        <item x="0"/>
        <item x="1"/>
        <item x="3"/>
        <item x="2"/>
        <item x="4"/>
        <item t="default"/>
      </items>
    </pivotField>
    <pivotField showAll="0"/>
    <pivotField showAll="0">
      <items count="6">
        <item x="0"/>
        <item x="2"/>
        <item x="1"/>
        <item x="3"/>
        <item x="4"/>
        <item t="default"/>
      </items>
    </pivotField>
    <pivotField showAll="0"/>
    <pivotField showAll="0"/>
    <pivotField showAll="0"/>
    <pivotField showAll="0"/>
    <pivotField dataField="1" showAll="0"/>
    <pivotField axis="axisPage" multipleItemSelectionAllowed="1" showAll="0">
      <items count="4">
        <item h="1" x="1"/>
        <item x="0"/>
        <item h="1"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931">
    <i>
      <x v="1"/>
    </i>
    <i>
      <x v="3"/>
    </i>
    <i>
      <x v="4"/>
    </i>
    <i>
      <x v="5"/>
    </i>
    <i>
      <x v="6"/>
    </i>
    <i>
      <x v="7"/>
    </i>
    <i>
      <x v="8"/>
    </i>
    <i>
      <x v="9"/>
    </i>
    <i>
      <x v="10"/>
    </i>
    <i>
      <x v="11"/>
    </i>
    <i>
      <x v="12"/>
    </i>
    <i>
      <x v="13"/>
    </i>
    <i>
      <x v="14"/>
    </i>
    <i>
      <x v="15"/>
    </i>
    <i>
      <x v="16"/>
    </i>
    <i>
      <x v="19"/>
    </i>
    <i>
      <x v="20"/>
    </i>
    <i>
      <x v="21"/>
    </i>
    <i>
      <x v="22"/>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4"/>
    </i>
    <i>
      <x v="55"/>
    </i>
    <i>
      <x v="56"/>
    </i>
    <i>
      <x v="57"/>
    </i>
    <i>
      <x v="58"/>
    </i>
    <i>
      <x v="59"/>
    </i>
    <i>
      <x v="60"/>
    </i>
    <i>
      <x v="61"/>
    </i>
    <i>
      <x v="62"/>
    </i>
    <i>
      <x v="63"/>
    </i>
    <i>
      <x v="64"/>
    </i>
    <i>
      <x v="65"/>
    </i>
    <i>
      <x v="66"/>
    </i>
    <i>
      <x v="67"/>
    </i>
    <i>
      <x v="68"/>
    </i>
    <i>
      <x v="69"/>
    </i>
    <i>
      <x v="70"/>
    </i>
    <i>
      <x v="71"/>
    </i>
    <i>
      <x v="72"/>
    </i>
    <i>
      <x v="73"/>
    </i>
    <i>
      <x v="74"/>
    </i>
    <i>
      <x v="75"/>
    </i>
    <i>
      <x v="76"/>
    </i>
    <i>
      <x v="77"/>
    </i>
    <i>
      <x v="78"/>
    </i>
    <i>
      <x v="79"/>
    </i>
    <i>
      <x v="80"/>
    </i>
    <i>
      <x v="82"/>
    </i>
    <i>
      <x v="83"/>
    </i>
    <i>
      <x v="84"/>
    </i>
    <i>
      <x v="85"/>
    </i>
    <i>
      <x v="86"/>
    </i>
    <i>
      <x v="87"/>
    </i>
    <i>
      <x v="88"/>
    </i>
    <i>
      <x v="89"/>
    </i>
    <i>
      <x v="91"/>
    </i>
    <i>
      <x v="92"/>
    </i>
    <i>
      <x v="93"/>
    </i>
    <i>
      <x v="94"/>
    </i>
    <i>
      <x v="95"/>
    </i>
    <i>
      <x v="96"/>
    </i>
    <i>
      <x v="97"/>
    </i>
    <i>
      <x v="98"/>
    </i>
    <i>
      <x v="99"/>
    </i>
    <i>
      <x v="100"/>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4"/>
    </i>
    <i>
      <x v="135"/>
    </i>
    <i>
      <x v="136"/>
    </i>
    <i>
      <x v="137"/>
    </i>
    <i>
      <x v="138"/>
    </i>
    <i>
      <x v="141"/>
    </i>
    <i>
      <x v="142"/>
    </i>
    <i>
      <x v="145"/>
    </i>
    <i>
      <x v="146"/>
    </i>
    <i>
      <x v="147"/>
    </i>
    <i>
      <x v="148"/>
    </i>
    <i>
      <x v="149"/>
    </i>
    <i>
      <x v="150"/>
    </i>
    <i>
      <x v="151"/>
    </i>
    <i>
      <x v="152"/>
    </i>
    <i>
      <x v="153"/>
    </i>
    <i>
      <x v="154"/>
    </i>
    <i>
      <x v="155"/>
    </i>
    <i>
      <x v="156"/>
    </i>
    <i>
      <x v="157"/>
    </i>
    <i>
      <x v="158"/>
    </i>
    <i>
      <x v="159"/>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2"/>
    </i>
    <i>
      <x v="203"/>
    </i>
    <i>
      <x v="204"/>
    </i>
    <i>
      <x v="205"/>
    </i>
    <i>
      <x v="206"/>
    </i>
    <i>
      <x v="208"/>
    </i>
    <i>
      <x v="209"/>
    </i>
    <i>
      <x v="210"/>
    </i>
    <i>
      <x v="211"/>
    </i>
    <i>
      <x v="212"/>
    </i>
    <i>
      <x v="213"/>
    </i>
    <i>
      <x v="214"/>
    </i>
    <i>
      <x v="215"/>
    </i>
    <i>
      <x v="216"/>
    </i>
    <i>
      <x v="217"/>
    </i>
    <i>
      <x v="218"/>
    </i>
    <i>
      <x v="219"/>
    </i>
    <i>
      <x v="220"/>
    </i>
    <i>
      <x v="221"/>
    </i>
    <i>
      <x v="222"/>
    </i>
    <i>
      <x v="224"/>
    </i>
    <i>
      <x v="226"/>
    </i>
    <i>
      <x v="227"/>
    </i>
    <i>
      <x v="228"/>
    </i>
    <i>
      <x v="229"/>
    </i>
    <i>
      <x v="230"/>
    </i>
    <i>
      <x v="231"/>
    </i>
    <i>
      <x v="232"/>
    </i>
    <i>
      <x v="233"/>
    </i>
    <i>
      <x v="234"/>
    </i>
    <i>
      <x v="235"/>
    </i>
    <i>
      <x v="236"/>
    </i>
    <i>
      <x v="237"/>
    </i>
    <i>
      <x v="238"/>
    </i>
    <i>
      <x v="239"/>
    </i>
    <i>
      <x v="240"/>
    </i>
    <i>
      <x v="241"/>
    </i>
    <i>
      <x v="242"/>
    </i>
    <i>
      <x v="243"/>
    </i>
    <i>
      <x v="244"/>
    </i>
    <i>
      <x v="245"/>
    </i>
    <i>
      <x v="246"/>
    </i>
    <i>
      <x v="247"/>
    </i>
    <i>
      <x v="248"/>
    </i>
    <i>
      <x v="249"/>
    </i>
    <i>
      <x v="251"/>
    </i>
    <i>
      <x v="252"/>
    </i>
    <i>
      <x v="253"/>
    </i>
    <i>
      <x v="254"/>
    </i>
    <i>
      <x v="255"/>
    </i>
    <i>
      <x v="256"/>
    </i>
    <i>
      <x v="257"/>
    </i>
    <i>
      <x v="258"/>
    </i>
    <i>
      <x v="259"/>
    </i>
    <i>
      <x v="260"/>
    </i>
    <i>
      <x v="262"/>
    </i>
    <i>
      <x v="263"/>
    </i>
    <i>
      <x v="264"/>
    </i>
    <i>
      <x v="265"/>
    </i>
    <i>
      <x v="266"/>
    </i>
    <i>
      <x v="267"/>
    </i>
    <i>
      <x v="268"/>
    </i>
    <i>
      <x v="270"/>
    </i>
    <i>
      <x v="271"/>
    </i>
    <i>
      <x v="272"/>
    </i>
    <i>
      <x v="273"/>
    </i>
    <i>
      <x v="274"/>
    </i>
    <i>
      <x v="275"/>
    </i>
    <i>
      <x v="277"/>
    </i>
    <i>
      <x v="278"/>
    </i>
    <i>
      <x v="279"/>
    </i>
    <i>
      <x v="280"/>
    </i>
    <i>
      <x v="282"/>
    </i>
    <i>
      <x v="283"/>
    </i>
    <i>
      <x v="284"/>
    </i>
    <i>
      <x v="285"/>
    </i>
    <i>
      <x v="286"/>
    </i>
    <i>
      <x v="287"/>
    </i>
    <i>
      <x v="288"/>
    </i>
    <i>
      <x v="289"/>
    </i>
    <i>
      <x v="290"/>
    </i>
    <i>
      <x v="291"/>
    </i>
    <i>
      <x v="292"/>
    </i>
    <i>
      <x v="293"/>
    </i>
    <i>
      <x v="294"/>
    </i>
    <i>
      <x v="295"/>
    </i>
    <i>
      <x v="296"/>
    </i>
    <i>
      <x v="297"/>
    </i>
    <i>
      <x v="298"/>
    </i>
    <i>
      <x v="300"/>
    </i>
    <i>
      <x v="301"/>
    </i>
    <i>
      <x v="302"/>
    </i>
    <i>
      <x v="303"/>
    </i>
    <i>
      <x v="304"/>
    </i>
    <i>
      <x v="305"/>
    </i>
    <i>
      <x v="306"/>
    </i>
    <i>
      <x v="307"/>
    </i>
    <i>
      <x v="308"/>
    </i>
    <i>
      <x v="309"/>
    </i>
    <i>
      <x v="310"/>
    </i>
    <i>
      <x v="311"/>
    </i>
    <i>
      <x v="313"/>
    </i>
    <i>
      <x v="314"/>
    </i>
    <i>
      <x v="315"/>
    </i>
    <i>
      <x v="316"/>
    </i>
    <i>
      <x v="317"/>
    </i>
    <i>
      <x v="318"/>
    </i>
    <i>
      <x v="320"/>
    </i>
    <i>
      <x v="321"/>
    </i>
    <i>
      <x v="323"/>
    </i>
    <i>
      <x v="324"/>
    </i>
    <i>
      <x v="325"/>
    </i>
    <i>
      <x v="326"/>
    </i>
    <i>
      <x v="327"/>
    </i>
    <i>
      <x v="328"/>
    </i>
    <i>
      <x v="329"/>
    </i>
    <i>
      <x v="330"/>
    </i>
    <i>
      <x v="331"/>
    </i>
    <i>
      <x v="332"/>
    </i>
    <i>
      <x v="333"/>
    </i>
    <i>
      <x v="334"/>
    </i>
    <i>
      <x v="337"/>
    </i>
    <i>
      <x v="338"/>
    </i>
    <i>
      <x v="340"/>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8"/>
    </i>
    <i>
      <x v="369"/>
    </i>
    <i>
      <x v="370"/>
    </i>
    <i>
      <x v="371"/>
    </i>
    <i>
      <x v="372"/>
    </i>
    <i>
      <x v="373"/>
    </i>
    <i>
      <x v="374"/>
    </i>
    <i>
      <x v="375"/>
    </i>
    <i>
      <x v="376"/>
    </i>
    <i>
      <x v="377"/>
    </i>
    <i>
      <x v="378"/>
    </i>
    <i>
      <x v="379"/>
    </i>
    <i>
      <x v="380"/>
    </i>
    <i>
      <x v="381"/>
    </i>
    <i>
      <x v="382"/>
    </i>
    <i>
      <x v="383"/>
    </i>
    <i>
      <x v="385"/>
    </i>
    <i>
      <x v="386"/>
    </i>
    <i>
      <x v="387"/>
    </i>
    <i>
      <x v="388"/>
    </i>
    <i>
      <x v="389"/>
    </i>
    <i>
      <x v="390"/>
    </i>
    <i>
      <x v="391"/>
    </i>
    <i>
      <x v="392"/>
    </i>
    <i>
      <x v="393"/>
    </i>
    <i>
      <x v="394"/>
    </i>
    <i>
      <x v="395"/>
    </i>
    <i>
      <x v="396"/>
    </i>
    <i>
      <x v="397"/>
    </i>
    <i>
      <x v="398"/>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3"/>
    </i>
    <i>
      <x v="454"/>
    </i>
    <i>
      <x v="455"/>
    </i>
    <i>
      <x v="456"/>
    </i>
    <i>
      <x v="458"/>
    </i>
    <i>
      <x v="459"/>
    </i>
    <i>
      <x v="460"/>
    </i>
    <i>
      <x v="461"/>
    </i>
    <i>
      <x v="462"/>
    </i>
    <i>
      <x v="463"/>
    </i>
    <i>
      <x v="464"/>
    </i>
    <i>
      <x v="465"/>
    </i>
    <i>
      <x v="466"/>
    </i>
    <i>
      <x v="467"/>
    </i>
    <i>
      <x v="468"/>
    </i>
    <i>
      <x v="469"/>
    </i>
    <i>
      <x v="470"/>
    </i>
    <i>
      <x v="471"/>
    </i>
    <i>
      <x v="472"/>
    </i>
    <i>
      <x v="473"/>
    </i>
    <i>
      <x v="474"/>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7"/>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4"/>
    </i>
    <i>
      <x v="585"/>
    </i>
    <i>
      <x v="586"/>
    </i>
    <i>
      <x v="587"/>
    </i>
    <i>
      <x v="588"/>
    </i>
    <i>
      <x v="589"/>
    </i>
    <i>
      <x v="590"/>
    </i>
    <i>
      <x v="591"/>
    </i>
    <i>
      <x v="592"/>
    </i>
    <i>
      <x v="593"/>
    </i>
    <i>
      <x v="594"/>
    </i>
    <i>
      <x v="595"/>
    </i>
    <i>
      <x v="597"/>
    </i>
    <i>
      <x v="599"/>
    </i>
    <i>
      <x v="600"/>
    </i>
    <i>
      <x v="601"/>
    </i>
    <i>
      <x v="602"/>
    </i>
    <i>
      <x v="603"/>
    </i>
    <i>
      <x v="604"/>
    </i>
    <i>
      <x v="605"/>
    </i>
    <i>
      <x v="606"/>
    </i>
    <i>
      <x v="609"/>
    </i>
    <i>
      <x v="610"/>
    </i>
    <i>
      <x v="611"/>
    </i>
    <i>
      <x v="612"/>
    </i>
    <i>
      <x v="613"/>
    </i>
    <i>
      <x v="614"/>
    </i>
    <i>
      <x v="615"/>
    </i>
    <i>
      <x v="617"/>
    </i>
    <i>
      <x v="618"/>
    </i>
    <i>
      <x v="619"/>
    </i>
    <i>
      <x v="620"/>
    </i>
    <i>
      <x v="621"/>
    </i>
    <i>
      <x v="622"/>
    </i>
    <i>
      <x v="623"/>
    </i>
    <i>
      <x v="624"/>
    </i>
    <i>
      <x v="625"/>
    </i>
    <i>
      <x v="626"/>
    </i>
    <i>
      <x v="627"/>
    </i>
    <i>
      <x v="628"/>
    </i>
    <i>
      <x v="629"/>
    </i>
    <i>
      <x v="630"/>
    </i>
    <i>
      <x v="632"/>
    </i>
    <i>
      <x v="633"/>
    </i>
    <i>
      <x v="634"/>
    </i>
    <i>
      <x v="635"/>
    </i>
    <i>
      <x v="636"/>
    </i>
    <i>
      <x v="637"/>
    </i>
    <i>
      <x v="638"/>
    </i>
    <i>
      <x v="639"/>
    </i>
    <i>
      <x v="640"/>
    </i>
    <i>
      <x v="641"/>
    </i>
    <i>
      <x v="642"/>
    </i>
    <i>
      <x v="643"/>
    </i>
    <i>
      <x v="644"/>
    </i>
    <i>
      <x v="645"/>
    </i>
    <i>
      <x v="646"/>
    </i>
    <i>
      <x v="647"/>
    </i>
    <i>
      <x v="648"/>
    </i>
    <i>
      <x v="649"/>
    </i>
    <i>
      <x v="650"/>
    </i>
    <i>
      <x v="651"/>
    </i>
    <i>
      <x v="653"/>
    </i>
    <i>
      <x v="654"/>
    </i>
    <i>
      <x v="655"/>
    </i>
    <i>
      <x v="656"/>
    </i>
    <i>
      <x v="657"/>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3"/>
    </i>
    <i>
      <x v="694"/>
    </i>
    <i>
      <x v="695"/>
    </i>
    <i>
      <x v="696"/>
    </i>
    <i>
      <x v="697"/>
    </i>
    <i>
      <x v="698"/>
    </i>
    <i>
      <x v="699"/>
    </i>
    <i>
      <x v="700"/>
    </i>
    <i>
      <x v="701"/>
    </i>
    <i>
      <x v="703"/>
    </i>
    <i>
      <x v="704"/>
    </i>
    <i>
      <x v="705"/>
    </i>
    <i>
      <x v="707"/>
    </i>
    <i>
      <x v="708"/>
    </i>
    <i>
      <x v="709"/>
    </i>
    <i>
      <x v="710"/>
    </i>
    <i>
      <x v="711"/>
    </i>
    <i>
      <x v="712"/>
    </i>
    <i>
      <x v="713"/>
    </i>
    <i>
      <x v="714"/>
    </i>
    <i>
      <x v="715"/>
    </i>
    <i>
      <x v="716"/>
    </i>
    <i>
      <x v="717"/>
    </i>
    <i>
      <x v="719"/>
    </i>
    <i>
      <x v="720"/>
    </i>
    <i>
      <x v="721"/>
    </i>
    <i>
      <x v="722"/>
    </i>
    <i>
      <x v="723"/>
    </i>
    <i>
      <x v="724"/>
    </i>
    <i>
      <x v="725"/>
    </i>
    <i>
      <x v="726"/>
    </i>
    <i>
      <x v="727"/>
    </i>
    <i>
      <x v="728"/>
    </i>
    <i>
      <x v="730"/>
    </i>
    <i>
      <x v="731"/>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60"/>
    </i>
    <i>
      <x v="761"/>
    </i>
    <i>
      <x v="762"/>
    </i>
    <i>
      <x v="763"/>
    </i>
    <i>
      <x v="765"/>
    </i>
    <i>
      <x v="766"/>
    </i>
    <i>
      <x v="767"/>
    </i>
    <i>
      <x v="768"/>
    </i>
    <i>
      <x v="769"/>
    </i>
    <i>
      <x v="770"/>
    </i>
    <i>
      <x v="772"/>
    </i>
    <i>
      <x v="773"/>
    </i>
    <i>
      <x v="774"/>
    </i>
    <i>
      <x v="775"/>
    </i>
    <i>
      <x v="776"/>
    </i>
    <i>
      <x v="777"/>
    </i>
    <i>
      <x v="778"/>
    </i>
    <i>
      <x v="779"/>
    </i>
    <i>
      <x v="780"/>
    </i>
    <i>
      <x v="781"/>
    </i>
    <i>
      <x v="782"/>
    </i>
    <i>
      <x v="783"/>
    </i>
    <i>
      <x v="784"/>
    </i>
    <i>
      <x v="785"/>
    </i>
    <i>
      <x v="786"/>
    </i>
    <i>
      <x v="787"/>
    </i>
    <i>
      <x v="788"/>
    </i>
    <i>
      <x v="789"/>
    </i>
    <i>
      <x v="790"/>
    </i>
    <i>
      <x v="791"/>
    </i>
    <i>
      <x v="792"/>
    </i>
    <i>
      <x v="793"/>
    </i>
    <i>
      <x v="795"/>
    </i>
    <i>
      <x v="796"/>
    </i>
    <i>
      <x v="797"/>
    </i>
    <i>
      <x v="798"/>
    </i>
    <i>
      <x v="799"/>
    </i>
    <i>
      <x v="800"/>
    </i>
    <i>
      <x v="801"/>
    </i>
    <i>
      <x v="802"/>
    </i>
    <i>
      <x v="803"/>
    </i>
    <i>
      <x v="804"/>
    </i>
    <i>
      <x v="805"/>
    </i>
    <i>
      <x v="806"/>
    </i>
    <i>
      <x v="807"/>
    </i>
    <i>
      <x v="808"/>
    </i>
    <i>
      <x v="809"/>
    </i>
    <i>
      <x v="810"/>
    </i>
    <i>
      <x v="811"/>
    </i>
    <i>
      <x v="812"/>
    </i>
    <i>
      <x v="813"/>
    </i>
    <i>
      <x v="814"/>
    </i>
    <i>
      <x v="815"/>
    </i>
    <i>
      <x v="816"/>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4"/>
    </i>
    <i>
      <x v="915"/>
    </i>
    <i>
      <x v="917"/>
    </i>
    <i>
      <x v="918"/>
    </i>
    <i>
      <x v="919"/>
    </i>
    <i>
      <x v="920"/>
    </i>
    <i>
      <x v="921"/>
    </i>
    <i>
      <x v="922"/>
    </i>
    <i>
      <x v="923"/>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1"/>
    </i>
    <i>
      <x v="952"/>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4"/>
    </i>
    <i>
      <x v="985"/>
    </i>
    <i>
      <x v="986"/>
    </i>
    <i>
      <x v="987"/>
    </i>
    <i>
      <x v="988"/>
    </i>
    <i>
      <x v="989"/>
    </i>
    <i>
      <x v="990"/>
    </i>
    <i>
      <x v="991"/>
    </i>
    <i>
      <x v="992"/>
    </i>
    <i>
      <x v="993"/>
    </i>
    <i>
      <x v="994"/>
    </i>
    <i>
      <x v="995"/>
    </i>
    <i>
      <x v="996"/>
    </i>
    <i>
      <x v="997"/>
    </i>
    <i>
      <x v="998"/>
    </i>
    <i t="grand">
      <x/>
    </i>
  </rowItems>
  <colFields count="1">
    <field x="-2"/>
  </colFields>
  <colItems count="2">
    <i>
      <x/>
    </i>
    <i i="1">
      <x v="1"/>
    </i>
  </colItems>
  <pageFields count="1">
    <pageField fld="13" hier="-1"/>
  </pageFields>
  <dataFields count="2">
    <dataField name="Sum of budget" fld="3" baseField="0" baseItem="0"/>
    <dataField name="Sum of Adjusted ROI"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F935EC-0291-4444-9E27-1C0500C4B1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40:D43" firstHeaderRow="1" firstDataRow="1" firstDataCol="1"/>
  <pivotFields count="18">
    <pivotField showAll="0">
      <items count="1001">
        <item x="352"/>
        <item x="71"/>
        <item x="689"/>
        <item x="279"/>
        <item x="852"/>
        <item x="939"/>
        <item x="504"/>
        <item x="514"/>
        <item x="254"/>
        <item x="492"/>
        <item x="562"/>
        <item x="772"/>
        <item x="441"/>
        <item x="175"/>
        <item x="405"/>
        <item x="227"/>
        <item x="39"/>
        <item x="248"/>
        <item x="111"/>
        <item x="349"/>
        <item x="332"/>
        <item x="544"/>
        <item x="760"/>
        <item x="280"/>
        <item x="338"/>
        <item x="259"/>
        <item x="895"/>
        <item x="361"/>
        <item x="528"/>
        <item x="618"/>
        <item x="741"/>
        <item x="491"/>
        <item x="187"/>
        <item x="679"/>
        <item x="116"/>
        <item x="460"/>
        <item x="570"/>
        <item x="899"/>
        <item x="604"/>
        <item x="404"/>
        <item x="690"/>
        <item x="631"/>
        <item x="880"/>
        <item x="2"/>
        <item x="569"/>
        <item x="841"/>
        <item x="165"/>
        <item x="915"/>
        <item x="873"/>
        <item x="475"/>
        <item x="516"/>
        <item x="59"/>
        <item x="577"/>
        <item x="154"/>
        <item x="190"/>
        <item x="680"/>
        <item x="152"/>
        <item x="556"/>
        <item x="756"/>
        <item x="342"/>
        <item x="593"/>
        <item x="272"/>
        <item x="101"/>
        <item x="398"/>
        <item x="318"/>
        <item x="555"/>
        <item x="727"/>
        <item x="430"/>
        <item x="910"/>
        <item x="474"/>
        <item x="705"/>
        <item x="393"/>
        <item x="546"/>
        <item x="931"/>
        <item x="820"/>
        <item x="140"/>
        <item x="218"/>
        <item x="394"/>
        <item x="425"/>
        <item x="787"/>
        <item x="397"/>
        <item x="840"/>
        <item x="444"/>
        <item x="76"/>
        <item x="718"/>
        <item x="345"/>
        <item x="923"/>
        <item x="373"/>
        <item x="829"/>
        <item x="33"/>
        <item x="15"/>
        <item x="221"/>
        <item x="478"/>
        <item x="714"/>
        <item x="798"/>
        <item x="387"/>
        <item x="501"/>
        <item x="244"/>
        <item x="16"/>
        <item x="205"/>
        <item x="513"/>
        <item x="495"/>
        <item x="234"/>
        <item x="456"/>
        <item x="894"/>
        <item x="536"/>
        <item x="41"/>
        <item x="485"/>
        <item x="776"/>
        <item x="22"/>
        <item x="138"/>
        <item x="696"/>
        <item x="144"/>
        <item x="11"/>
        <item x="799"/>
        <item x="35"/>
        <item x="590"/>
        <item x="958"/>
        <item x="488"/>
        <item x="720"/>
        <item x="864"/>
        <item x="173"/>
        <item x="494"/>
        <item x="463"/>
        <item x="132"/>
        <item x="436"/>
        <item x="388"/>
        <item x="304"/>
        <item x="490"/>
        <item x="621"/>
        <item x="697"/>
        <item x="34"/>
        <item x="297"/>
        <item x="458"/>
        <item x="737"/>
        <item x="449"/>
        <item x="810"/>
        <item x="496"/>
        <item x="243"/>
        <item x="403"/>
        <item x="324"/>
        <item x="957"/>
        <item x="428"/>
        <item x="240"/>
        <item x="662"/>
        <item x="92"/>
        <item x="465"/>
        <item x="213"/>
        <item x="452"/>
        <item x="19"/>
        <item x="423"/>
        <item x="1"/>
        <item x="709"/>
        <item x="122"/>
        <item x="706"/>
        <item x="722"/>
        <item x="287"/>
        <item x="936"/>
        <item x="467"/>
        <item x="881"/>
        <item x="912"/>
        <item x="974"/>
        <item x="399"/>
        <item x="529"/>
        <item x="274"/>
        <item x="583"/>
        <item x="79"/>
        <item x="282"/>
        <item x="499"/>
        <item x="326"/>
        <item x="235"/>
        <item x="168"/>
        <item x="550"/>
        <item x="176"/>
        <item x="686"/>
        <item x="729"/>
        <item x="242"/>
        <item x="989"/>
        <item x="214"/>
        <item x="333"/>
        <item x="302"/>
        <item x="129"/>
        <item x="3"/>
        <item x="751"/>
        <item x="857"/>
        <item x="228"/>
        <item x="66"/>
        <item x="289"/>
        <item x="666"/>
        <item x="114"/>
        <item x="51"/>
        <item x="249"/>
        <item x="226"/>
        <item x="64"/>
        <item x="260"/>
        <item x="945"/>
        <item x="261"/>
        <item x="162"/>
        <item x="251"/>
        <item x="517"/>
        <item x="743"/>
        <item x="845"/>
        <item x="866"/>
        <item x="763"/>
        <item x="537"/>
        <item x="141"/>
        <item x="67"/>
        <item x="147"/>
        <item x="693"/>
        <item x="600"/>
        <item x="88"/>
        <item x="656"/>
        <item x="835"/>
        <item x="809"/>
        <item x="503"/>
        <item x="340"/>
        <item x="443"/>
        <item x="109"/>
        <item x="761"/>
        <item x="956"/>
        <item x="784"/>
        <item x="683"/>
        <item x="70"/>
        <item x="636"/>
        <item x="813"/>
        <item x="896"/>
        <item x="158"/>
        <item x="439"/>
        <item x="955"/>
        <item x="844"/>
        <item x="715"/>
        <item x="869"/>
        <item x="169"/>
        <item x="37"/>
        <item x="649"/>
        <item x="643"/>
        <item x="429"/>
        <item x="74"/>
        <item x="793"/>
        <item x="412"/>
        <item x="179"/>
        <item x="502"/>
        <item x="924"/>
        <item x="233"/>
        <item x="582"/>
        <item x="733"/>
        <item x="736"/>
        <item x="94"/>
        <item x="930"/>
        <item x="102"/>
        <item x="975"/>
        <item x="534"/>
        <item x="597"/>
        <item x="223"/>
        <item x="863"/>
        <item x="532"/>
        <item x="876"/>
        <item x="606"/>
        <item x="865"/>
        <item x="828"/>
        <item x="719"/>
        <item x="174"/>
        <item x="354"/>
        <item x="409"/>
        <item x="589"/>
        <item x="139"/>
        <item x="547"/>
        <item x="797"/>
        <item x="247"/>
        <item x="778"/>
        <item x="420"/>
        <item x="921"/>
        <item x="401"/>
        <item x="867"/>
        <item x="926"/>
        <item x="757"/>
        <item x="202"/>
        <item x="969"/>
        <item x="903"/>
        <item x="888"/>
        <item x="194"/>
        <item x="4"/>
        <item x="80"/>
        <item x="476"/>
        <item x="207"/>
        <item x="421"/>
        <item x="619"/>
        <item x="482"/>
        <item x="638"/>
        <item x="119"/>
        <item x="57"/>
        <item x="603"/>
        <item x="521"/>
        <item x="598"/>
        <item x="846"/>
        <item x="620"/>
        <item x="878"/>
        <item x="640"/>
        <item x="357"/>
        <item x="276"/>
        <item x="188"/>
        <item x="791"/>
        <item x="758"/>
        <item x="273"/>
        <item x="52"/>
        <item x="68"/>
        <item x="610"/>
        <item x="588"/>
        <item x="18"/>
        <item x="518"/>
        <item x="258"/>
        <item x="567"/>
        <item x="263"/>
        <item x="774"/>
        <item x="91"/>
        <item x="811"/>
        <item x="49"/>
        <item x="23"/>
        <item x="512"/>
        <item x="459"/>
        <item x="724"/>
        <item x="278"/>
        <item x="615"/>
        <item x="917"/>
        <item x="734"/>
        <item x="484"/>
        <item x="628"/>
        <item x="457"/>
        <item x="81"/>
        <item x="239"/>
        <item x="353"/>
        <item x="802"/>
        <item x="634"/>
        <item x="171"/>
        <item x="711"/>
        <item x="256"/>
        <item x="889"/>
        <item x="356"/>
        <item x="198"/>
        <item x="710"/>
        <item x="229"/>
        <item x="24"/>
        <item x="703"/>
        <item x="380"/>
        <item x="231"/>
        <item x="831"/>
        <item x="633"/>
        <item x="612"/>
        <item x="948"/>
        <item x="870"/>
        <item x="963"/>
        <item x="907"/>
        <item x="591"/>
        <item x="783"/>
        <item x="329"/>
        <item x="905"/>
        <item x="82"/>
        <item x="893"/>
        <item x="6"/>
        <item x="745"/>
        <item x="148"/>
        <item x="704"/>
        <item x="566"/>
        <item x="581"/>
        <item x="935"/>
        <item x="938"/>
        <item x="622"/>
        <item x="14"/>
        <item x="576"/>
        <item x="565"/>
        <item x="937"/>
        <item x="347"/>
        <item x="732"/>
        <item x="104"/>
        <item x="611"/>
        <item x="510"/>
        <item x="197"/>
        <item x="535"/>
        <item x="837"/>
        <item x="992"/>
        <item x="818"/>
        <item x="75"/>
        <item x="17"/>
        <item x="635"/>
        <item x="44"/>
        <item x="531"/>
        <item x="668"/>
        <item x="827"/>
        <item x="85"/>
        <item x="9"/>
        <item x="350"/>
        <item x="468"/>
        <item x="65"/>
        <item x="609"/>
        <item x="417"/>
        <item x="676"/>
        <item x="25"/>
        <item x="803"/>
        <item x="671"/>
        <item x="293"/>
        <item x="288"/>
        <item x="667"/>
        <item x="437"/>
        <item x="752"/>
        <item x="307"/>
        <item x="928"/>
        <item x="862"/>
        <item x="742"/>
        <item x="123"/>
        <item x="953"/>
        <item x="27"/>
        <item x="69"/>
        <item x="195"/>
        <item x="596"/>
        <item x="348"/>
        <item x="411"/>
        <item x="435"/>
        <item x="747"/>
        <item x="985"/>
        <item x="785"/>
        <item x="20"/>
        <item x="670"/>
        <item x="424"/>
        <item x="549"/>
        <item x="210"/>
        <item x="45"/>
        <item x="725"/>
        <item x="770"/>
        <item x="480"/>
        <item x="281"/>
        <item x="641"/>
        <item x="406"/>
        <item x="215"/>
        <item x="204"/>
        <item x="471"/>
        <item x="186"/>
        <item x="396"/>
        <item x="694"/>
        <item x="658"/>
        <item x="995"/>
        <item x="362"/>
        <item x="856"/>
        <item x="986"/>
        <item x="61"/>
        <item x="301"/>
        <item x="901"/>
        <item x="336"/>
        <item x="877"/>
        <item x="447"/>
        <item x="434"/>
        <item x="150"/>
        <item x="572"/>
        <item x="602"/>
        <item x="325"/>
        <item x="677"/>
        <item x="10"/>
        <item x="462"/>
        <item x="861"/>
        <item x="391"/>
        <item x="438"/>
        <item x="627"/>
        <item x="700"/>
        <item x="575"/>
        <item x="650"/>
        <item x="647"/>
        <item x="882"/>
        <item x="500"/>
        <item x="971"/>
        <item x="432"/>
        <item x="674"/>
        <item x="808"/>
        <item x="967"/>
        <item x="790"/>
        <item x="766"/>
        <item x="608"/>
        <item x="407"/>
        <item x="920"/>
        <item x="341"/>
        <item x="753"/>
        <item x="377"/>
        <item x="183"/>
        <item x="390"/>
        <item x="665"/>
        <item x="358"/>
        <item x="299"/>
        <item x="133"/>
        <item x="145"/>
        <item x="113"/>
        <item x="12"/>
        <item x="182"/>
        <item x="970"/>
        <item x="804"/>
        <item x="29"/>
        <item x="898"/>
        <item x="160"/>
        <item x="469"/>
        <item x="819"/>
        <item x="775"/>
        <item x="966"/>
        <item x="890"/>
        <item x="346"/>
        <item x="72"/>
        <item x="584"/>
        <item x="270"/>
        <item x="934"/>
        <item x="561"/>
        <item x="699"/>
        <item x="448"/>
        <item x="285"/>
        <item x="283"/>
        <item x="702"/>
        <item x="885"/>
        <item x="884"/>
        <item x="996"/>
        <item x="385"/>
        <item x="601"/>
        <item x="153"/>
        <item x="365"/>
        <item x="300"/>
        <item x="30"/>
        <item x="964"/>
        <item x="897"/>
        <item x="55"/>
        <item x="178"/>
        <item x="90"/>
        <item x="988"/>
        <item x="225"/>
        <item x="366"/>
        <item x="587"/>
        <item x="84"/>
        <item x="470"/>
        <item x="313"/>
        <item x="222"/>
        <item x="624"/>
        <item x="858"/>
        <item x="316"/>
        <item x="843"/>
        <item x="806"/>
        <item x="659"/>
        <item x="909"/>
        <item x="997"/>
        <item x="292"/>
        <item x="507"/>
        <item x="767"/>
        <item x="708"/>
        <item x="871"/>
        <item x="573"/>
        <item x="978"/>
        <item x="402"/>
        <item x="298"/>
        <item x="13"/>
        <item x="100"/>
        <item x="929"/>
        <item x="764"/>
        <item x="672"/>
        <item x="973"/>
        <item x="916"/>
        <item x="201"/>
        <item x="644"/>
        <item x="663"/>
        <item x="156"/>
        <item x="987"/>
        <item x="208"/>
        <item x="653"/>
        <item x="46"/>
        <item x="595"/>
        <item x="58"/>
        <item x="681"/>
        <item x="559"/>
        <item x="599"/>
        <item x="433"/>
        <item x="317"/>
        <item x="993"/>
        <item x="220"/>
        <item x="639"/>
        <item x="520"/>
        <item x="371"/>
        <item x="682"/>
        <item x="115"/>
        <item x="839"/>
        <item x="673"/>
        <item x="904"/>
        <item x="265"/>
        <item x="830"/>
        <item x="155"/>
        <item x="180"/>
        <item x="777"/>
        <item x="511"/>
        <item x="739"/>
        <item x="339"/>
        <item x="498"/>
        <item x="134"/>
        <item x="121"/>
        <item x="632"/>
        <item x="933"/>
        <item x="250"/>
        <item x="526"/>
        <item x="792"/>
        <item x="60"/>
        <item x="252"/>
        <item x="106"/>
        <item x="327"/>
        <item x="382"/>
        <item x="103"/>
        <item x="695"/>
        <item x="731"/>
        <item x="749"/>
        <item x="330"/>
        <item x="968"/>
        <item x="309"/>
        <item x="607"/>
        <item x="364"/>
        <item x="487"/>
        <item x="900"/>
        <item x="211"/>
        <item x="748"/>
        <item x="782"/>
        <item x="189"/>
        <item x="539"/>
        <item x="414"/>
        <item x="26"/>
        <item x="321"/>
        <item x="120"/>
        <item x="519"/>
        <item x="455"/>
        <item x="951"/>
        <item x="212"/>
        <item x="164"/>
        <item x="161"/>
        <item x="645"/>
        <item x="927"/>
        <item x="557"/>
        <item x="167"/>
        <item x="497"/>
        <item x="359"/>
        <item x="368"/>
        <item x="284"/>
        <item x="568"/>
        <item x="8"/>
        <item x="574"/>
        <item x="728"/>
        <item x="473"/>
        <item x="453"/>
        <item x="824"/>
        <item x="868"/>
        <item x="551"/>
        <item x="376"/>
        <item x="838"/>
        <item x="701"/>
        <item x="400"/>
        <item x="306"/>
        <item x="721"/>
        <item x="384"/>
        <item x="97"/>
        <item x="236"/>
        <item x="48"/>
        <item x="40"/>
        <item x="664"/>
        <item x="427"/>
        <item x="159"/>
        <item x="312"/>
        <item x="822"/>
        <item x="977"/>
        <item x="779"/>
        <item x="370"/>
        <item x="185"/>
        <item x="543"/>
        <item x="717"/>
        <item x="949"/>
        <item x="914"/>
        <item x="77"/>
        <item x="323"/>
        <item x="124"/>
        <item x="707"/>
        <item x="563"/>
        <item x="98"/>
        <item x="374"/>
        <item x="431"/>
        <item x="961"/>
        <item x="823"/>
        <item x="0"/>
        <item x="334"/>
        <item x="545"/>
        <item x="489"/>
        <item x="146"/>
        <item x="918"/>
        <item x="369"/>
        <item x="826"/>
        <item x="128"/>
        <item x="580"/>
        <item x="655"/>
        <item x="506"/>
        <item x="269"/>
        <item x="360"/>
        <item x="906"/>
        <item x="87"/>
        <item x="383"/>
        <item x="940"/>
        <item x="117"/>
        <item x="290"/>
        <item x="422"/>
        <item x="294"/>
        <item x="812"/>
        <item x="118"/>
        <item x="560"/>
        <item x="170"/>
        <item x="585"/>
        <item x="626"/>
        <item x="181"/>
        <item x="848"/>
        <item x="684"/>
        <item x="805"/>
        <item x="481"/>
        <item x="253"/>
        <item x="62"/>
        <item x="408"/>
        <item x="246"/>
        <item x="392"/>
        <item x="267"/>
        <item x="410"/>
        <item x="617"/>
        <item x="554"/>
        <item x="464"/>
        <item x="637"/>
        <item x="477"/>
        <item x="648"/>
        <item x="925"/>
        <item x="466"/>
        <item x="629"/>
        <item x="415"/>
        <item x="219"/>
        <item x="56"/>
        <item x="295"/>
        <item x="419"/>
        <item x="613"/>
        <item x="801"/>
        <item x="192"/>
        <item x="367"/>
        <item x="305"/>
        <item x="337"/>
        <item x="675"/>
        <item x="505"/>
        <item x="217"/>
        <item x="688"/>
        <item x="446"/>
        <item x="149"/>
        <item x="768"/>
        <item x="691"/>
        <item x="196"/>
        <item x="230"/>
        <item x="493"/>
        <item x="50"/>
        <item x="291"/>
        <item x="224"/>
        <item x="112"/>
        <item x="980"/>
        <item x="712"/>
        <item x="351"/>
        <item x="965"/>
        <item x="83"/>
        <item x="922"/>
        <item x="780"/>
        <item x="579"/>
        <item x="832"/>
        <item x="947"/>
        <item x="264"/>
        <item x="795"/>
        <item x="203"/>
        <item x="723"/>
        <item x="163"/>
        <item x="552"/>
        <item x="759"/>
        <item x="200"/>
        <item x="522"/>
        <item x="509"/>
        <item x="63"/>
        <item x="825"/>
        <item x="310"/>
        <item x="605"/>
        <item x="508"/>
        <item x="979"/>
        <item x="461"/>
        <item x="331"/>
        <item x="232"/>
        <item x="416"/>
        <item x="614"/>
        <item x="800"/>
        <item x="817"/>
        <item x="744"/>
        <item x="199"/>
        <item x="853"/>
        <item x="678"/>
        <item x="755"/>
        <item x="43"/>
        <item x="28"/>
        <item x="807"/>
        <item x="892"/>
        <item x="553"/>
        <item x="286"/>
        <item x="541"/>
        <item x="137"/>
        <item x="859"/>
        <item x="548"/>
        <item x="73"/>
        <item x="32"/>
        <item x="944"/>
        <item x="442"/>
        <item x="962"/>
        <item x="216"/>
        <item x="849"/>
        <item x="981"/>
        <item x="95"/>
        <item x="245"/>
        <item x="31"/>
        <item x="919"/>
        <item x="657"/>
        <item x="42"/>
        <item x="135"/>
        <item x="661"/>
        <item x="375"/>
        <item x="107"/>
        <item x="21"/>
        <item x="592"/>
        <item x="594"/>
        <item x="883"/>
        <item x="765"/>
        <item x="257"/>
        <item x="335"/>
        <item x="320"/>
        <item x="716"/>
        <item x="886"/>
        <item x="769"/>
        <item x="850"/>
        <item x="542"/>
        <item x="78"/>
        <item x="322"/>
        <item x="127"/>
        <item x="834"/>
        <item x="193"/>
        <item x="89"/>
        <item x="879"/>
        <item x="268"/>
        <item x="816"/>
        <item x="815"/>
        <item x="166"/>
        <item x="533"/>
        <item x="794"/>
        <item x="642"/>
        <item x="836"/>
        <item x="315"/>
        <item x="687"/>
        <item x="746"/>
        <item x="796"/>
        <item x="266"/>
        <item x="142"/>
        <item x="426"/>
        <item x="472"/>
        <item x="303"/>
        <item x="395"/>
        <item x="860"/>
        <item x="206"/>
        <item x="578"/>
        <item x="623"/>
        <item x="440"/>
        <item x="994"/>
        <item x="130"/>
        <item x="942"/>
        <item x="157"/>
        <item x="651"/>
        <item x="646"/>
        <item x="887"/>
        <item x="523"/>
        <item x="99"/>
        <item x="660"/>
        <item x="277"/>
        <item x="172"/>
        <item x="379"/>
        <item x="483"/>
        <item x="855"/>
        <item x="96"/>
        <item x="616"/>
        <item x="275"/>
        <item x="754"/>
        <item x="450"/>
        <item x="363"/>
        <item x="143"/>
        <item x="389"/>
        <item x="713"/>
        <item x="525"/>
        <item x="93"/>
        <item x="726"/>
        <item x="908"/>
        <item x="381"/>
        <item x="136"/>
        <item x="314"/>
        <item x="308"/>
        <item x="913"/>
        <item x="255"/>
        <item x="486"/>
        <item x="630"/>
        <item x="652"/>
        <item x="237"/>
        <item x="105"/>
        <item x="413"/>
        <item x="762"/>
        <item x="558"/>
        <item x="527"/>
        <item x="625"/>
        <item x="990"/>
        <item x="530"/>
        <item x="952"/>
        <item x="378"/>
        <item x="177"/>
        <item x="669"/>
        <item x="262"/>
        <item x="932"/>
        <item x="982"/>
        <item x="960"/>
        <item x="386"/>
        <item x="851"/>
        <item x="151"/>
        <item x="654"/>
        <item x="735"/>
        <item x="959"/>
        <item x="821"/>
        <item x="564"/>
        <item x="946"/>
        <item x="5"/>
        <item x="110"/>
        <item x="126"/>
        <item x="343"/>
        <item x="902"/>
        <item x="328"/>
        <item x="872"/>
        <item x="842"/>
        <item x="750"/>
        <item x="874"/>
        <item x="698"/>
        <item x="814"/>
        <item x="998"/>
        <item x="788"/>
        <item x="943"/>
        <item x="976"/>
        <item x="271"/>
        <item x="53"/>
        <item x="847"/>
        <item x="789"/>
        <item x="108"/>
        <item x="47"/>
        <item x="7"/>
        <item x="238"/>
        <item x="586"/>
        <item x="571"/>
        <item x="692"/>
        <item x="983"/>
        <item x="771"/>
        <item x="209"/>
        <item x="479"/>
        <item x="538"/>
        <item x="540"/>
        <item x="854"/>
        <item x="875"/>
        <item x="451"/>
        <item x="911"/>
        <item x="833"/>
        <item x="941"/>
        <item x="781"/>
        <item x="372"/>
        <item x="319"/>
        <item x="86"/>
        <item x="131"/>
        <item x="685"/>
        <item x="184"/>
        <item x="311"/>
        <item x="241"/>
        <item x="344"/>
        <item x="296"/>
        <item x="54"/>
        <item x="972"/>
        <item x="125"/>
        <item x="891"/>
        <item x="950"/>
        <item x="954"/>
        <item x="191"/>
        <item x="738"/>
        <item x="773"/>
        <item x="740"/>
        <item x="355"/>
        <item x="515"/>
        <item x="524"/>
        <item x="991"/>
        <item x="38"/>
        <item x="730"/>
        <item x="418"/>
        <item x="36"/>
        <item x="786"/>
        <item x="445"/>
        <item x="454"/>
        <item x="984"/>
        <item x="999"/>
        <item t="default"/>
      </items>
    </pivotField>
    <pivotField axis="axisRow" showAll="0">
      <items count="346">
        <item x="323"/>
        <item x="198"/>
        <item x="71"/>
        <item x="58"/>
        <item x="47"/>
        <item x="310"/>
        <item x="283"/>
        <item x="65"/>
        <item x="229"/>
        <item x="290"/>
        <item x="30"/>
        <item x="329"/>
        <item x="293"/>
        <item x="114"/>
        <item x="108"/>
        <item x="166"/>
        <item x="79"/>
        <item x="336"/>
        <item x="190"/>
        <item x="253"/>
        <item x="168"/>
        <item x="188"/>
        <item x="115"/>
        <item x="141"/>
        <item x="23"/>
        <item x="66"/>
        <item x="64"/>
        <item x="137"/>
        <item x="148"/>
        <item x="202"/>
        <item x="251"/>
        <item x="242"/>
        <item x="265"/>
        <item x="299"/>
        <item x="313"/>
        <item x="8"/>
        <item x="96"/>
        <item x="249"/>
        <item x="337"/>
        <item x="102"/>
        <item x="272"/>
        <item x="230"/>
        <item x="195"/>
        <item x="16"/>
        <item x="97"/>
        <item x="124"/>
        <item x="194"/>
        <item x="80"/>
        <item x="88"/>
        <item x="246"/>
        <item x="111"/>
        <item x="218"/>
        <item x="252"/>
        <item x="92"/>
        <item x="3"/>
        <item x="311"/>
        <item x="199"/>
        <item x="61"/>
        <item x="51"/>
        <item x="301"/>
        <item x="31"/>
        <item x="240"/>
        <item x="208"/>
        <item x="302"/>
        <item x="147"/>
        <item x="220"/>
        <item x="138"/>
        <item x="181"/>
        <item x="78"/>
        <item x="131"/>
        <item x="335"/>
        <item x="178"/>
        <item x="60"/>
        <item x="27"/>
        <item x="83"/>
        <item x="127"/>
        <item x="46"/>
        <item x="232"/>
        <item x="109"/>
        <item x="107"/>
        <item x="259"/>
        <item x="315"/>
        <item x="52"/>
        <item x="118"/>
        <item x="162"/>
        <item x="63"/>
        <item x="134"/>
        <item x="136"/>
        <item x="288"/>
        <item x="14"/>
        <item x="319"/>
        <item x="187"/>
        <item x="68"/>
        <item x="56"/>
        <item x="280"/>
        <item x="210"/>
        <item x="81"/>
        <item x="203"/>
        <item x="204"/>
        <item x="104"/>
        <item x="26"/>
        <item x="158"/>
        <item x="112"/>
        <item x="38"/>
        <item x="105"/>
        <item x="34"/>
        <item x="9"/>
        <item x="40"/>
        <item x="276"/>
        <item x="123"/>
        <item x="234"/>
        <item x="120"/>
        <item x="175"/>
        <item x="334"/>
        <item x="291"/>
        <item x="149"/>
        <item x="130"/>
        <item x="267"/>
        <item x="231"/>
        <item x="45"/>
        <item x="269"/>
        <item x="324"/>
        <item x="85"/>
        <item x="69"/>
        <item x="35"/>
        <item x="171"/>
        <item x="75"/>
        <item x="343"/>
        <item x="2"/>
        <item x="201"/>
        <item x="89"/>
        <item x="67"/>
        <item x="94"/>
        <item x="76"/>
        <item x="101"/>
        <item x="260"/>
        <item x="331"/>
        <item x="86"/>
        <item x="241"/>
        <item x="169"/>
        <item x="286"/>
        <item x="213"/>
        <item x="157"/>
        <item x="7"/>
        <item x="270"/>
        <item x="135"/>
        <item x="122"/>
        <item x="282"/>
        <item x="294"/>
        <item x="100"/>
        <item x="342"/>
        <item x="261"/>
        <item x="307"/>
        <item x="21"/>
        <item x="233"/>
        <item x="36"/>
        <item x="110"/>
        <item x="32"/>
        <item x="172"/>
        <item x="180"/>
        <item x="91"/>
        <item x="258"/>
        <item x="314"/>
        <item x="214"/>
        <item x="93"/>
        <item x="176"/>
        <item x="248"/>
        <item x="263"/>
        <item x="126"/>
        <item x="332"/>
        <item x="338"/>
        <item x="215"/>
        <item x="98"/>
        <item x="197"/>
        <item x="160"/>
        <item x="19"/>
        <item x="128"/>
        <item x="328"/>
        <item x="189"/>
        <item x="327"/>
        <item x="143"/>
        <item x="340"/>
        <item x="1"/>
        <item x="330"/>
        <item x="205"/>
        <item x="333"/>
        <item x="140"/>
        <item x="321"/>
        <item x="228"/>
        <item x="74"/>
        <item x="113"/>
        <item x="243"/>
        <item x="57"/>
        <item x="73"/>
        <item x="39"/>
        <item x="41"/>
        <item x="6"/>
        <item x="59"/>
        <item x="84"/>
        <item x="156"/>
        <item x="44"/>
        <item x="121"/>
        <item x="49"/>
        <item x="255"/>
        <item x="153"/>
        <item x="165"/>
        <item x="146"/>
        <item x="119"/>
        <item x="289"/>
        <item x="244"/>
        <item x="12"/>
        <item x="284"/>
        <item x="191"/>
        <item x="237"/>
        <item x="216"/>
        <item x="155"/>
        <item x="256"/>
        <item x="15"/>
        <item x="320"/>
        <item x="125"/>
        <item x="186"/>
        <item x="129"/>
        <item x="239"/>
        <item x="184"/>
        <item x="95"/>
        <item x="144"/>
        <item x="0"/>
        <item x="245"/>
        <item x="279"/>
        <item x="106"/>
        <item x="43"/>
        <item x="254"/>
        <item x="116"/>
        <item x="192"/>
        <item x="221"/>
        <item x="117"/>
        <item x="247"/>
        <item x="227"/>
        <item x="317"/>
        <item x="275"/>
        <item x="287"/>
        <item x="257"/>
        <item x="173"/>
        <item x="28"/>
        <item x="20"/>
        <item x="236"/>
        <item x="235"/>
        <item x="50"/>
        <item x="222"/>
        <item x="225"/>
        <item x="72"/>
        <item x="142"/>
        <item x="185"/>
        <item x="37"/>
        <item x="196"/>
        <item x="295"/>
        <item x="152"/>
        <item x="304"/>
        <item x="193"/>
        <item x="77"/>
        <item x="300"/>
        <item x="164"/>
        <item x="139"/>
        <item x="145"/>
        <item x="266"/>
        <item x="292"/>
        <item x="262"/>
        <item x="296"/>
        <item x="200"/>
        <item x="62"/>
        <item x="326"/>
        <item x="177"/>
        <item x="305"/>
        <item x="325"/>
        <item x="298"/>
        <item x="167"/>
        <item x="285"/>
        <item x="278"/>
        <item x="29"/>
        <item x="339"/>
        <item x="316"/>
        <item x="211"/>
        <item x="238"/>
        <item x="82"/>
        <item x="174"/>
        <item x="212"/>
        <item x="309"/>
        <item x="87"/>
        <item x="170"/>
        <item x="312"/>
        <item x="48"/>
        <item x="163"/>
        <item x="277"/>
        <item x="297"/>
        <item x="268"/>
        <item x="322"/>
        <item x="159"/>
        <item x="206"/>
        <item x="133"/>
        <item x="10"/>
        <item x="154"/>
        <item x="306"/>
        <item x="90"/>
        <item x="182"/>
        <item x="271"/>
        <item x="223"/>
        <item x="308"/>
        <item x="54"/>
        <item x="17"/>
        <item x="161"/>
        <item x="24"/>
        <item x="150"/>
        <item x="341"/>
        <item x="5"/>
        <item x="318"/>
        <item x="250"/>
        <item x="70"/>
        <item x="207"/>
        <item x="13"/>
        <item x="25"/>
        <item x="99"/>
        <item x="4"/>
        <item x="209"/>
        <item x="264"/>
        <item x="219"/>
        <item x="226"/>
        <item x="55"/>
        <item x="42"/>
        <item x="18"/>
        <item x="303"/>
        <item x="183"/>
        <item x="151"/>
        <item x="224"/>
        <item x="11"/>
        <item x="103"/>
        <item x="217"/>
        <item x="274"/>
        <item x="53"/>
        <item x="33"/>
        <item x="132"/>
        <item x="273"/>
        <item x="281"/>
        <item x="179"/>
        <item x="22"/>
        <item x="344"/>
        <item t="default"/>
      </items>
    </pivotField>
    <pivotField showAll="0"/>
    <pivotField showAll="0"/>
    <pivotField showAll="0"/>
    <pivotField showAll="0">
      <items count="6">
        <item x="0"/>
        <item x="1"/>
        <item x="3"/>
        <item x="2"/>
        <item x="4"/>
        <item t="default"/>
      </items>
    </pivotField>
    <pivotField showAll="0"/>
    <pivotField axis="axisRow" showAll="0">
      <items count="6">
        <item x="0"/>
        <item x="2"/>
        <item x="1"/>
        <item x="3"/>
        <item x="4"/>
        <item t="default"/>
      </items>
    </pivotField>
    <pivotField showAll="0"/>
    <pivotField showAll="0"/>
    <pivotField showAll="0"/>
    <pivotField showAll="0"/>
    <pivotField dataField="1" showAll="0"/>
    <pivotField multipleItemSelectionAllowed="1" showAll="0">
      <items count="4">
        <item h="1" x="1"/>
        <item x="0"/>
        <item h="1"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5">
    <field x="17"/>
    <field x="16"/>
    <field x="15"/>
    <field x="1"/>
    <field x="7"/>
  </rowFields>
  <rowItems count="3">
    <i>
      <x v="1"/>
    </i>
    <i>
      <x v="2"/>
    </i>
    <i t="grand">
      <x/>
    </i>
  </rowItems>
  <colItems count="1">
    <i/>
  </colItems>
  <dataFields count="1">
    <dataField name="Average of Adjusted ROI" fld="12" subtotal="average"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1F2975-2B8A-4B98-AB6C-FE898001934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2:T16" firstHeaderRow="1" firstDataRow="2" firstDataCol="1"/>
  <pivotFields count="18">
    <pivotField showAll="0">
      <items count="1001">
        <item x="352"/>
        <item x="71"/>
        <item x="689"/>
        <item x="279"/>
        <item x="852"/>
        <item x="939"/>
        <item x="504"/>
        <item x="514"/>
        <item x="254"/>
        <item x="492"/>
        <item x="562"/>
        <item x="772"/>
        <item x="441"/>
        <item x="175"/>
        <item x="405"/>
        <item x="227"/>
        <item x="39"/>
        <item x="248"/>
        <item x="111"/>
        <item x="349"/>
        <item x="332"/>
        <item x="544"/>
        <item x="760"/>
        <item x="280"/>
        <item x="338"/>
        <item x="259"/>
        <item x="895"/>
        <item x="361"/>
        <item x="528"/>
        <item x="618"/>
        <item x="741"/>
        <item x="491"/>
        <item x="187"/>
        <item x="679"/>
        <item x="116"/>
        <item x="460"/>
        <item x="570"/>
        <item x="899"/>
        <item x="604"/>
        <item x="404"/>
        <item x="690"/>
        <item x="631"/>
        <item x="880"/>
        <item x="2"/>
        <item x="569"/>
        <item x="841"/>
        <item x="165"/>
        <item x="915"/>
        <item x="873"/>
        <item x="475"/>
        <item x="516"/>
        <item x="59"/>
        <item x="577"/>
        <item x="154"/>
        <item x="190"/>
        <item x="680"/>
        <item x="152"/>
        <item x="556"/>
        <item x="756"/>
        <item x="342"/>
        <item x="593"/>
        <item x="272"/>
        <item x="101"/>
        <item x="398"/>
        <item x="318"/>
        <item x="555"/>
        <item x="727"/>
        <item x="430"/>
        <item x="910"/>
        <item x="474"/>
        <item x="705"/>
        <item x="393"/>
        <item x="546"/>
        <item x="931"/>
        <item x="820"/>
        <item x="140"/>
        <item x="218"/>
        <item x="394"/>
        <item x="425"/>
        <item x="787"/>
        <item x="397"/>
        <item x="840"/>
        <item x="444"/>
        <item x="76"/>
        <item x="718"/>
        <item x="345"/>
        <item x="923"/>
        <item x="373"/>
        <item x="829"/>
        <item x="33"/>
        <item x="15"/>
        <item x="221"/>
        <item x="478"/>
        <item x="714"/>
        <item x="798"/>
        <item x="387"/>
        <item x="501"/>
        <item x="244"/>
        <item x="16"/>
        <item x="205"/>
        <item x="513"/>
        <item x="495"/>
        <item x="234"/>
        <item x="456"/>
        <item x="894"/>
        <item x="536"/>
        <item x="41"/>
        <item x="485"/>
        <item x="776"/>
        <item x="22"/>
        <item x="138"/>
        <item x="696"/>
        <item x="144"/>
        <item x="11"/>
        <item x="799"/>
        <item x="35"/>
        <item x="590"/>
        <item x="958"/>
        <item x="488"/>
        <item x="720"/>
        <item x="864"/>
        <item x="173"/>
        <item x="494"/>
        <item x="463"/>
        <item x="132"/>
        <item x="436"/>
        <item x="388"/>
        <item x="304"/>
        <item x="490"/>
        <item x="621"/>
        <item x="697"/>
        <item x="34"/>
        <item x="297"/>
        <item x="458"/>
        <item x="737"/>
        <item x="449"/>
        <item x="810"/>
        <item x="496"/>
        <item x="243"/>
        <item x="403"/>
        <item x="324"/>
        <item x="957"/>
        <item x="428"/>
        <item x="240"/>
        <item x="662"/>
        <item x="92"/>
        <item x="465"/>
        <item x="213"/>
        <item x="452"/>
        <item x="19"/>
        <item x="423"/>
        <item x="1"/>
        <item x="709"/>
        <item x="122"/>
        <item x="706"/>
        <item x="722"/>
        <item x="287"/>
        <item x="936"/>
        <item x="467"/>
        <item x="881"/>
        <item x="912"/>
        <item x="974"/>
        <item x="399"/>
        <item x="529"/>
        <item x="274"/>
        <item x="583"/>
        <item x="79"/>
        <item x="282"/>
        <item x="499"/>
        <item x="326"/>
        <item x="235"/>
        <item x="168"/>
        <item x="550"/>
        <item x="176"/>
        <item x="686"/>
        <item x="729"/>
        <item x="242"/>
        <item x="989"/>
        <item x="214"/>
        <item x="333"/>
        <item x="302"/>
        <item x="129"/>
        <item x="3"/>
        <item x="751"/>
        <item x="857"/>
        <item x="228"/>
        <item x="66"/>
        <item x="289"/>
        <item x="666"/>
        <item x="114"/>
        <item x="51"/>
        <item x="249"/>
        <item x="226"/>
        <item x="64"/>
        <item x="260"/>
        <item x="945"/>
        <item x="261"/>
        <item x="162"/>
        <item x="251"/>
        <item x="517"/>
        <item x="743"/>
        <item x="845"/>
        <item x="866"/>
        <item x="763"/>
        <item x="537"/>
        <item x="141"/>
        <item x="67"/>
        <item x="147"/>
        <item x="693"/>
        <item x="600"/>
        <item x="88"/>
        <item x="656"/>
        <item x="835"/>
        <item x="809"/>
        <item x="503"/>
        <item x="340"/>
        <item x="443"/>
        <item x="109"/>
        <item x="761"/>
        <item x="956"/>
        <item x="784"/>
        <item x="683"/>
        <item x="70"/>
        <item x="636"/>
        <item x="813"/>
        <item x="896"/>
        <item x="158"/>
        <item x="439"/>
        <item x="955"/>
        <item x="844"/>
        <item x="715"/>
        <item x="869"/>
        <item x="169"/>
        <item x="37"/>
        <item x="649"/>
        <item x="643"/>
        <item x="429"/>
        <item x="74"/>
        <item x="793"/>
        <item x="412"/>
        <item x="179"/>
        <item x="502"/>
        <item x="924"/>
        <item x="233"/>
        <item x="582"/>
        <item x="733"/>
        <item x="736"/>
        <item x="94"/>
        <item x="930"/>
        <item x="102"/>
        <item x="975"/>
        <item x="534"/>
        <item x="597"/>
        <item x="223"/>
        <item x="863"/>
        <item x="532"/>
        <item x="876"/>
        <item x="606"/>
        <item x="865"/>
        <item x="828"/>
        <item x="719"/>
        <item x="174"/>
        <item x="354"/>
        <item x="409"/>
        <item x="589"/>
        <item x="139"/>
        <item x="547"/>
        <item x="797"/>
        <item x="247"/>
        <item x="778"/>
        <item x="420"/>
        <item x="921"/>
        <item x="401"/>
        <item x="867"/>
        <item x="926"/>
        <item x="757"/>
        <item x="202"/>
        <item x="969"/>
        <item x="903"/>
        <item x="888"/>
        <item x="194"/>
        <item x="4"/>
        <item x="80"/>
        <item x="476"/>
        <item x="207"/>
        <item x="421"/>
        <item x="619"/>
        <item x="482"/>
        <item x="638"/>
        <item x="119"/>
        <item x="57"/>
        <item x="603"/>
        <item x="521"/>
        <item x="598"/>
        <item x="846"/>
        <item x="620"/>
        <item x="878"/>
        <item x="640"/>
        <item x="357"/>
        <item x="276"/>
        <item x="188"/>
        <item x="791"/>
        <item x="758"/>
        <item x="273"/>
        <item x="52"/>
        <item x="68"/>
        <item x="610"/>
        <item x="588"/>
        <item x="18"/>
        <item x="518"/>
        <item x="258"/>
        <item x="567"/>
        <item x="263"/>
        <item x="774"/>
        <item x="91"/>
        <item x="811"/>
        <item x="49"/>
        <item x="23"/>
        <item x="512"/>
        <item x="459"/>
        <item x="724"/>
        <item x="278"/>
        <item x="615"/>
        <item x="917"/>
        <item x="734"/>
        <item x="484"/>
        <item x="628"/>
        <item x="457"/>
        <item x="81"/>
        <item x="239"/>
        <item x="353"/>
        <item x="802"/>
        <item x="634"/>
        <item x="171"/>
        <item x="711"/>
        <item x="256"/>
        <item x="889"/>
        <item x="356"/>
        <item x="198"/>
        <item x="710"/>
        <item x="229"/>
        <item x="24"/>
        <item x="703"/>
        <item x="380"/>
        <item x="231"/>
        <item x="831"/>
        <item x="633"/>
        <item x="612"/>
        <item x="948"/>
        <item x="870"/>
        <item x="963"/>
        <item x="907"/>
        <item x="591"/>
        <item x="783"/>
        <item x="329"/>
        <item x="905"/>
        <item x="82"/>
        <item x="893"/>
        <item x="6"/>
        <item x="745"/>
        <item x="148"/>
        <item x="704"/>
        <item x="566"/>
        <item x="581"/>
        <item x="935"/>
        <item x="938"/>
        <item x="622"/>
        <item x="14"/>
        <item x="576"/>
        <item x="565"/>
        <item x="937"/>
        <item x="347"/>
        <item x="732"/>
        <item x="104"/>
        <item x="611"/>
        <item x="510"/>
        <item x="197"/>
        <item x="535"/>
        <item x="837"/>
        <item x="992"/>
        <item x="818"/>
        <item x="75"/>
        <item x="17"/>
        <item x="635"/>
        <item x="44"/>
        <item x="531"/>
        <item x="668"/>
        <item x="827"/>
        <item x="85"/>
        <item x="9"/>
        <item x="350"/>
        <item x="468"/>
        <item x="65"/>
        <item x="609"/>
        <item x="417"/>
        <item x="676"/>
        <item x="25"/>
        <item x="803"/>
        <item x="671"/>
        <item x="293"/>
        <item x="288"/>
        <item x="667"/>
        <item x="437"/>
        <item x="752"/>
        <item x="307"/>
        <item x="928"/>
        <item x="862"/>
        <item x="742"/>
        <item x="123"/>
        <item x="953"/>
        <item x="27"/>
        <item x="69"/>
        <item x="195"/>
        <item x="596"/>
        <item x="348"/>
        <item x="411"/>
        <item x="435"/>
        <item x="747"/>
        <item x="985"/>
        <item x="785"/>
        <item x="20"/>
        <item x="670"/>
        <item x="424"/>
        <item x="549"/>
        <item x="210"/>
        <item x="45"/>
        <item x="725"/>
        <item x="770"/>
        <item x="480"/>
        <item x="281"/>
        <item x="641"/>
        <item x="406"/>
        <item x="215"/>
        <item x="204"/>
        <item x="471"/>
        <item x="186"/>
        <item x="396"/>
        <item x="694"/>
        <item x="658"/>
        <item x="995"/>
        <item x="362"/>
        <item x="856"/>
        <item x="986"/>
        <item x="61"/>
        <item x="301"/>
        <item x="901"/>
        <item x="336"/>
        <item x="877"/>
        <item x="447"/>
        <item x="434"/>
        <item x="150"/>
        <item x="572"/>
        <item x="602"/>
        <item x="325"/>
        <item x="677"/>
        <item x="10"/>
        <item x="462"/>
        <item x="861"/>
        <item x="391"/>
        <item x="438"/>
        <item x="627"/>
        <item x="700"/>
        <item x="575"/>
        <item x="650"/>
        <item x="647"/>
        <item x="882"/>
        <item x="500"/>
        <item x="971"/>
        <item x="432"/>
        <item x="674"/>
        <item x="808"/>
        <item x="967"/>
        <item x="790"/>
        <item x="766"/>
        <item x="608"/>
        <item x="407"/>
        <item x="920"/>
        <item x="341"/>
        <item x="753"/>
        <item x="377"/>
        <item x="183"/>
        <item x="390"/>
        <item x="665"/>
        <item x="358"/>
        <item x="299"/>
        <item x="133"/>
        <item x="145"/>
        <item x="113"/>
        <item x="12"/>
        <item x="182"/>
        <item x="970"/>
        <item x="804"/>
        <item x="29"/>
        <item x="898"/>
        <item x="160"/>
        <item x="469"/>
        <item x="819"/>
        <item x="775"/>
        <item x="966"/>
        <item x="890"/>
        <item x="346"/>
        <item x="72"/>
        <item x="584"/>
        <item x="270"/>
        <item x="934"/>
        <item x="561"/>
        <item x="699"/>
        <item x="448"/>
        <item x="285"/>
        <item x="283"/>
        <item x="702"/>
        <item x="885"/>
        <item x="884"/>
        <item x="996"/>
        <item x="385"/>
        <item x="601"/>
        <item x="153"/>
        <item x="365"/>
        <item x="300"/>
        <item x="30"/>
        <item x="964"/>
        <item x="897"/>
        <item x="55"/>
        <item x="178"/>
        <item x="90"/>
        <item x="988"/>
        <item x="225"/>
        <item x="366"/>
        <item x="587"/>
        <item x="84"/>
        <item x="470"/>
        <item x="313"/>
        <item x="222"/>
        <item x="624"/>
        <item x="858"/>
        <item x="316"/>
        <item x="843"/>
        <item x="806"/>
        <item x="659"/>
        <item x="909"/>
        <item x="997"/>
        <item x="292"/>
        <item x="507"/>
        <item x="767"/>
        <item x="708"/>
        <item x="871"/>
        <item x="573"/>
        <item x="978"/>
        <item x="402"/>
        <item x="298"/>
        <item x="13"/>
        <item x="100"/>
        <item x="929"/>
        <item x="764"/>
        <item x="672"/>
        <item x="973"/>
        <item x="916"/>
        <item x="201"/>
        <item x="644"/>
        <item x="663"/>
        <item x="156"/>
        <item x="987"/>
        <item x="208"/>
        <item x="653"/>
        <item x="46"/>
        <item x="595"/>
        <item x="58"/>
        <item x="681"/>
        <item x="559"/>
        <item x="599"/>
        <item x="433"/>
        <item x="317"/>
        <item x="993"/>
        <item x="220"/>
        <item x="639"/>
        <item x="520"/>
        <item x="371"/>
        <item x="682"/>
        <item x="115"/>
        <item x="839"/>
        <item x="673"/>
        <item x="904"/>
        <item x="265"/>
        <item x="830"/>
        <item x="155"/>
        <item x="180"/>
        <item x="777"/>
        <item x="511"/>
        <item x="739"/>
        <item x="339"/>
        <item x="498"/>
        <item x="134"/>
        <item x="121"/>
        <item x="632"/>
        <item x="933"/>
        <item x="250"/>
        <item x="526"/>
        <item x="792"/>
        <item x="60"/>
        <item x="252"/>
        <item x="106"/>
        <item x="327"/>
        <item x="382"/>
        <item x="103"/>
        <item x="695"/>
        <item x="731"/>
        <item x="749"/>
        <item x="330"/>
        <item x="968"/>
        <item x="309"/>
        <item x="607"/>
        <item x="364"/>
        <item x="487"/>
        <item x="900"/>
        <item x="211"/>
        <item x="748"/>
        <item x="782"/>
        <item x="189"/>
        <item x="539"/>
        <item x="414"/>
        <item x="26"/>
        <item x="321"/>
        <item x="120"/>
        <item x="519"/>
        <item x="455"/>
        <item x="951"/>
        <item x="212"/>
        <item x="164"/>
        <item x="161"/>
        <item x="645"/>
        <item x="927"/>
        <item x="557"/>
        <item x="167"/>
        <item x="497"/>
        <item x="359"/>
        <item x="368"/>
        <item x="284"/>
        <item x="568"/>
        <item x="8"/>
        <item x="574"/>
        <item x="728"/>
        <item x="473"/>
        <item x="453"/>
        <item x="824"/>
        <item x="868"/>
        <item x="551"/>
        <item x="376"/>
        <item x="838"/>
        <item x="701"/>
        <item x="400"/>
        <item x="306"/>
        <item x="721"/>
        <item x="384"/>
        <item x="97"/>
        <item x="236"/>
        <item x="48"/>
        <item x="40"/>
        <item x="664"/>
        <item x="427"/>
        <item x="159"/>
        <item x="312"/>
        <item x="822"/>
        <item x="977"/>
        <item x="779"/>
        <item x="370"/>
        <item x="185"/>
        <item x="543"/>
        <item x="717"/>
        <item x="949"/>
        <item x="914"/>
        <item x="77"/>
        <item x="323"/>
        <item x="124"/>
        <item x="707"/>
        <item x="563"/>
        <item x="98"/>
        <item x="374"/>
        <item x="431"/>
        <item x="961"/>
        <item x="823"/>
        <item x="0"/>
        <item x="334"/>
        <item x="545"/>
        <item x="489"/>
        <item x="146"/>
        <item x="918"/>
        <item x="369"/>
        <item x="826"/>
        <item x="128"/>
        <item x="580"/>
        <item x="655"/>
        <item x="506"/>
        <item x="269"/>
        <item x="360"/>
        <item x="906"/>
        <item x="87"/>
        <item x="383"/>
        <item x="940"/>
        <item x="117"/>
        <item x="290"/>
        <item x="422"/>
        <item x="294"/>
        <item x="812"/>
        <item x="118"/>
        <item x="560"/>
        <item x="170"/>
        <item x="585"/>
        <item x="626"/>
        <item x="181"/>
        <item x="848"/>
        <item x="684"/>
        <item x="805"/>
        <item x="481"/>
        <item x="253"/>
        <item x="62"/>
        <item x="408"/>
        <item x="246"/>
        <item x="392"/>
        <item x="267"/>
        <item x="410"/>
        <item x="617"/>
        <item x="554"/>
        <item x="464"/>
        <item x="637"/>
        <item x="477"/>
        <item x="648"/>
        <item x="925"/>
        <item x="466"/>
        <item x="629"/>
        <item x="415"/>
        <item x="219"/>
        <item x="56"/>
        <item x="295"/>
        <item x="419"/>
        <item x="613"/>
        <item x="801"/>
        <item x="192"/>
        <item x="367"/>
        <item x="305"/>
        <item x="337"/>
        <item x="675"/>
        <item x="505"/>
        <item x="217"/>
        <item x="688"/>
        <item x="446"/>
        <item x="149"/>
        <item x="768"/>
        <item x="691"/>
        <item x="196"/>
        <item x="230"/>
        <item x="493"/>
        <item x="50"/>
        <item x="291"/>
        <item x="224"/>
        <item x="112"/>
        <item x="980"/>
        <item x="712"/>
        <item x="351"/>
        <item x="965"/>
        <item x="83"/>
        <item x="922"/>
        <item x="780"/>
        <item x="579"/>
        <item x="832"/>
        <item x="947"/>
        <item x="264"/>
        <item x="795"/>
        <item x="203"/>
        <item x="723"/>
        <item x="163"/>
        <item x="552"/>
        <item x="759"/>
        <item x="200"/>
        <item x="522"/>
        <item x="509"/>
        <item x="63"/>
        <item x="825"/>
        <item x="310"/>
        <item x="605"/>
        <item x="508"/>
        <item x="979"/>
        <item x="461"/>
        <item x="331"/>
        <item x="232"/>
        <item x="416"/>
        <item x="614"/>
        <item x="800"/>
        <item x="817"/>
        <item x="744"/>
        <item x="199"/>
        <item x="853"/>
        <item x="678"/>
        <item x="755"/>
        <item x="43"/>
        <item x="28"/>
        <item x="807"/>
        <item x="892"/>
        <item x="553"/>
        <item x="286"/>
        <item x="541"/>
        <item x="137"/>
        <item x="859"/>
        <item x="548"/>
        <item x="73"/>
        <item x="32"/>
        <item x="944"/>
        <item x="442"/>
        <item x="962"/>
        <item x="216"/>
        <item x="849"/>
        <item x="981"/>
        <item x="95"/>
        <item x="245"/>
        <item x="31"/>
        <item x="919"/>
        <item x="657"/>
        <item x="42"/>
        <item x="135"/>
        <item x="661"/>
        <item x="375"/>
        <item x="107"/>
        <item x="21"/>
        <item x="592"/>
        <item x="594"/>
        <item x="883"/>
        <item x="765"/>
        <item x="257"/>
        <item x="335"/>
        <item x="320"/>
        <item x="716"/>
        <item x="886"/>
        <item x="769"/>
        <item x="850"/>
        <item x="542"/>
        <item x="78"/>
        <item x="322"/>
        <item x="127"/>
        <item x="834"/>
        <item x="193"/>
        <item x="89"/>
        <item x="879"/>
        <item x="268"/>
        <item x="816"/>
        <item x="815"/>
        <item x="166"/>
        <item x="533"/>
        <item x="794"/>
        <item x="642"/>
        <item x="836"/>
        <item x="315"/>
        <item x="687"/>
        <item x="746"/>
        <item x="796"/>
        <item x="266"/>
        <item x="142"/>
        <item x="426"/>
        <item x="472"/>
        <item x="303"/>
        <item x="395"/>
        <item x="860"/>
        <item x="206"/>
        <item x="578"/>
        <item x="623"/>
        <item x="440"/>
        <item x="994"/>
        <item x="130"/>
        <item x="942"/>
        <item x="157"/>
        <item x="651"/>
        <item x="646"/>
        <item x="887"/>
        <item x="523"/>
        <item x="99"/>
        <item x="660"/>
        <item x="277"/>
        <item x="172"/>
        <item x="379"/>
        <item x="483"/>
        <item x="855"/>
        <item x="96"/>
        <item x="616"/>
        <item x="275"/>
        <item x="754"/>
        <item x="450"/>
        <item x="363"/>
        <item x="143"/>
        <item x="389"/>
        <item x="713"/>
        <item x="525"/>
        <item x="93"/>
        <item x="726"/>
        <item x="908"/>
        <item x="381"/>
        <item x="136"/>
        <item x="314"/>
        <item x="308"/>
        <item x="913"/>
        <item x="255"/>
        <item x="486"/>
        <item x="630"/>
        <item x="652"/>
        <item x="237"/>
        <item x="105"/>
        <item x="413"/>
        <item x="762"/>
        <item x="558"/>
        <item x="527"/>
        <item x="625"/>
        <item x="990"/>
        <item x="530"/>
        <item x="952"/>
        <item x="378"/>
        <item x="177"/>
        <item x="669"/>
        <item x="262"/>
        <item x="932"/>
        <item x="982"/>
        <item x="960"/>
        <item x="386"/>
        <item x="851"/>
        <item x="151"/>
        <item x="654"/>
        <item x="735"/>
        <item x="959"/>
        <item x="821"/>
        <item x="564"/>
        <item x="946"/>
        <item x="5"/>
        <item x="110"/>
        <item x="126"/>
        <item x="343"/>
        <item x="902"/>
        <item x="328"/>
        <item x="872"/>
        <item x="842"/>
        <item x="750"/>
        <item x="874"/>
        <item x="698"/>
        <item x="814"/>
        <item x="998"/>
        <item x="788"/>
        <item x="943"/>
        <item x="976"/>
        <item x="271"/>
        <item x="53"/>
        <item x="847"/>
        <item x="789"/>
        <item x="108"/>
        <item x="47"/>
        <item x="7"/>
        <item x="238"/>
        <item x="586"/>
        <item x="571"/>
        <item x="692"/>
        <item x="983"/>
        <item x="771"/>
        <item x="209"/>
        <item x="479"/>
        <item x="538"/>
        <item x="540"/>
        <item x="854"/>
        <item x="875"/>
        <item x="451"/>
        <item x="911"/>
        <item x="833"/>
        <item x="941"/>
        <item x="781"/>
        <item x="372"/>
        <item x="319"/>
        <item x="86"/>
        <item x="131"/>
        <item x="685"/>
        <item x="184"/>
        <item x="311"/>
        <item x="241"/>
        <item x="344"/>
        <item x="296"/>
        <item x="54"/>
        <item x="972"/>
        <item x="125"/>
        <item x="891"/>
        <item x="950"/>
        <item x="954"/>
        <item x="191"/>
        <item x="738"/>
        <item x="773"/>
        <item x="740"/>
        <item x="355"/>
        <item x="515"/>
        <item x="524"/>
        <item x="991"/>
        <item x="38"/>
        <item x="730"/>
        <item x="418"/>
        <item x="36"/>
        <item x="786"/>
        <item x="445"/>
        <item x="454"/>
        <item x="984"/>
        <item x="999"/>
        <item t="default"/>
      </items>
    </pivotField>
    <pivotField axis="axisRow" showAll="0">
      <items count="346">
        <item x="323"/>
        <item x="198"/>
        <item x="71"/>
        <item x="58"/>
        <item x="47"/>
        <item x="310"/>
        <item x="283"/>
        <item x="65"/>
        <item x="229"/>
        <item x="290"/>
        <item x="30"/>
        <item x="329"/>
        <item x="293"/>
        <item x="114"/>
        <item x="108"/>
        <item x="166"/>
        <item x="79"/>
        <item x="336"/>
        <item x="190"/>
        <item x="253"/>
        <item x="168"/>
        <item x="188"/>
        <item x="115"/>
        <item x="141"/>
        <item x="23"/>
        <item x="66"/>
        <item x="64"/>
        <item x="137"/>
        <item x="148"/>
        <item x="202"/>
        <item x="251"/>
        <item x="242"/>
        <item x="265"/>
        <item x="299"/>
        <item x="313"/>
        <item x="8"/>
        <item x="96"/>
        <item x="249"/>
        <item x="337"/>
        <item x="102"/>
        <item x="272"/>
        <item x="230"/>
        <item x="195"/>
        <item x="16"/>
        <item x="97"/>
        <item x="124"/>
        <item x="194"/>
        <item x="80"/>
        <item x="88"/>
        <item x="246"/>
        <item x="111"/>
        <item x="218"/>
        <item x="252"/>
        <item x="92"/>
        <item x="3"/>
        <item x="311"/>
        <item x="199"/>
        <item x="61"/>
        <item x="51"/>
        <item x="301"/>
        <item x="31"/>
        <item x="240"/>
        <item x="208"/>
        <item x="302"/>
        <item x="147"/>
        <item x="220"/>
        <item x="138"/>
        <item x="181"/>
        <item x="78"/>
        <item x="131"/>
        <item x="335"/>
        <item x="178"/>
        <item x="60"/>
        <item x="27"/>
        <item x="83"/>
        <item x="127"/>
        <item x="46"/>
        <item x="232"/>
        <item x="109"/>
        <item x="107"/>
        <item x="259"/>
        <item x="315"/>
        <item x="52"/>
        <item x="118"/>
        <item x="162"/>
        <item x="63"/>
        <item x="134"/>
        <item x="136"/>
        <item x="288"/>
        <item x="14"/>
        <item x="319"/>
        <item x="187"/>
        <item x="68"/>
        <item x="56"/>
        <item x="280"/>
        <item x="210"/>
        <item x="81"/>
        <item x="203"/>
        <item x="204"/>
        <item x="104"/>
        <item x="26"/>
        <item x="158"/>
        <item x="112"/>
        <item x="38"/>
        <item x="105"/>
        <item x="34"/>
        <item x="9"/>
        <item x="40"/>
        <item x="276"/>
        <item x="123"/>
        <item x="234"/>
        <item x="120"/>
        <item x="175"/>
        <item x="334"/>
        <item x="291"/>
        <item x="149"/>
        <item x="130"/>
        <item x="267"/>
        <item x="231"/>
        <item x="45"/>
        <item x="269"/>
        <item x="324"/>
        <item x="85"/>
        <item x="69"/>
        <item x="35"/>
        <item x="171"/>
        <item x="75"/>
        <item x="343"/>
        <item x="2"/>
        <item x="201"/>
        <item x="89"/>
        <item x="67"/>
        <item x="94"/>
        <item x="76"/>
        <item x="101"/>
        <item x="260"/>
        <item x="331"/>
        <item x="86"/>
        <item x="241"/>
        <item x="169"/>
        <item x="286"/>
        <item x="213"/>
        <item x="157"/>
        <item x="7"/>
        <item x="270"/>
        <item x="135"/>
        <item x="122"/>
        <item x="282"/>
        <item x="294"/>
        <item x="100"/>
        <item x="342"/>
        <item x="261"/>
        <item x="307"/>
        <item x="21"/>
        <item x="233"/>
        <item x="36"/>
        <item x="110"/>
        <item x="32"/>
        <item x="172"/>
        <item x="180"/>
        <item x="91"/>
        <item x="258"/>
        <item x="314"/>
        <item x="214"/>
        <item x="93"/>
        <item x="176"/>
        <item x="248"/>
        <item x="263"/>
        <item x="126"/>
        <item x="332"/>
        <item x="338"/>
        <item x="215"/>
        <item x="98"/>
        <item x="197"/>
        <item x="160"/>
        <item x="19"/>
        <item x="128"/>
        <item x="328"/>
        <item x="189"/>
        <item x="327"/>
        <item x="143"/>
        <item x="340"/>
        <item x="1"/>
        <item x="330"/>
        <item x="205"/>
        <item x="333"/>
        <item x="140"/>
        <item x="321"/>
        <item x="228"/>
        <item x="74"/>
        <item x="113"/>
        <item x="243"/>
        <item x="57"/>
        <item x="73"/>
        <item x="39"/>
        <item x="41"/>
        <item x="6"/>
        <item x="59"/>
        <item x="84"/>
        <item x="156"/>
        <item x="44"/>
        <item x="121"/>
        <item x="49"/>
        <item x="255"/>
        <item x="153"/>
        <item x="165"/>
        <item x="146"/>
        <item x="119"/>
        <item x="289"/>
        <item x="244"/>
        <item x="12"/>
        <item x="284"/>
        <item x="191"/>
        <item x="237"/>
        <item x="216"/>
        <item x="155"/>
        <item x="256"/>
        <item x="15"/>
        <item x="320"/>
        <item x="125"/>
        <item x="186"/>
        <item x="129"/>
        <item x="239"/>
        <item x="184"/>
        <item x="95"/>
        <item x="144"/>
        <item x="0"/>
        <item x="245"/>
        <item x="279"/>
        <item x="106"/>
        <item x="43"/>
        <item x="254"/>
        <item x="116"/>
        <item x="192"/>
        <item x="221"/>
        <item x="117"/>
        <item x="247"/>
        <item x="227"/>
        <item x="317"/>
        <item x="275"/>
        <item x="287"/>
        <item x="257"/>
        <item x="173"/>
        <item x="28"/>
        <item x="20"/>
        <item x="236"/>
        <item x="235"/>
        <item x="50"/>
        <item x="222"/>
        <item x="225"/>
        <item x="72"/>
        <item x="142"/>
        <item x="185"/>
        <item x="37"/>
        <item x="196"/>
        <item x="295"/>
        <item x="152"/>
        <item x="304"/>
        <item x="193"/>
        <item x="77"/>
        <item x="300"/>
        <item x="164"/>
        <item x="139"/>
        <item x="145"/>
        <item x="266"/>
        <item x="292"/>
        <item x="262"/>
        <item x="296"/>
        <item x="200"/>
        <item x="62"/>
        <item x="326"/>
        <item x="177"/>
        <item x="305"/>
        <item x="325"/>
        <item x="298"/>
        <item x="167"/>
        <item x="285"/>
        <item x="278"/>
        <item x="29"/>
        <item x="339"/>
        <item x="316"/>
        <item x="211"/>
        <item x="238"/>
        <item x="82"/>
        <item x="174"/>
        <item x="212"/>
        <item x="309"/>
        <item x="87"/>
        <item x="170"/>
        <item x="312"/>
        <item x="48"/>
        <item x="163"/>
        <item x="277"/>
        <item x="297"/>
        <item x="268"/>
        <item x="322"/>
        <item x="159"/>
        <item x="206"/>
        <item x="133"/>
        <item x="10"/>
        <item x="154"/>
        <item x="306"/>
        <item x="90"/>
        <item x="182"/>
        <item x="271"/>
        <item x="223"/>
        <item x="308"/>
        <item x="54"/>
        <item x="17"/>
        <item x="161"/>
        <item x="24"/>
        <item x="150"/>
        <item x="341"/>
        <item x="5"/>
        <item x="318"/>
        <item x="250"/>
        <item x="70"/>
        <item x="207"/>
        <item x="13"/>
        <item x="25"/>
        <item x="99"/>
        <item x="4"/>
        <item x="209"/>
        <item x="264"/>
        <item x="219"/>
        <item x="226"/>
        <item x="55"/>
        <item x="42"/>
        <item x="18"/>
        <item x="303"/>
        <item x="183"/>
        <item x="151"/>
        <item x="224"/>
        <item x="11"/>
        <item x="103"/>
        <item x="217"/>
        <item x="274"/>
        <item x="53"/>
        <item x="33"/>
        <item x="132"/>
        <item x="273"/>
        <item x="281"/>
        <item x="179"/>
        <item x="22"/>
        <item x="344"/>
        <item t="default"/>
      </items>
    </pivotField>
    <pivotField showAll="0"/>
    <pivotField showAll="0"/>
    <pivotField showAll="0"/>
    <pivotField showAll="0">
      <items count="6">
        <item x="0"/>
        <item x="1"/>
        <item x="3"/>
        <item x="2"/>
        <item x="4"/>
        <item t="default"/>
      </items>
    </pivotField>
    <pivotField showAll="0"/>
    <pivotField axis="axisCol" showAll="0">
      <items count="6">
        <item x="0"/>
        <item x="2"/>
        <item x="1"/>
        <item x="3"/>
        <item x="4"/>
        <item t="default"/>
      </items>
    </pivotField>
    <pivotField showAll="0"/>
    <pivotField showAll="0"/>
    <pivotField showAll="0"/>
    <pivotField showAll="0"/>
    <pivotField dataField="1" showAll="0"/>
    <pivotField multipleItemSelectionAllowed="1" showAll="0">
      <items count="4">
        <item h="1" x="1"/>
        <item x="0"/>
        <item h="1"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7"/>
    <field x="16"/>
    <field x="15"/>
    <field x="1"/>
  </rowFields>
  <rowItems count="3">
    <i>
      <x v="1"/>
    </i>
    <i>
      <x v="2"/>
    </i>
    <i t="grand">
      <x/>
    </i>
  </rowItems>
  <colFields count="1">
    <field x="7"/>
  </colFields>
  <colItems count="5">
    <i>
      <x/>
    </i>
    <i>
      <x v="1"/>
    </i>
    <i>
      <x v="2"/>
    </i>
    <i>
      <x v="3"/>
    </i>
    <i t="grand">
      <x/>
    </i>
  </colItems>
  <dataFields count="1">
    <dataField name="Average of Adjusted ROI" fld="12" subtotal="average" baseField="17" baseItem="0"/>
  </dataFields>
  <chartFormats count="6">
    <chartFormat chart="3" format="5" series="1">
      <pivotArea type="data" outline="0" fieldPosition="0">
        <references count="2">
          <reference field="4294967294" count="1" selected="0">
            <x v="0"/>
          </reference>
          <reference field="7" count="1" selected="0">
            <x v="0"/>
          </reference>
        </references>
      </pivotArea>
    </chartFormat>
    <chartFormat chart="3" format="6" series="1">
      <pivotArea type="data" outline="0" fieldPosition="0">
        <references count="2">
          <reference field="4294967294" count="1" selected="0">
            <x v="0"/>
          </reference>
          <reference field="7" count="1" selected="0">
            <x v="1"/>
          </reference>
        </references>
      </pivotArea>
    </chartFormat>
    <chartFormat chart="3" format="7" series="1">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2">
          <reference field="4294967294" count="1" selected="0">
            <x v="0"/>
          </reference>
          <reference field="7" count="1" selected="0">
            <x v="3"/>
          </reference>
        </references>
      </pivotArea>
    </chartFormat>
    <chartFormat chart="3" format="9" series="1">
      <pivotArea type="data" outline="0" fieldPosition="0">
        <references count="2">
          <reference field="4294967294" count="1" selected="0">
            <x v="0"/>
          </reference>
          <reference field="7" count="1" selected="0">
            <x v="4"/>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D1E2EBE-4781-45F7-B84A-8BD03B796CE0}" sourceName="[Table2].[channel]">
  <data>
    <olap pivotCacheId="1243467293">
      <levels count="2">
        <level uniqueName="[Table2].[channel].[(All)]" sourceCaption="(All)" count="0"/>
        <level uniqueName="[Table2].[channel].[channel]" sourceCaption="channel" count="4">
          <ranges>
            <range startItem="0">
              <i n="[Table2].[channel].&amp;[organic]" c="organic"/>
              <i n="[Table2].[channel].&amp;[paid]" c="paid"/>
              <i n="[Table2].[channel].&amp;[promotion]" c="promotion"/>
              <i n="[Table2].[channel].&amp;[referral]" c="referral"/>
            </range>
          </ranges>
        </level>
      </levels>
      <selections count="1">
        <selection n="[Table2].[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8E736E5-3516-4333-9FEF-D173DC9634C3}" sourceName="[Table2].[type]">
  <data>
    <olap pivotCacheId="1243467293">
      <levels count="2">
        <level uniqueName="[Table2].[type].[(All)]" sourceCaption="(All)" count="0"/>
        <level uniqueName="[Table2].[type].[type]" sourceCaption="type" count="4">
          <ranges>
            <range startItem="0">
              <i n="[Table2].[type].&amp;[email]" c="email"/>
              <i n="[Table2].[type].&amp;[podcast]" c="podcast"/>
              <i n="[Table2].[type].&amp;[social media]" c="social media"/>
              <i n="[Table2].[type].&amp;[webinar]" c="webinar"/>
            </range>
          </ranges>
        </level>
      </levels>
      <selections count="1">
        <selection n="[Table2].[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I_status" xr10:uid="{37EBA497-AADB-4835-8CD0-159A5FC157A3}" sourceName="[Table2].[ROI status]">
  <data>
    <olap pivotCacheId="1243467293">
      <levels count="2">
        <level uniqueName="[Table2].[ROI status].[(All)]" sourceCaption="(All)" count="0"/>
        <level uniqueName="[Table2].[ROI status].[ROI status]" sourceCaption="ROI status" count="2">
          <ranges>
            <range startItem="0">
              <i n="[Table2].[ROI status].&amp;[Failed]" c="Failed"/>
              <i n="[Table2].[ROI status].&amp;[OK]" c="OK"/>
            </range>
          </ranges>
        </level>
      </levels>
      <selections count="1">
        <selection n="[Table2].[ROI status].&amp;[Faile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date" xr10:uid="{4EA66256-AAF2-43CB-BF78-F6F7F547DA40}" sourceName="[Table2].[start_date]">
  <data>
    <olap pivotCacheId="1243467293">
      <levels count="2">
        <level uniqueName="[Table2].[start_date].[(All)]" sourceCaption="(All)" count="0"/>
        <level uniqueName="[Table2].[start_date].[start_date]" sourceCaption="start_date" count="344">
          <ranges>
            <range startItem="0">
              <i n="[Table2].[start_date].&amp;[2022-08-02T00:00:00]" c="8/2/2022"/>
              <i n="[Table2].[start_date].&amp;[2022-08-03T00:00:00]" c="8/3/2022"/>
              <i n="[Table2].[start_date].&amp;[2022-08-04T00:00:00]" c="8/4/2022"/>
              <i n="[Table2].[start_date].&amp;[2022-08-05T00:00:00]" c="8/5/2022"/>
              <i n="[Table2].[start_date].&amp;[2022-08-06T00:00:00]" c="8/6/2022"/>
              <i n="[Table2].[start_date].&amp;[2022-08-07T00:00:00]" c="8/7/2022"/>
              <i n="[Table2].[start_date].&amp;[2022-08-08T00:00:00]" c="8/8/2022"/>
              <i n="[Table2].[start_date].&amp;[2022-08-09T00:00:00]" c="8/9/2022"/>
              <i n="[Table2].[start_date].&amp;[2022-08-10T00:00:00]" c="8/10/2022"/>
              <i n="[Table2].[start_date].&amp;[2022-08-11T00:00:00]" c="8/11/2022"/>
              <i n="[Table2].[start_date].&amp;[2022-08-12T00:00:00]" c="8/12/2022"/>
              <i n="[Table2].[start_date].&amp;[2022-08-13T00:00:00]" c="8/13/2022"/>
              <i n="[Table2].[start_date].&amp;[2022-08-14T00:00:00]" c="8/14/2022"/>
              <i n="[Table2].[start_date].&amp;[2022-08-15T00:00:00]" c="8/15/2022"/>
              <i n="[Table2].[start_date].&amp;[2022-08-16T00:00:00]" c="8/16/2022"/>
              <i n="[Table2].[start_date].&amp;[2022-08-17T00:00:00]" c="8/17/2022"/>
              <i n="[Table2].[start_date].&amp;[2022-08-18T00:00:00]" c="8/18/2022"/>
              <i n="[Table2].[start_date].&amp;[2022-08-19T00:00:00]" c="8/19/2022"/>
              <i n="[Table2].[start_date].&amp;[2022-08-20T00:00:00]" c="8/20/2022"/>
              <i n="[Table2].[start_date].&amp;[2022-08-21T00:00:00]" c="8/21/2022"/>
              <i n="[Table2].[start_date].&amp;[2022-08-22T00:00:00]" c="8/22/2022"/>
              <i n="[Table2].[start_date].&amp;[2022-08-23T00:00:00]" c="8/23/2022"/>
              <i n="[Table2].[start_date].&amp;[2022-08-24T00:00:00]" c="8/24/2022"/>
              <i n="[Table2].[start_date].&amp;[2022-08-25T00:00:00]" c="8/25/2022"/>
              <i n="[Table2].[start_date].&amp;[2022-08-26T00:00:00]" c="8/26/2022"/>
              <i n="[Table2].[start_date].&amp;[2022-08-27T00:00:00]" c="8/27/2022"/>
              <i n="[Table2].[start_date].&amp;[2022-08-28T00:00:00]" c="8/28/2022"/>
              <i n="[Table2].[start_date].&amp;[2022-08-29T00:00:00]" c="8/29/2022"/>
              <i n="[Table2].[start_date].&amp;[2022-08-30T00:00:00]" c="8/30/2022"/>
              <i n="[Table2].[start_date].&amp;[2022-08-31T00:00:00]" c="8/31/2022"/>
              <i n="[Table2].[start_date].&amp;[2022-09-01T00:00:00]" c="9/1/2022"/>
              <i n="[Table2].[start_date].&amp;[2022-09-02T00:00:00]" c="9/2/2022"/>
              <i n="[Table2].[start_date].&amp;[2022-09-03T00:00:00]" c="9/3/2022"/>
              <i n="[Table2].[start_date].&amp;[2022-09-04T00:00:00]" c="9/4/2022"/>
              <i n="[Table2].[start_date].&amp;[2022-09-05T00:00:00]" c="9/5/2022"/>
              <i n="[Table2].[start_date].&amp;[2022-09-06T00:00:00]" c="9/6/2022"/>
              <i n="[Table2].[start_date].&amp;[2022-09-07T00:00:00]" c="9/7/2022"/>
              <i n="[Table2].[start_date].&amp;[2022-09-08T00:00:00]" c="9/8/2022"/>
              <i n="[Table2].[start_date].&amp;[2022-09-09T00:00:00]" c="9/9/2022"/>
              <i n="[Table2].[start_date].&amp;[2022-09-10T00:00:00]" c="9/10/2022"/>
              <i n="[Table2].[start_date].&amp;[2022-09-11T00:00:00]" c="9/11/2022"/>
              <i n="[Table2].[start_date].&amp;[2022-09-12T00:00:00]" c="9/12/2022"/>
              <i n="[Table2].[start_date].&amp;[2022-09-13T00:00:00]" c="9/13/2022"/>
              <i n="[Table2].[start_date].&amp;[2022-09-14T00:00:00]" c="9/14/2022"/>
              <i n="[Table2].[start_date].&amp;[2022-09-15T00:00:00]" c="9/15/2022"/>
              <i n="[Table2].[start_date].&amp;[2022-09-16T00:00:00]" c="9/16/2022"/>
              <i n="[Table2].[start_date].&amp;[2022-09-17T00:00:00]" c="9/17/2022"/>
              <i n="[Table2].[start_date].&amp;[2022-09-18T00:00:00]" c="9/18/2022"/>
              <i n="[Table2].[start_date].&amp;[2022-09-19T00:00:00]" c="9/19/2022"/>
              <i n="[Table2].[start_date].&amp;[2022-09-20T00:00:00]" c="9/20/2022"/>
              <i n="[Table2].[start_date].&amp;[2022-09-21T00:00:00]" c="9/21/2022"/>
              <i n="[Table2].[start_date].&amp;[2022-09-22T00:00:00]" c="9/22/2022"/>
              <i n="[Table2].[start_date].&amp;[2022-09-23T00:00:00]" c="9/23/2022"/>
              <i n="[Table2].[start_date].&amp;[2022-09-24T00:00:00]" c="9/24/2022"/>
              <i n="[Table2].[start_date].&amp;[2022-09-26T00:00:00]" c="9/26/2022"/>
              <i n="[Table2].[start_date].&amp;[2022-09-27T00:00:00]" c="9/27/2022"/>
              <i n="[Table2].[start_date].&amp;[2022-09-28T00:00:00]" c="9/28/2022"/>
              <i n="[Table2].[start_date].&amp;[2022-09-29T00:00:00]" c="9/29/2022"/>
              <i n="[Table2].[start_date].&amp;[2022-09-30T00:00:00]" c="9/30/2022"/>
              <i n="[Table2].[start_date].&amp;[2022-10-01T00:00:00]" c="10/1/2022"/>
              <i n="[Table2].[start_date].&amp;[2022-10-02T00:00:00]" c="10/2/2022"/>
              <i n="[Table2].[start_date].&amp;[2022-10-03T00:00:00]" c="10/3/2022"/>
              <i n="[Table2].[start_date].&amp;[2022-10-04T00:00:00]" c="10/4/2022"/>
              <i n="[Table2].[start_date].&amp;[2022-10-05T00:00:00]" c="10/5/2022"/>
              <i n="[Table2].[start_date].&amp;[2022-10-06T00:00:00]" c="10/6/2022"/>
              <i n="[Table2].[start_date].&amp;[2022-10-07T00:00:00]" c="10/7/2022"/>
              <i n="[Table2].[start_date].&amp;[2022-10-08T00:00:00]" c="10/8/2022"/>
              <i n="[Table2].[start_date].&amp;[2022-10-09T00:00:00]" c="10/9/2022"/>
              <i n="[Table2].[start_date].&amp;[2022-10-10T00:00:00]" c="10/10/2022"/>
              <i n="[Table2].[start_date].&amp;[2022-10-11T00:00:00]" c="10/11/2022"/>
              <i n="[Table2].[start_date].&amp;[2022-10-12T00:00:00]" c="10/12/2022"/>
              <i n="[Table2].[start_date].&amp;[2022-10-13T00:00:00]" c="10/13/2022"/>
              <i n="[Table2].[start_date].&amp;[2022-10-14T00:00:00]" c="10/14/2022"/>
              <i n="[Table2].[start_date].&amp;[2022-10-17T00:00:00]" c="10/17/2022"/>
              <i n="[Table2].[start_date].&amp;[2022-10-18T00:00:00]" c="10/18/2022"/>
              <i n="[Table2].[start_date].&amp;[2022-10-19T00:00:00]" c="10/19/2022"/>
              <i n="[Table2].[start_date].&amp;[2022-10-20T00:00:00]" c="10/20/2022"/>
              <i n="[Table2].[start_date].&amp;[2022-10-21T00:00:00]" c="10/21/2022"/>
              <i n="[Table2].[start_date].&amp;[2022-10-22T00:00:00]" c="10/22/2022"/>
              <i n="[Table2].[start_date].&amp;[2022-10-23T00:00:00]" c="10/23/2022"/>
              <i n="[Table2].[start_date].&amp;[2022-10-26T00:00:00]" c="10/26/2022"/>
              <i n="[Table2].[start_date].&amp;[2022-10-28T00:00:00]" c="10/28/2022"/>
              <i n="[Table2].[start_date].&amp;[2022-10-29T00:00:00]" c="10/29/2022"/>
              <i n="[Table2].[start_date].&amp;[2022-10-30T00:00:00]" c="10/30/2022"/>
              <i n="[Table2].[start_date].&amp;[2022-10-31T00:00:00]" c="10/31/2022"/>
              <i n="[Table2].[start_date].&amp;[2022-11-01T00:00:00]" c="11/1/2022"/>
              <i n="[Table2].[start_date].&amp;[2022-11-02T00:00:00]" c="11/2/2022"/>
              <i n="[Table2].[start_date].&amp;[2022-11-03T00:00:00]" c="11/3/2022"/>
              <i n="[Table2].[start_date].&amp;[2022-11-04T00:00:00]" c="11/4/2022"/>
              <i n="[Table2].[start_date].&amp;[2022-11-05T00:00:00]" c="11/5/2022"/>
              <i n="[Table2].[start_date].&amp;[2022-11-06T00:00:00]" c="11/6/2022"/>
              <i n="[Table2].[start_date].&amp;[2022-11-07T00:00:00]" c="11/7/2022"/>
              <i n="[Table2].[start_date].&amp;[2022-11-08T00:00:00]" c="11/8/2022"/>
              <i n="[Table2].[start_date].&amp;[2022-11-09T00:00:00]" c="11/9/2022"/>
              <i n="[Table2].[start_date].&amp;[2022-11-10T00:00:00]" c="11/10/2022"/>
              <i n="[Table2].[start_date].&amp;[2022-11-11T00:00:00]" c="11/11/2022"/>
              <i n="[Table2].[start_date].&amp;[2022-11-12T00:00:00]" c="11/12/2022"/>
              <i n="[Table2].[start_date].&amp;[2022-11-13T00:00:00]" c="11/13/2022"/>
              <i n="[Table2].[start_date].&amp;[2022-11-14T00:00:00]" c="11/14/2022"/>
              <i n="[Table2].[start_date].&amp;[2022-11-16T00:00:00]" c="11/16/2022"/>
              <i n="[Table2].[start_date].&amp;[2022-11-18T00:00:00]" c="11/18/2022"/>
              <i n="[Table2].[start_date].&amp;[2022-11-19T00:00:00]" c="11/19/2022"/>
              <i n="[Table2].[start_date].&amp;[2022-11-20T00:00:00]" c="11/20/2022"/>
              <i n="[Table2].[start_date].&amp;[2022-11-22T00:00:00]" c="11/22/2022"/>
              <i n="[Table2].[start_date].&amp;[2022-11-23T00:00:00]" c="11/23/2022"/>
              <i n="[Table2].[start_date].&amp;[2022-11-24T00:00:00]" c="11/24/2022"/>
              <i n="[Table2].[start_date].&amp;[2022-11-25T00:00:00]" c="11/25/2022"/>
              <i n="[Table2].[start_date].&amp;[2022-11-26T00:00:00]" c="11/26/2022"/>
              <i n="[Table2].[start_date].&amp;[2022-11-27T00:00:00]" c="11/27/2022"/>
              <i n="[Table2].[start_date].&amp;[2022-11-28T00:00:00]" c="11/28/2022"/>
              <i n="[Table2].[start_date].&amp;[2022-11-30T00:00:00]" c="11/30/2022"/>
              <i n="[Table2].[start_date].&amp;[2022-12-01T00:00:00]" c="12/1/2022"/>
              <i n="[Table2].[start_date].&amp;[2022-12-02T00:00:00]" c="12/2/2022"/>
              <i n="[Table2].[start_date].&amp;[2022-12-03T00:00:00]" c="12/3/2022"/>
              <i n="[Table2].[start_date].&amp;[2022-12-04T00:00:00]" c="12/4/2022"/>
              <i n="[Table2].[start_date].&amp;[2022-12-06T00:00:00]" c="12/6/2022"/>
              <i n="[Table2].[start_date].&amp;[2022-12-07T00:00:00]" c="12/7/2022"/>
              <i n="[Table2].[start_date].&amp;[2022-12-08T00:00:00]" c="12/8/2022"/>
              <i n="[Table2].[start_date].&amp;[2022-12-09T00:00:00]" c="12/9/2022"/>
              <i n="[Table2].[start_date].&amp;[2022-12-11T00:00:00]" c="12/11/2022"/>
              <i n="[Table2].[start_date].&amp;[2022-12-12T00:00:00]" c="12/12/2022"/>
              <i n="[Table2].[start_date].&amp;[2022-12-13T00:00:00]" c="12/13/2022"/>
              <i n="[Table2].[start_date].&amp;[2022-12-14T00:00:00]" c="12/14/2022"/>
              <i n="[Table2].[start_date].&amp;[2022-12-15T00:00:00]" c="12/15/2022"/>
              <i n="[Table2].[start_date].&amp;[2022-12-16T00:00:00]" c="12/16/2022"/>
              <i n="[Table2].[start_date].&amp;[2022-12-17T00:00:00]" c="12/17/2022"/>
              <i n="[Table2].[start_date].&amp;[2022-12-18T00:00:00]" c="12/18/2022"/>
              <i n="[Table2].[start_date].&amp;[2022-12-19T00:00:00]" c="12/19/2022"/>
              <i n="[Table2].[start_date].&amp;[2022-12-20T00:00:00]" c="12/20/2022"/>
              <i n="[Table2].[start_date].&amp;[2022-12-21T00:00:00]" c="12/21/2022"/>
              <i n="[Table2].[start_date].&amp;[2022-12-22T00:00:00]" c="12/22/2022"/>
              <i n="[Table2].[start_date].&amp;[2022-12-24T00:00:00]" c="12/24/2022"/>
              <i n="[Table2].[start_date].&amp;[2022-12-25T00:00:00]" c="12/25/2022"/>
              <i n="[Table2].[start_date].&amp;[2022-12-26T00:00:00]" c="12/26/2022"/>
              <i n="[Table2].[start_date].&amp;[2022-12-27T00:00:00]" c="12/27/2022"/>
              <i n="[Table2].[start_date].&amp;[2022-12-28T00:00:00]" c="12/28/2022"/>
              <i n="[Table2].[start_date].&amp;[2022-12-29T00:00:00]" c="12/29/2022"/>
              <i n="[Table2].[start_date].&amp;[2022-12-30T00:00:00]" c="12/30/2022"/>
              <i n="[Table2].[start_date].&amp;[2022-12-31T00:00:00]" c="12/31/2022"/>
              <i n="[Table2].[start_date].&amp;[2023-01-01T00:00:00]" c="1/1/2023"/>
              <i n="[Table2].[start_date].&amp;[2023-01-02T00:00:00]" c="1/2/2023"/>
              <i n="[Table2].[start_date].&amp;[2023-01-03T00:00:00]" c="1/3/2023"/>
              <i n="[Table2].[start_date].&amp;[2023-01-04T00:00:00]" c="1/4/2023"/>
              <i n="[Table2].[start_date].&amp;[2023-01-06T00:00:00]" c="1/6/2023"/>
              <i n="[Table2].[start_date].&amp;[2023-01-07T00:00:00]" c="1/7/2023"/>
              <i n="[Table2].[start_date].&amp;[2023-01-08T00:00:00]" c="1/8/2023"/>
              <i n="[Table2].[start_date].&amp;[2023-01-09T00:00:00]" c="1/9/2023"/>
              <i n="[Table2].[start_date].&amp;[2023-01-10T00:00:00]" c="1/10/2023"/>
              <i n="[Table2].[start_date].&amp;[2023-01-11T00:00:00]" c="1/11/2023"/>
              <i n="[Table2].[start_date].&amp;[2023-01-12T00:00:00]" c="1/12/2023"/>
              <i n="[Table2].[start_date].&amp;[2023-01-13T00:00:00]" c="1/13/2023"/>
              <i n="[Table2].[start_date].&amp;[2023-01-14T00:00:00]" c="1/14/2023"/>
              <i n="[Table2].[start_date].&amp;[2023-01-15T00:00:00]" c="1/15/2023"/>
              <i n="[Table2].[start_date].&amp;[2023-01-16T00:00:00]" c="1/16/2023"/>
              <i n="[Table2].[start_date].&amp;[2023-01-17T00:00:00]" c="1/17/2023"/>
              <i n="[Table2].[start_date].&amp;[2023-01-18T00:00:00]" c="1/18/2023"/>
              <i n="[Table2].[start_date].&amp;[2023-01-19T00:00:00]" c="1/19/2023"/>
              <i n="[Table2].[start_date].&amp;[2023-01-20T00:00:00]" c="1/20/2023"/>
              <i n="[Table2].[start_date].&amp;[2023-01-21T00:00:00]" c="1/21/2023"/>
              <i n="[Table2].[start_date].&amp;[2023-01-22T00:00:00]" c="1/22/2023"/>
              <i n="[Table2].[start_date].&amp;[2023-01-23T00:00:00]" c="1/23/2023"/>
              <i n="[Table2].[start_date].&amp;[2023-01-24T00:00:00]" c="1/24/2023"/>
              <i n="[Table2].[start_date].&amp;[2023-01-25T00:00:00]" c="1/25/2023"/>
              <i n="[Table2].[start_date].&amp;[2023-01-26T00:00:00]" c="1/26/2023"/>
              <i n="[Table2].[start_date].&amp;[2023-01-27T00:00:00]" c="1/27/2023"/>
              <i n="[Table2].[start_date].&amp;[2023-01-28T00:00:00]" c="1/28/2023"/>
              <i n="[Table2].[start_date].&amp;[2023-01-29T00:00:00]" c="1/29/2023"/>
              <i n="[Table2].[start_date].&amp;[2023-01-30T00:00:00]" c="1/30/2023"/>
              <i n="[Table2].[start_date].&amp;[2023-01-31T00:00:00]" c="1/31/2023"/>
              <i n="[Table2].[start_date].&amp;[2023-02-01T00:00:00]" c="2/1/2023"/>
              <i n="[Table2].[start_date].&amp;[2023-02-02T00:00:00]" c="2/2/2023"/>
              <i n="[Table2].[start_date].&amp;[2023-02-03T00:00:00]" c="2/3/2023"/>
              <i n="[Table2].[start_date].&amp;[2023-02-04T00:00:00]" c="2/4/2023"/>
              <i n="[Table2].[start_date].&amp;[2023-02-05T00:00:00]" c="2/5/2023"/>
              <i n="[Table2].[start_date].&amp;[2023-02-06T00:00:00]" c="2/6/2023"/>
              <i n="[Table2].[start_date].&amp;[2023-02-07T00:00:00]" c="2/7/2023"/>
              <i n="[Table2].[start_date].&amp;[2023-02-08T00:00:00]" c="2/8/2023"/>
              <i n="[Table2].[start_date].&amp;[2023-02-09T00:00:00]" c="2/9/2023"/>
              <i n="[Table2].[start_date].&amp;[2023-02-10T00:00:00]" c="2/10/2023"/>
              <i n="[Table2].[start_date].&amp;[2023-02-11T00:00:00]" c="2/11/2023"/>
              <i n="[Table2].[start_date].&amp;[2023-02-13T00:00:00]" c="2/13/2023"/>
              <i n="[Table2].[start_date].&amp;[2023-02-14T00:00:00]" c="2/14/2023"/>
              <i n="[Table2].[start_date].&amp;[2023-02-15T00:00:00]" c="2/15/2023"/>
              <i n="[Table2].[start_date].&amp;[2023-02-16T00:00:00]" c="2/16/2023"/>
              <i n="[Table2].[start_date].&amp;[2023-02-17T00:00:00]" c="2/17/2023"/>
              <i n="[Table2].[start_date].&amp;[2023-02-18T00:00:00]" c="2/18/2023"/>
              <i n="[Table2].[start_date].&amp;[2023-02-19T00:00:00]" c="2/19/2023"/>
              <i n="[Table2].[start_date].&amp;[2023-02-20T00:00:00]" c="2/20/2023"/>
              <i n="[Table2].[start_date].&amp;[2023-02-21T00:00:00]" c="2/21/2023"/>
              <i n="[Table2].[start_date].&amp;[2023-02-22T00:00:00]" c="2/22/2023"/>
              <i n="[Table2].[start_date].&amp;[2023-02-23T00:00:00]" c="2/23/2023"/>
              <i n="[Table2].[start_date].&amp;[2023-02-24T00:00:00]" c="2/24/2023"/>
              <i n="[Table2].[start_date].&amp;[2023-02-25T00:00:00]" c="2/25/2023"/>
              <i n="[Table2].[start_date].&amp;[2023-02-26T00:00:00]" c="2/26/2023"/>
              <i n="[Table2].[start_date].&amp;[2023-02-27T00:00:00]" c="2/27/2023"/>
              <i n="[Table2].[start_date].&amp;[2023-02-28T00:00:00]" c="2/28/2023"/>
              <i n="[Table2].[start_date].&amp;[2023-03-01T00:00:00]" c="3/1/2023"/>
              <i n="[Table2].[start_date].&amp;[2023-03-02T00:00:00]" c="3/2/2023"/>
              <i n="[Table2].[start_date].&amp;[2023-03-03T00:00:00]" c="3/3/2023"/>
              <i n="[Table2].[start_date].&amp;[2023-03-04T00:00:00]" c="3/4/2023"/>
              <i n="[Table2].[start_date].&amp;[2023-03-05T00:00:00]" c="3/5/2023"/>
              <i n="[Table2].[start_date].&amp;[2023-03-06T00:00:00]" c="3/6/2023"/>
              <i n="[Table2].[start_date].&amp;[2023-03-07T00:00:00]" c="3/7/2023"/>
              <i n="[Table2].[start_date].&amp;[2023-03-08T00:00:00]" c="3/8/2023"/>
              <i n="[Table2].[start_date].&amp;[2023-03-09T00:00:00]" c="3/9/2023"/>
              <i n="[Table2].[start_date].&amp;[2023-03-10T00:00:00]" c="3/10/2023"/>
              <i n="[Table2].[start_date].&amp;[2023-03-11T00:00:00]" c="3/11/2023"/>
              <i n="[Table2].[start_date].&amp;[2023-03-12T00:00:00]" c="3/12/2023"/>
              <i n="[Table2].[start_date].&amp;[2023-03-14T00:00:00]" c="3/14/2023"/>
              <i n="[Table2].[start_date].&amp;[2023-03-15T00:00:00]" c="3/15/2023"/>
              <i n="[Table2].[start_date].&amp;[2023-03-16T00:00:00]" c="3/16/2023"/>
              <i n="[Table2].[start_date].&amp;[2023-03-17T00:00:00]" c="3/17/2023"/>
              <i n="[Table2].[start_date].&amp;[2023-03-18T00:00:00]" c="3/18/2023"/>
              <i n="[Table2].[start_date].&amp;[2023-03-19T00:00:00]" c="3/19/2023"/>
              <i n="[Table2].[start_date].&amp;[2023-03-20T00:00:00]" c="3/20/2023"/>
              <i n="[Table2].[start_date].&amp;[2023-03-21T00:00:00]" c="3/21/2023"/>
              <i n="[Table2].[start_date].&amp;[2023-03-22T00:00:00]" c="3/22/2023"/>
              <i n="[Table2].[start_date].&amp;[2023-03-23T00:00:00]" c="3/23/2023"/>
              <i n="[Table2].[start_date].&amp;[2023-03-24T00:00:00]" c="3/24/2023"/>
              <i n="[Table2].[start_date].&amp;[2023-03-25T00:00:00]" c="3/25/2023"/>
              <i n="[Table2].[start_date].&amp;[2023-03-26T00:00:00]" c="3/26/2023"/>
              <i n="[Table2].[start_date].&amp;[2023-03-27T00:00:00]" c="3/27/2023"/>
              <i n="[Table2].[start_date].&amp;[2023-03-28T00:00:00]" c="3/28/2023"/>
              <i n="[Table2].[start_date].&amp;[2023-03-29T00:00:00]" c="3/29/2023"/>
              <i n="[Table2].[start_date].&amp;[2023-03-30T00:00:00]" c="3/30/2023"/>
              <i n="[Table2].[start_date].&amp;[2023-03-31T00:00:00]" c="3/31/2023"/>
              <i n="[Table2].[start_date].&amp;[2023-04-01T00:00:00]" c="4/1/2023"/>
              <i n="[Table2].[start_date].&amp;[2023-04-02T00:00:00]" c="4/2/2023"/>
              <i n="[Table2].[start_date].&amp;[2023-04-03T00:00:00]" c="4/3/2023"/>
              <i n="[Table2].[start_date].&amp;[2023-04-04T00:00:00]" c="4/4/2023"/>
              <i n="[Table2].[start_date].&amp;[2023-04-06T00:00:00]" c="4/6/2023"/>
              <i n="[Table2].[start_date].&amp;[2023-04-07T00:00:00]" c="4/7/2023"/>
              <i n="[Table2].[start_date].&amp;[2023-04-08T00:00:00]" c="4/8/2023"/>
              <i n="[Table2].[start_date].&amp;[2023-04-09T00:00:00]" c="4/9/2023"/>
              <i n="[Table2].[start_date].&amp;[2023-04-10T00:00:00]" c="4/10/2023"/>
              <i n="[Table2].[start_date].&amp;[2023-04-11T00:00:00]" c="4/11/2023"/>
              <i n="[Table2].[start_date].&amp;[2023-04-12T00:00:00]" c="4/12/2023"/>
              <i n="[Table2].[start_date].&amp;[2023-04-13T00:00:00]" c="4/13/2023"/>
              <i n="[Table2].[start_date].&amp;[2023-04-14T00:00:00]" c="4/14/2023"/>
              <i n="[Table2].[start_date].&amp;[2023-04-15T00:00:00]" c="4/15/2023"/>
              <i n="[Table2].[start_date].&amp;[2023-04-16T00:00:00]" c="4/16/2023"/>
              <i n="[Table2].[start_date].&amp;[2023-04-17T00:00:00]" c="4/17/2023"/>
              <i n="[Table2].[start_date].&amp;[2023-04-18T00:00:00]" c="4/18/2023"/>
              <i n="[Table2].[start_date].&amp;[2023-04-19T00:00:00]" c="4/19/2023"/>
              <i n="[Table2].[start_date].&amp;[2023-04-20T00:00:00]" c="4/20/2023"/>
              <i n="[Table2].[start_date].&amp;[2023-04-21T00:00:00]" c="4/21/2023"/>
              <i n="[Table2].[start_date].&amp;[2023-04-22T00:00:00]" c="4/22/2023"/>
              <i n="[Table2].[start_date].&amp;[2023-04-23T00:00:00]" c="4/23/2023"/>
              <i n="[Table2].[start_date].&amp;[2023-04-24T00:00:00]" c="4/24/2023"/>
              <i n="[Table2].[start_date].&amp;[2023-04-25T00:00:00]" c="4/25/2023"/>
              <i n="[Table2].[start_date].&amp;[2023-04-26T00:00:00]" c="4/26/2023"/>
              <i n="[Table2].[start_date].&amp;[2023-04-27T00:00:00]" c="4/27/2023"/>
              <i n="[Table2].[start_date].&amp;[2023-04-28T00:00:00]" c="4/28/2023"/>
              <i n="[Table2].[start_date].&amp;[2023-04-29T00:00:00]" c="4/29/2023"/>
              <i n="[Table2].[start_date].&amp;[2023-04-30T00:00:00]" c="4/30/2023"/>
              <i n="[Table2].[start_date].&amp;[2023-05-01T00:00:00]" c="5/1/2023"/>
              <i n="[Table2].[start_date].&amp;[2023-05-02T00:00:00]" c="5/2/2023"/>
              <i n="[Table2].[start_date].&amp;[2023-05-03T00:00:00]" c="5/3/2023"/>
              <i n="[Table2].[start_date].&amp;[2023-05-04T00:00:00]" c="5/4/2023"/>
              <i n="[Table2].[start_date].&amp;[2023-05-05T00:00:00]" c="5/5/2023"/>
              <i n="[Table2].[start_date].&amp;[2023-05-06T00:00:00]" c="5/6/2023"/>
              <i n="[Table2].[start_date].&amp;[2023-05-07T00:00:00]" c="5/7/2023"/>
              <i n="[Table2].[start_date].&amp;[2023-05-08T00:00:00]" c="5/8/2023"/>
              <i n="[Table2].[start_date].&amp;[2023-05-09T00:00:00]" c="5/9/2023"/>
              <i n="[Table2].[start_date].&amp;[2023-05-10T00:00:00]" c="5/10/2023"/>
              <i n="[Table2].[start_date].&amp;[2023-05-11T00:00:00]" c="5/11/2023"/>
              <i n="[Table2].[start_date].&amp;[2023-05-12T00:00:00]" c="5/12/2023"/>
              <i n="[Table2].[start_date].&amp;[2023-05-13T00:00:00]" c="5/13/2023"/>
              <i n="[Table2].[start_date].&amp;[2023-05-14T00:00:00]" c="5/14/2023"/>
              <i n="[Table2].[start_date].&amp;[2023-05-16T00:00:00]" c="5/16/2023"/>
              <i n="[Table2].[start_date].&amp;[2023-05-17T00:00:00]" c="5/17/2023"/>
              <i n="[Table2].[start_date].&amp;[2023-05-18T00:00:00]" c="5/18/2023"/>
              <i n="[Table2].[start_date].&amp;[2023-05-19T00:00:00]" c="5/19/2023"/>
              <i n="[Table2].[start_date].&amp;[2023-05-20T00:00:00]" c="5/20/2023"/>
              <i n="[Table2].[start_date].&amp;[2023-05-21T00:00:00]" c="5/21/2023"/>
              <i n="[Table2].[start_date].&amp;[2023-05-22T00:00:00]" c="5/22/2023"/>
              <i n="[Table2].[start_date].&amp;[2023-05-23T00:00:00]" c="5/23/2023"/>
              <i n="[Table2].[start_date].&amp;[2023-05-24T00:00:00]" c="5/24/2023"/>
              <i n="[Table2].[start_date].&amp;[2023-05-25T00:00:00]" c="5/25/2023"/>
              <i n="[Table2].[start_date].&amp;[2023-05-26T00:00:00]" c="5/26/2023"/>
              <i n="[Table2].[start_date].&amp;[2023-05-27T00:00:00]" c="5/27/2023"/>
              <i n="[Table2].[start_date].&amp;[2023-05-28T00:00:00]" c="5/28/2023"/>
              <i n="[Table2].[start_date].&amp;[2023-05-29T00:00:00]" c="5/29/2023"/>
              <i n="[Table2].[start_date].&amp;[2023-05-30T00:00:00]" c="5/30/2023"/>
              <i n="[Table2].[start_date].&amp;[2023-05-31T00:00:00]" c="5/31/2023"/>
              <i n="[Table2].[start_date].&amp;[2023-06-01T00:00:00]" c="6/1/2023"/>
              <i n="[Table2].[start_date].&amp;[2023-06-02T00:00:00]" c="6/2/2023"/>
              <i n="[Table2].[start_date].&amp;[2023-06-03T00:00:00]" c="6/3/2023"/>
              <i n="[Table2].[start_date].&amp;[2023-06-04T00:00:00]" c="6/4/2023"/>
              <i n="[Table2].[start_date].&amp;[2023-06-05T00:00:00]" c="6/5/2023"/>
              <i n="[Table2].[start_date].&amp;[2023-06-06T00:00:00]" c="6/6/2023"/>
              <i n="[Table2].[start_date].&amp;[2023-06-07T00:00:00]" c="6/7/2023"/>
              <i n="[Table2].[start_date].&amp;[2023-06-08T00:00:00]" c="6/8/2023"/>
              <i n="[Table2].[start_date].&amp;[2023-06-09T00:00:00]" c="6/9/2023"/>
              <i n="[Table2].[start_date].&amp;[2023-06-10T00:00:00]" c="6/10/2023"/>
              <i n="[Table2].[start_date].&amp;[2023-06-11T00:00:00]" c="6/11/2023"/>
              <i n="[Table2].[start_date].&amp;[2023-06-12T00:00:00]" c="6/12/2023"/>
              <i n="[Table2].[start_date].&amp;[2023-06-13T00:00:00]" c="6/13/2023"/>
              <i n="[Table2].[start_date].&amp;[2023-06-14T00:00:00]" c="6/14/2023"/>
              <i n="[Table2].[start_date].&amp;[2023-06-15T00:00:00]" c="6/15/2023"/>
              <i n="[Table2].[start_date].&amp;[2023-06-16T00:00:00]" c="6/16/2023"/>
              <i n="[Table2].[start_date].&amp;[2023-06-17T00:00:00]" c="6/17/2023"/>
              <i n="[Table2].[start_date].&amp;[2023-06-18T00:00:00]" c="6/18/2023"/>
              <i n="[Table2].[start_date].&amp;[2023-06-19T00:00:00]" c="6/19/2023"/>
              <i n="[Table2].[start_date].&amp;[2023-06-20T00:00:00]" c="6/20/2023"/>
              <i n="[Table2].[start_date].&amp;[2023-06-21T00:00:00]" c="6/21/2023"/>
              <i n="[Table2].[start_date].&amp;[2023-06-22T00:00:00]" c="6/22/2023"/>
              <i n="[Table2].[start_date].&amp;[2023-06-23T00:00:00]" c="6/23/2023"/>
              <i n="[Table2].[start_date].&amp;[2023-06-24T00:00:00]" c="6/24/2023"/>
              <i n="[Table2].[start_date].&amp;[2023-06-25T00:00:00]" c="6/25/2023"/>
              <i n="[Table2].[start_date].&amp;[2023-06-26T00:00:00]" c="6/26/2023"/>
              <i n="[Table2].[start_date].&amp;[2023-06-27T00:00:00]" c="6/27/2023"/>
              <i n="[Table2].[start_date].&amp;[2023-06-28T00:00:00]" c="6/28/2023"/>
              <i n="[Table2].[start_date].&amp;[2023-06-29T00:00:00]" c="6/29/2023"/>
              <i n="[Table2].[start_date].&amp;[2023-06-30T00:00:00]" c="6/30/2023"/>
              <i n="[Table2].[start_date].&amp;[2023-07-01T00:00:00]" c="7/1/2023"/>
              <i n="[Table2].[start_date].&amp;[2023-07-02T00:00:00]" c="7/2/2023"/>
              <i n="[Table2].[start_date].&amp;[2023-07-03T00:00:00]" c="7/3/2023"/>
              <i n="[Table2].[start_date].&amp;[2023-07-04T00:00:00]" c="7/4/2023"/>
              <i n="[Table2].[start_date].&amp;[2023-07-05T00:00:00]" c="7/5/2023"/>
              <i n="[Table2].[start_date].&amp;[2023-07-06T00:00:00]" c="7/6/2023"/>
              <i n="[Table2].[start_date].&amp;[2023-07-07T00:00:00]" c="7/7/2023"/>
              <i n="[Table2].[start_date].&amp;[2023-07-08T00:00:00]" c="7/8/2023"/>
              <i n="[Table2].[start_date].&amp;[2023-07-09T00:00:00]" c="7/9/2023"/>
              <i n="[Table2].[start_date].&amp;[2023-07-10T00:00:00]" c="7/10/2023"/>
              <i n="[Table2].[start_date].&amp;[2023-07-12T00:00:00]" c="7/12/2023"/>
              <i n="[Table2].[start_date].&amp;[2023-07-13T00:00:00]" c="7/13/2023"/>
              <i n="[Table2].[start_date].&amp;[2023-07-14T00:00:00]" c="7/14/2023"/>
              <i n="[Table2].[start_date].&amp;[2023-07-16T00:00:00]" c="7/16/2023"/>
              <i n="[Table2].[start_date].&amp;[2023-07-17T00:00:00]" c="7/17/2023"/>
              <i n="[Table2].[start_date].&amp;[2023-07-18T00:00:00]" c="7/18/2023"/>
              <i n="[Table2].[start_date].&amp;[2023-07-19T00:00:00]" c="7/19/2023"/>
              <i n="[Table2].[start_date].&amp;[2023-07-20T00:00:00]" c="7/20/2023"/>
              <i n="[Table2].[start_date].&amp;[2023-07-21T00:00:00]" c="7/21/2023"/>
              <i n="[Table2].[start_date].&amp;[2023-07-22T00:00:00]" c="7/22/2023"/>
              <i n="[Table2].[start_date].&amp;[2023-07-23T00:00:00]" c="7/23/2023"/>
              <i n="[Table2].[start_date].&amp;[2023-07-25T00:00:00]" c="7/25/2023"/>
              <i n="[Table2].[start_date].&amp;[2023-07-26T00:00:00]" c="7/26/2023"/>
              <i n="[Table2].[start_date].&amp;[2023-07-27T00:00:00]" c="7/27/2023"/>
              <i n="[Table2].[start_date].&amp;[2023-07-28T00:00:00]" c="7/28/2023"/>
              <i n="[Table2].[start_date].&amp;[2023-07-29T00:00:00]" c="7/29/2023"/>
              <i n="[Table2].[start_date].&amp;[2023-07-30T00:00:00]" c="7/30/2023"/>
              <i n="[Table2].[start_date].&amp;[2023-07-31T00:00:00]" c="7/31/2023"/>
              <i n="[Table2].[start_date].&amp;[2023-08-01T00:00:00]" c="8/1/2023"/>
            </range>
          </ranges>
        </level>
      </levels>
      <selections count="1">
        <selection n="[Table2].[start_dat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2" xr10:uid="{9868C997-D6EA-448C-A6F5-99A119BF5073}" sourceName="channel">
  <pivotTables>
    <pivotTable tabId="2" name="PivotTable7"/>
    <pivotTable tabId="2" name="PivotTable1"/>
    <pivotTable tabId="2" name="PivotTable2"/>
    <pivotTable tabId="2" name="PivotTable3"/>
    <pivotTable tabId="2" name="PivotTable4"/>
    <pivotTable tabId="2" name="PivotTable5"/>
    <pivotTable tabId="2" name="PivotTable8"/>
    <pivotTable tabId="2" name="PivotTable9"/>
    <pivotTable tabId="2" name="PivotTable10"/>
  </pivotTables>
  <data>
    <tabular pivotCacheId="1870030157">
      <items count="5">
        <i x="0" s="1"/>
        <i x="2" s="1"/>
        <i x="1" s="1"/>
        <i x="3"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I_status2" xr10:uid="{008FBB60-B03E-4BE3-A352-408819EBA9B3}" sourceName="ROI status">
  <pivotTables>
    <pivotTable tabId="2" name="PivotTable4"/>
    <pivotTable tabId="2" name="PivotTable1"/>
    <pivotTable tabId="2" name="PivotTable2"/>
    <pivotTable tabId="2" name="PivotTable3"/>
    <pivotTable tabId="2" name="PivotTable5"/>
    <pivotTable tabId="2" name="PivotTable7"/>
    <pivotTable tabId="2" name="PivotTable8"/>
    <pivotTable tabId="2" name="PivotTable9"/>
    <pivotTable tabId="2" name="PivotTable10"/>
  </pivotTables>
  <data>
    <tabular pivotCacheId="1870030157">
      <items count="3">
        <i x="1"/>
        <i x="0" s="1"/>
        <i x="2"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2" xr10:uid="{A3DB8FA3-6332-4BF1-8291-7D2676E0D188}" sourceName="type">
  <pivotTables>
    <pivotTable tabId="2" name="PivotTable4"/>
    <pivotTable tabId="2" name="PivotTable1"/>
    <pivotTable tabId="2" name="PivotTable2"/>
    <pivotTable tabId="2" name="PivotTable3"/>
    <pivotTable tabId="2" name="PivotTable5"/>
    <pivotTable tabId="2" name="PivotTable7"/>
    <pivotTable tabId="2" name="PivotTable8"/>
    <pivotTable tabId="2" name="PivotTable9"/>
    <pivotTable tabId="2" name="PivotTable10"/>
  </pivotTables>
  <data>
    <tabular pivotCacheId="1870030157">
      <items count="5">
        <i x="0" s="1"/>
        <i x="1" s="1"/>
        <i x="3" s="1"/>
        <i x="2" s="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date2" xr10:uid="{B7EDF19F-05C0-46B1-BE96-640E937B61A5}" sourceName="start_date">
  <pivotTables>
    <pivotTable tabId="2" name="PivotTable8"/>
    <pivotTable tabId="2" name="PivotTable1"/>
    <pivotTable tabId="2" name="PivotTable2"/>
    <pivotTable tabId="2" name="PivotTable3"/>
    <pivotTable tabId="2" name="PivotTable4"/>
    <pivotTable tabId="2" name="PivotTable5"/>
    <pivotTable tabId="2" name="PivotTable7"/>
    <pivotTable tabId="2" name="PivotTable9"/>
    <pivotTable tabId="2" name="PivotTable10"/>
  </pivotTables>
  <data>
    <tabular pivotCacheId="1870030157">
      <items count="345">
        <i x="323" s="1"/>
        <i x="198" s="1"/>
        <i x="71" s="1"/>
        <i x="58" s="1"/>
        <i x="47" s="1"/>
        <i x="310" s="1"/>
        <i x="283" s="1"/>
        <i x="65" s="1"/>
        <i x="229" s="1"/>
        <i x="290" s="1"/>
        <i x="30" s="1"/>
        <i x="329" s="1"/>
        <i x="293" s="1"/>
        <i x="114" s="1"/>
        <i x="108" s="1"/>
        <i x="166" s="1"/>
        <i x="79" s="1"/>
        <i x="336" s="1"/>
        <i x="190" s="1"/>
        <i x="253" s="1"/>
        <i x="168" s="1"/>
        <i x="188" s="1"/>
        <i x="115" s="1"/>
        <i x="141" s="1"/>
        <i x="23" s="1"/>
        <i x="66" s="1"/>
        <i x="64" s="1"/>
        <i x="137" s="1"/>
        <i x="148" s="1"/>
        <i x="202" s="1"/>
        <i x="251" s="1"/>
        <i x="242" s="1"/>
        <i x="265" s="1"/>
        <i x="299" s="1"/>
        <i x="313" s="1"/>
        <i x="8" s="1"/>
        <i x="96" s="1"/>
        <i x="249" s="1"/>
        <i x="337" s="1"/>
        <i x="102" s="1"/>
        <i x="272" s="1"/>
        <i x="230" s="1"/>
        <i x="195" s="1"/>
        <i x="16" s="1"/>
        <i x="97" s="1"/>
        <i x="124" s="1"/>
        <i x="194" s="1"/>
        <i x="80" s="1"/>
        <i x="88" s="1"/>
        <i x="246" s="1"/>
        <i x="111" s="1"/>
        <i x="218" s="1"/>
        <i x="252" s="1"/>
        <i x="92" s="1"/>
        <i x="3" s="1"/>
        <i x="199" s="1"/>
        <i x="61" s="1"/>
        <i x="51" s="1"/>
        <i x="301" s="1"/>
        <i x="31" s="1"/>
        <i x="240" s="1"/>
        <i x="208" s="1"/>
        <i x="302" s="1"/>
        <i x="147" s="1"/>
        <i x="220" s="1"/>
        <i x="138" s="1"/>
        <i x="181" s="1"/>
        <i x="78" s="1"/>
        <i x="131" s="1"/>
        <i x="335" s="1"/>
        <i x="178" s="1"/>
        <i x="60" s="1"/>
        <i x="27" s="1"/>
        <i x="83" s="1"/>
        <i x="127" s="1"/>
        <i x="46" s="1"/>
        <i x="232" s="1"/>
        <i x="109" s="1"/>
        <i x="107" s="1"/>
        <i x="259" s="1"/>
        <i x="315" s="1"/>
        <i x="52" s="1"/>
        <i x="118" s="1"/>
        <i x="162" s="1"/>
        <i x="63" s="1"/>
        <i x="134" s="1"/>
        <i x="136" s="1"/>
        <i x="288" s="1"/>
        <i x="14" s="1"/>
        <i x="319" s="1"/>
        <i x="187" s="1"/>
        <i x="68" s="1"/>
        <i x="56" s="1"/>
        <i x="280" s="1"/>
        <i x="210" s="1"/>
        <i x="81" s="1"/>
        <i x="203" s="1"/>
        <i x="204" s="1"/>
        <i x="104" s="1"/>
        <i x="26" s="1"/>
        <i x="158" s="1"/>
        <i x="112" s="1"/>
        <i x="38" s="1"/>
        <i x="105" s="1"/>
        <i x="34" s="1"/>
        <i x="9" s="1"/>
        <i x="40" s="1"/>
        <i x="276" s="1"/>
        <i x="123" s="1"/>
        <i x="234" s="1"/>
        <i x="120" s="1"/>
        <i x="175" s="1"/>
        <i x="334" s="1"/>
        <i x="291" s="1"/>
        <i x="149" s="1"/>
        <i x="130" s="1"/>
        <i x="267" s="1"/>
        <i x="231" s="1"/>
        <i x="45" s="1"/>
        <i x="269" s="1"/>
        <i x="324" s="1"/>
        <i x="85" s="1"/>
        <i x="69" s="1"/>
        <i x="35" s="1"/>
        <i x="171" s="1"/>
        <i x="75" s="1"/>
        <i x="343" s="1"/>
        <i x="2" s="1"/>
        <i x="201" s="1"/>
        <i x="89" s="1"/>
        <i x="67" s="1"/>
        <i x="94" s="1"/>
        <i x="76" s="1"/>
        <i x="101" s="1"/>
        <i x="260" s="1"/>
        <i x="331" s="1"/>
        <i x="86" s="1"/>
        <i x="241" s="1"/>
        <i x="169" s="1"/>
        <i x="286" s="1"/>
        <i x="213" s="1"/>
        <i x="157" s="1"/>
        <i x="7" s="1"/>
        <i x="270" s="1"/>
        <i x="135" s="1"/>
        <i x="122" s="1"/>
        <i x="282" s="1"/>
        <i x="294" s="1"/>
        <i x="100" s="1"/>
        <i x="342" s="1"/>
        <i x="261" s="1"/>
        <i x="307" s="1"/>
        <i x="21" s="1"/>
        <i x="233" s="1"/>
        <i x="36" s="1"/>
        <i x="110" s="1"/>
        <i x="32" s="1"/>
        <i x="172" s="1"/>
        <i x="180" s="1"/>
        <i x="91" s="1"/>
        <i x="258" s="1"/>
        <i x="314" s="1"/>
        <i x="214" s="1"/>
        <i x="93" s="1"/>
        <i x="176" s="1"/>
        <i x="248" s="1"/>
        <i x="263" s="1"/>
        <i x="126" s="1"/>
        <i x="332" s="1"/>
        <i x="338" s="1"/>
        <i x="98" s="1"/>
        <i x="197" s="1"/>
        <i x="160" s="1"/>
        <i x="19" s="1"/>
        <i x="128" s="1"/>
        <i x="328" s="1"/>
        <i x="189" s="1"/>
        <i x="327" s="1"/>
        <i x="143" s="1"/>
        <i x="340" s="1"/>
        <i x="1" s="1"/>
        <i x="205" s="1"/>
        <i x="333" s="1"/>
        <i x="140" s="1"/>
        <i x="321" s="1"/>
        <i x="228" s="1"/>
        <i x="74" s="1"/>
        <i x="113" s="1"/>
        <i x="57" s="1"/>
        <i x="73" s="1"/>
        <i x="39" s="1"/>
        <i x="41" s="1"/>
        <i x="6" s="1"/>
        <i x="59" s="1"/>
        <i x="84" s="1"/>
        <i x="156" s="1"/>
        <i x="44" s="1"/>
        <i x="121" s="1"/>
        <i x="49" s="1"/>
        <i x="255" s="1"/>
        <i x="153" s="1"/>
        <i x="165" s="1"/>
        <i x="146" s="1"/>
        <i x="119" s="1"/>
        <i x="289" s="1"/>
        <i x="244" s="1"/>
        <i x="12" s="1"/>
        <i x="284" s="1"/>
        <i x="191" s="1"/>
        <i x="237" s="1"/>
        <i x="216" s="1"/>
        <i x="155" s="1"/>
        <i x="256" s="1"/>
        <i x="15" s="1"/>
        <i x="320" s="1"/>
        <i x="186" s="1"/>
        <i x="129" s="1"/>
        <i x="239" s="1"/>
        <i x="184" s="1"/>
        <i x="95" s="1"/>
        <i x="144" s="1"/>
        <i x="0" s="1"/>
        <i x="245" s="1"/>
        <i x="279" s="1"/>
        <i x="106" s="1"/>
        <i x="43" s="1"/>
        <i x="254" s="1"/>
        <i x="116" s="1"/>
        <i x="192" s="1"/>
        <i x="221" s="1"/>
        <i x="117" s="1"/>
        <i x="247" s="1"/>
        <i x="227" s="1"/>
        <i x="317" s="1"/>
        <i x="275" s="1"/>
        <i x="287" s="1"/>
        <i x="257" s="1"/>
        <i x="173" s="1"/>
        <i x="28" s="1"/>
        <i x="20" s="1"/>
        <i x="236" s="1"/>
        <i x="235" s="1"/>
        <i x="50" s="1"/>
        <i x="222" s="1"/>
        <i x="225" s="1"/>
        <i x="72" s="1"/>
        <i x="142" s="1"/>
        <i x="185" s="1"/>
        <i x="37" s="1"/>
        <i x="196" s="1"/>
        <i x="295" s="1"/>
        <i x="152" s="1"/>
        <i x="304" s="1"/>
        <i x="193" s="1"/>
        <i x="77" s="1"/>
        <i x="300" s="1"/>
        <i x="164" s="1"/>
        <i x="139" s="1"/>
        <i x="145" s="1"/>
        <i x="266" s="1"/>
        <i x="292" s="1"/>
        <i x="262" s="1"/>
        <i x="296" s="1"/>
        <i x="200" s="1"/>
        <i x="62" s="1"/>
        <i x="326" s="1"/>
        <i x="305" s="1"/>
        <i x="325" s="1"/>
        <i x="298" s="1"/>
        <i x="167" s="1"/>
        <i x="285" s="1"/>
        <i x="278" s="1"/>
        <i x="29" s="1"/>
        <i x="339" s="1"/>
        <i x="316" s="1"/>
        <i x="211" s="1"/>
        <i x="238" s="1"/>
        <i x="82" s="1"/>
        <i x="174" s="1"/>
        <i x="212" s="1"/>
        <i x="309" s="1"/>
        <i x="87" s="1"/>
        <i x="170" s="1"/>
        <i x="312" s="1"/>
        <i x="48" s="1"/>
        <i x="163" s="1"/>
        <i x="297" s="1"/>
        <i x="268" s="1"/>
        <i x="159" s="1"/>
        <i x="206" s="1"/>
        <i x="133" s="1"/>
        <i x="10" s="1"/>
        <i x="154" s="1"/>
        <i x="306" s="1"/>
        <i x="90" s="1"/>
        <i x="271" s="1"/>
        <i x="223" s="1"/>
        <i x="308" s="1"/>
        <i x="54" s="1"/>
        <i x="17" s="1"/>
        <i x="161" s="1"/>
        <i x="24" s="1"/>
        <i x="150" s="1"/>
        <i x="341" s="1"/>
        <i x="5" s="1"/>
        <i x="318" s="1"/>
        <i x="250" s="1"/>
        <i x="70" s="1"/>
        <i x="207" s="1"/>
        <i x="13" s="1"/>
        <i x="25" s="1"/>
        <i x="99" s="1"/>
        <i x="4" s="1"/>
        <i x="209" s="1"/>
        <i x="264" s="1"/>
        <i x="219" s="1"/>
        <i x="226" s="1"/>
        <i x="55" s="1"/>
        <i x="42" s="1"/>
        <i x="18" s="1"/>
        <i x="303" s="1"/>
        <i x="183" s="1"/>
        <i x="151" s="1"/>
        <i x="224" s="1"/>
        <i x="11" s="1"/>
        <i x="103" s="1"/>
        <i x="217" s="1"/>
        <i x="274" s="1"/>
        <i x="53" s="1"/>
        <i x="33" s="1"/>
        <i x="132" s="1"/>
        <i x="273" s="1"/>
        <i x="281" s="1"/>
        <i x="179" s="1"/>
        <i x="22" s="1"/>
        <i x="311" s="1" nd="1"/>
        <i x="215" s="1" nd="1"/>
        <i x="330" s="1" nd="1"/>
        <i x="243" s="1" nd="1"/>
        <i x="125" s="1" nd="1"/>
        <i x="177" s="1" nd="1"/>
        <i x="277" s="1" nd="1"/>
        <i x="322" s="1" nd="1"/>
        <i x="182" s="1" nd="1"/>
        <i x="344"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FE58B18E-092F-4093-8DDB-833E135BF70E}" sourceName="campaign_nam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s>
  <data>
    <tabular pivotCacheId="1870030157">
      <items count="1000">
        <i x="71" s="1"/>
        <i x="279" s="1"/>
        <i x="852" s="1"/>
        <i x="939" s="1"/>
        <i x="504" s="1"/>
        <i x="514" s="1"/>
        <i x="254" s="1"/>
        <i x="492" s="1"/>
        <i x="562" s="1"/>
        <i x="772" s="1"/>
        <i x="441" s="1"/>
        <i x="175" s="1"/>
        <i x="405" s="1"/>
        <i x="227" s="1"/>
        <i x="39" s="1"/>
        <i x="349" s="1"/>
        <i x="332" s="1"/>
        <i x="544" s="1"/>
        <i x="760" s="1"/>
        <i x="338" s="1"/>
        <i x="259" s="1"/>
        <i x="895" s="1"/>
        <i x="361" s="1"/>
        <i x="528" s="1"/>
        <i x="618" s="1"/>
        <i x="741" s="1"/>
        <i x="491" s="1"/>
        <i x="187" s="1"/>
        <i x="679" s="1"/>
        <i x="116" s="1"/>
        <i x="460" s="1"/>
        <i x="570" s="1"/>
        <i x="899" s="1"/>
        <i x="604" s="1"/>
        <i x="404" s="1"/>
        <i x="690" s="1"/>
        <i x="631" s="1"/>
        <i x="880" s="1"/>
        <i x="2" s="1"/>
        <i x="569" s="1"/>
        <i x="841" s="1"/>
        <i x="165" s="1"/>
        <i x="915" s="1"/>
        <i x="873" s="1"/>
        <i x="475" s="1"/>
        <i x="516" s="1"/>
        <i x="59" s="1"/>
        <i x="577" s="1"/>
        <i x="190" s="1"/>
        <i x="680" s="1"/>
        <i x="152" s="1"/>
        <i x="556" s="1"/>
        <i x="756" s="1"/>
        <i x="342" s="1"/>
        <i x="593" s="1"/>
        <i x="272" s="1"/>
        <i x="101" s="1"/>
        <i x="398" s="1"/>
        <i x="318" s="1"/>
        <i x="555" s="1"/>
        <i x="727" s="1"/>
        <i x="430" s="1"/>
        <i x="910" s="1"/>
        <i x="474" s="1"/>
        <i x="705" s="1"/>
        <i x="393" s="1"/>
        <i x="546" s="1"/>
        <i x="931" s="1"/>
        <i x="820" s="1"/>
        <i x="140" s="1"/>
        <i x="218" s="1"/>
        <i x="394" s="1"/>
        <i x="425" s="1"/>
        <i x="787" s="1"/>
        <i x="397" s="1"/>
        <i x="444" s="1"/>
        <i x="76" s="1"/>
        <i x="718" s="1"/>
        <i x="345" s="1"/>
        <i x="923" s="1"/>
        <i x="373" s="1"/>
        <i x="829" s="1"/>
        <i x="33" s="1"/>
        <i x="221" s="1"/>
        <i x="478" s="1"/>
        <i x="714" s="1"/>
        <i x="798" s="1"/>
        <i x="387" s="1"/>
        <i x="501" s="1"/>
        <i x="244" s="1"/>
        <i x="16" s="1"/>
        <i x="205" s="1"/>
        <i x="513" s="1"/>
        <i x="234" s="1"/>
        <i x="456" s="1"/>
        <i x="894" s="1"/>
        <i x="536" s="1"/>
        <i x="41" s="1"/>
        <i x="485" s="1"/>
        <i x="776" s="1"/>
        <i x="22" s="1"/>
        <i x="138" s="1"/>
        <i x="696" s="1"/>
        <i x="144" s="1"/>
        <i x="11" s="1"/>
        <i x="799" s="1"/>
        <i x="35" s="1"/>
        <i x="590" s="1"/>
        <i x="958" s="1"/>
        <i x="488" s="1"/>
        <i x="720" s="1"/>
        <i x="864" s="1"/>
        <i x="173" s="1"/>
        <i x="494" s="1"/>
        <i x="463" s="1"/>
        <i x="132" s="1"/>
        <i x="436" s="1"/>
        <i x="388" s="1"/>
        <i x="304" s="1"/>
        <i x="490" s="1"/>
        <i x="621" s="1"/>
        <i x="697" s="1"/>
        <i x="34" s="1"/>
        <i x="297" s="1"/>
        <i x="737" s="1"/>
        <i x="449" s="1"/>
        <i x="810" s="1"/>
        <i x="496" s="1"/>
        <i x="243" s="1"/>
        <i x="957" s="1"/>
        <i x="428" s="1"/>
        <i x="92" s="1"/>
        <i x="465" s="1"/>
        <i x="213" s="1"/>
        <i x="452" s="1"/>
        <i x="19" s="1"/>
        <i x="423" s="1"/>
        <i x="1" s="1"/>
        <i x="709" s="1"/>
        <i x="122" s="1"/>
        <i x="706" s="1"/>
        <i x="722" s="1"/>
        <i x="287" s="1"/>
        <i x="936" s="1"/>
        <i x="467" s="1"/>
        <i x="881" s="1"/>
        <i x="974" s="1"/>
        <i x="399" s="1"/>
        <i x="529" s="1"/>
        <i x="274" s="1"/>
        <i x="583" s="1"/>
        <i x="79" s="1"/>
        <i x="282" s="1"/>
        <i x="499" s="1"/>
        <i x="326" s="1"/>
        <i x="235" s="1"/>
        <i x="168" s="1"/>
        <i x="550" s="1"/>
        <i x="176" s="1"/>
        <i x="686" s="1"/>
        <i x="729" s="1"/>
        <i x="242" s="1"/>
        <i x="989" s="1"/>
        <i x="214" s="1"/>
        <i x="333" s="1"/>
        <i x="302" s="1"/>
        <i x="129" s="1"/>
        <i x="3" s="1"/>
        <i x="751" s="1"/>
        <i x="857" s="1"/>
        <i x="228" s="1"/>
        <i x="66" s="1"/>
        <i x="289" s="1"/>
        <i x="666" s="1"/>
        <i x="114" s="1"/>
        <i x="51" s="1"/>
        <i x="249" s="1"/>
        <i x="226" s="1"/>
        <i x="64" s="1"/>
        <i x="260" s="1"/>
        <i x="945" s="1"/>
        <i x="261" s="1"/>
        <i x="162" s="1"/>
        <i x="251" s="1"/>
        <i x="517" s="1"/>
        <i x="743" s="1"/>
        <i x="866" s="1"/>
        <i x="763" s="1"/>
        <i x="537" s="1"/>
        <i x="141" s="1"/>
        <i x="67" s="1"/>
        <i x="693" s="1"/>
        <i x="600" s="1"/>
        <i x="88" s="1"/>
        <i x="656" s="1"/>
        <i x="835" s="1"/>
        <i x="809" s="1"/>
        <i x="503" s="1"/>
        <i x="340" s="1"/>
        <i x="443" s="1"/>
        <i x="109" s="1"/>
        <i x="761" s="1"/>
        <i x="956" s="1"/>
        <i x="784" s="1"/>
        <i x="683" s="1"/>
        <i x="70" s="1"/>
        <i x="813" s="1"/>
        <i x="158" s="1"/>
        <i x="439" s="1"/>
        <i x="955" s="1"/>
        <i x="844" s="1"/>
        <i x="715" s="1"/>
        <i x="869" s="1"/>
        <i x="169" s="1"/>
        <i x="37" s="1"/>
        <i x="649" s="1"/>
        <i x="643" s="1"/>
        <i x="429" s="1"/>
        <i x="74" s="1"/>
        <i x="793" s="1"/>
        <i x="412" s="1"/>
        <i x="179" s="1"/>
        <i x="502" s="1"/>
        <i x="924" s="1"/>
        <i x="233" s="1"/>
        <i x="582" s="1"/>
        <i x="733" s="1"/>
        <i x="736" s="1"/>
        <i x="94" s="1"/>
        <i x="930" s="1"/>
        <i x="102" s="1"/>
        <i x="534" s="1"/>
        <i x="597" s="1"/>
        <i x="223" s="1"/>
        <i x="863" s="1"/>
        <i x="532" s="1"/>
        <i x="876" s="1"/>
        <i x="606" s="1"/>
        <i x="865" s="1"/>
        <i x="828" s="1"/>
        <i x="719" s="1"/>
        <i x="354" s="1"/>
        <i x="409" s="1"/>
        <i x="589" s="1"/>
        <i x="139" s="1"/>
        <i x="547" s="1"/>
        <i x="797" s="1"/>
        <i x="247" s="1"/>
        <i x="420" s="1"/>
        <i x="921" s="1"/>
        <i x="401" s="1"/>
        <i x="867" s="1"/>
        <i x="926" s="1"/>
        <i x="757" s="1"/>
        <i x="969" s="1"/>
        <i x="903" s="1"/>
        <i x="888" s="1"/>
        <i x="194" s="1"/>
        <i x="80" s="1"/>
        <i x="476" s="1"/>
        <i x="207" s="1"/>
        <i x="421" s="1"/>
        <i x="619" s="1"/>
        <i x="482" s="1"/>
        <i x="638" s="1"/>
        <i x="119" s="1"/>
        <i x="57" s="1"/>
        <i x="603" s="1"/>
        <i x="521" s="1"/>
        <i x="598" s="1"/>
        <i x="846" s="1"/>
        <i x="620" s="1"/>
        <i x="878" s="1"/>
        <i x="640" s="1"/>
        <i x="357" s="1"/>
        <i x="188" s="1"/>
        <i x="791" s="1"/>
        <i x="758" s="1"/>
        <i x="273" s="1"/>
        <i x="52" s="1"/>
        <i x="68" s="1"/>
        <i x="610" s="1"/>
        <i x="588" s="1"/>
        <i x="18" s="1"/>
        <i x="518" s="1"/>
        <i x="258" s="1"/>
        <i x="567" s="1"/>
        <i x="774" s="1"/>
        <i x="91" s="1"/>
        <i x="811" s="1"/>
        <i x="49" s="1"/>
        <i x="23" s="1"/>
        <i x="512" s="1"/>
        <i x="724" s="1"/>
        <i x="278" s="1"/>
        <i x="917" s="1"/>
        <i x="734" s="1"/>
        <i x="484" s="1"/>
        <i x="628" s="1"/>
        <i x="457" s="1"/>
        <i x="81" s="1"/>
        <i x="239" s="1"/>
        <i x="353" s="1"/>
        <i x="802" s="1"/>
        <i x="634" s="1"/>
        <i x="171" s="1"/>
        <i x="711" s="1"/>
        <i x="356" s="1"/>
        <i x="198" s="1"/>
        <i x="229" s="1"/>
        <i x="703" s="1"/>
        <i x="380" s="1"/>
        <i x="231" s="1"/>
        <i x="831" s="1"/>
        <i x="633" s="1"/>
        <i x="612" s="1"/>
        <i x="948" s="1"/>
        <i x="870" s="1"/>
        <i x="963" s="1"/>
        <i x="907" s="1"/>
        <i x="591" s="1"/>
        <i x="783" s="1"/>
        <i x="329" s="1"/>
        <i x="905" s="1"/>
        <i x="82" s="1"/>
        <i x="893" s="1"/>
        <i x="6" s="1"/>
        <i x="745" s="1"/>
        <i x="148" s="1"/>
        <i x="704" s="1"/>
        <i x="566" s="1"/>
        <i x="581" s="1"/>
        <i x="935" s="1"/>
        <i x="938" s="1"/>
        <i x="622" s="1"/>
        <i x="576" s="1"/>
        <i x="565" s="1"/>
        <i x="937" s="1"/>
        <i x="347" s="1"/>
        <i x="732" s="1"/>
        <i x="104" s="1"/>
        <i x="611" s="1"/>
        <i x="510" s="1"/>
        <i x="197" s="1"/>
        <i x="535" s="1"/>
        <i x="837" s="1"/>
        <i x="992" s="1"/>
        <i x="818" s="1"/>
        <i x="75" s="1"/>
        <i x="17" s="1"/>
        <i x="635" s="1"/>
        <i x="531" s="1"/>
        <i x="668" s="1"/>
        <i x="827" s="1"/>
        <i x="85" s="1"/>
        <i x="9" s="1"/>
        <i x="350" s="1"/>
        <i x="468" s="1"/>
        <i x="65" s="1"/>
        <i x="609" s="1"/>
        <i x="417" s="1"/>
        <i x="676" s="1"/>
        <i x="25" s="1"/>
        <i x="803" s="1"/>
        <i x="671" s="1"/>
        <i x="288" s="1"/>
        <i x="667" s="1"/>
        <i x="437" s="1"/>
        <i x="752" s="1"/>
        <i x="307" s="1"/>
        <i x="928" s="1"/>
        <i x="862" s="1"/>
        <i x="742" s="1"/>
        <i x="123" s="1"/>
        <i x="953" s="1"/>
        <i x="27" s="1"/>
        <i x="69" s="1"/>
        <i x="195" s="1"/>
        <i x="596" s="1"/>
        <i x="348" s="1"/>
        <i x="411" s="1"/>
        <i x="435" s="1"/>
        <i x="747" s="1"/>
        <i x="985" s="1"/>
        <i x="785" s="1"/>
        <i x="20" s="1"/>
        <i x="670" s="1"/>
        <i x="424" s="1"/>
        <i x="549" s="1"/>
        <i x="210" s="1"/>
        <i x="45" s="1"/>
        <i x="725" s="1"/>
        <i x="770" s="1"/>
        <i x="480" s="1"/>
        <i x="281" s="1"/>
        <i x="641" s="1"/>
        <i x="406" s="1"/>
        <i x="215" s="1"/>
        <i x="204" s="1"/>
        <i x="471" s="1"/>
        <i x="186" s="1"/>
        <i x="396" s="1"/>
        <i x="694" s="1"/>
        <i x="658" s="1"/>
        <i x="995" s="1"/>
        <i x="362" s="1"/>
        <i x="856" s="1"/>
        <i x="986" s="1"/>
        <i x="61" s="1"/>
        <i x="301" s="1"/>
        <i x="901" s="1"/>
        <i x="336" s="1"/>
        <i x="877" s="1"/>
        <i x="447" s="1"/>
        <i x="434" s="1"/>
        <i x="150" s="1"/>
        <i x="572" s="1"/>
        <i x="325" s="1"/>
        <i x="677" s="1"/>
        <i x="10" s="1"/>
        <i x="462" s="1"/>
        <i x="391" s="1"/>
        <i x="438" s="1"/>
        <i x="627" s="1"/>
        <i x="700" s="1"/>
        <i x="575" s="1"/>
        <i x="650" s="1"/>
        <i x="647" s="1"/>
        <i x="882" s="1"/>
        <i x="500" s="1"/>
        <i x="971" s="1"/>
        <i x="432" s="1"/>
        <i x="674" s="1"/>
        <i x="808" s="1"/>
        <i x="967" s="1"/>
        <i x="790" s="1"/>
        <i x="766" s="1"/>
        <i x="608" s="1"/>
        <i x="920" s="1"/>
        <i x="341" s="1"/>
        <i x="753" s="1"/>
        <i x="377" s="1"/>
        <i x="183" s="1"/>
        <i x="390" s="1"/>
        <i x="665" s="1"/>
        <i x="358" s="1"/>
        <i x="299" s="1"/>
        <i x="133" s="1"/>
        <i x="145" s="1"/>
        <i x="113" s="1"/>
        <i x="12" s="1"/>
        <i x="182" s="1"/>
        <i x="970" s="1"/>
        <i x="804" s="1"/>
        <i x="29" s="1"/>
        <i x="898" s="1"/>
        <i x="160" s="1"/>
        <i x="469" s="1"/>
        <i x="819" s="1"/>
        <i x="775" s="1"/>
        <i x="966" s="1"/>
        <i x="890" s="1"/>
        <i x="346" s="1"/>
        <i x="72" s="1"/>
        <i x="584" s="1"/>
        <i x="270" s="1"/>
        <i x="934" s="1"/>
        <i x="561" s="1"/>
        <i x="699" s="1"/>
        <i x="448" s="1"/>
        <i x="285" s="1"/>
        <i x="283" s="1"/>
        <i x="702" s="1"/>
        <i x="885" s="1"/>
        <i x="884" s="1"/>
        <i x="996" s="1"/>
        <i x="385" s="1"/>
        <i x="601" s="1"/>
        <i x="365" s="1"/>
        <i x="30" s="1"/>
        <i x="964" s="1"/>
        <i x="897" s="1"/>
        <i x="55" s="1"/>
        <i x="178" s="1"/>
        <i x="90" s="1"/>
        <i x="988" s="1"/>
        <i x="225" s="1"/>
        <i x="366" s="1"/>
        <i x="587" s="1"/>
        <i x="84" s="1"/>
        <i x="470" s="1"/>
        <i x="313" s="1"/>
        <i x="222" s="1"/>
        <i x="624" s="1"/>
        <i x="858" s="1"/>
        <i x="316" s="1"/>
        <i x="843" s="1"/>
        <i x="806" s="1"/>
        <i x="659" s="1"/>
        <i x="909" s="1"/>
        <i x="997" s="1"/>
        <i x="292" s="1"/>
        <i x="507" s="1"/>
        <i x="767" s="1"/>
        <i x="708" s="1"/>
        <i x="871" s="1"/>
        <i x="573" s="1"/>
        <i x="978" s="1"/>
        <i x="402" s="1"/>
        <i x="298" s="1"/>
        <i x="13" s="1"/>
        <i x="100" s="1"/>
        <i x="929" s="1"/>
        <i x="764" s="1"/>
        <i x="672" s="1"/>
        <i x="973" s="1"/>
        <i x="916" s="1"/>
        <i x="201" s="1"/>
        <i x="644" s="1"/>
        <i x="663" s="1"/>
        <i x="156" s="1"/>
        <i x="987" s="1"/>
        <i x="208" s="1"/>
        <i x="653" s="1"/>
        <i x="46" s="1"/>
        <i x="595" s="1"/>
        <i x="58" s="1"/>
        <i x="681" s="1"/>
        <i x="559" s="1"/>
        <i x="599" s="1"/>
        <i x="433" s="1"/>
        <i x="317" s="1"/>
        <i x="993" s="1"/>
        <i x="220" s="1"/>
        <i x="639" s="1"/>
        <i x="520" s="1"/>
        <i x="371" s="1"/>
        <i x="682" s="1"/>
        <i x="115" s="1"/>
        <i x="839" s="1"/>
        <i x="673" s="1"/>
        <i x="904" s="1"/>
        <i x="265" s="1"/>
        <i x="155" s="1"/>
        <i x="180" s="1"/>
        <i x="777" s="1"/>
        <i x="511" s="1"/>
        <i x="739" s="1"/>
        <i x="339" s="1"/>
        <i x="498" s="1"/>
        <i x="134" s="1"/>
        <i x="121" s="1"/>
        <i x="632" s="1"/>
        <i x="933" s="1"/>
        <i x="250" s="1"/>
        <i x="792" s="1"/>
        <i x="252" s="1"/>
        <i x="106" s="1"/>
        <i x="327" s="1"/>
        <i x="382" s="1"/>
        <i x="103" s="1"/>
        <i x="695" s="1"/>
        <i x="731" s="1"/>
        <i x="749" s="1"/>
        <i x="309" s="1"/>
        <i x="607" s="1"/>
        <i x="364" s="1"/>
        <i x="487" s="1"/>
        <i x="900" s="1"/>
        <i x="211" s="1"/>
        <i x="748" s="1"/>
        <i x="189" s="1"/>
        <i x="539" s="1"/>
        <i x="414" s="1"/>
        <i x="26" s="1"/>
        <i x="321" s="1"/>
        <i x="120" s="1"/>
        <i x="519" s="1"/>
        <i x="455" s="1"/>
        <i x="951" s="1"/>
        <i x="212" s="1"/>
        <i x="164" s="1"/>
        <i x="161" s="1"/>
        <i x="645" s="1"/>
        <i x="927" s="1"/>
        <i x="167" s="1"/>
        <i x="497" s="1"/>
        <i x="359" s="1"/>
        <i x="368" s="1"/>
        <i x="284" s="1"/>
        <i x="568" s="1"/>
        <i x="8" s="1"/>
        <i x="574" s="1"/>
        <i x="728" s="1"/>
        <i x="473" s="1"/>
        <i x="453" s="1"/>
        <i x="824" s="1"/>
        <i x="868" s="1"/>
        <i x="551" s="1"/>
        <i x="376" s="1"/>
        <i x="838" s="1"/>
        <i x="701" s="1"/>
        <i x="400" s="1"/>
        <i x="306" s="1"/>
        <i x="721" s="1"/>
        <i x="97" s="1"/>
        <i x="236" s="1"/>
        <i x="48" s="1"/>
        <i x="40" s="1"/>
        <i x="664" s="1"/>
        <i x="312" s="1"/>
        <i x="822" s="1"/>
        <i x="977" s="1"/>
        <i x="779" s="1"/>
        <i x="370" s="1"/>
        <i x="185" s="1"/>
        <i x="543" s="1"/>
        <i x="717" s="1"/>
        <i x="949" s="1"/>
        <i x="914" s="1"/>
        <i x="77" s="1"/>
        <i x="323" s="1"/>
        <i x="124" s="1"/>
        <i x="707" s="1"/>
        <i x="563" s="1"/>
        <i x="98" s="1"/>
        <i x="374" s="1"/>
        <i x="431" s="1"/>
        <i x="961" s="1"/>
        <i x="823" s="1"/>
        <i x="0" s="1"/>
        <i x="334" s="1"/>
        <i x="545" s="1"/>
        <i x="489" s="1"/>
        <i x="146" s="1"/>
        <i x="918" s="1"/>
        <i x="369" s="1"/>
        <i x="826" s="1"/>
        <i x="128" s="1"/>
        <i x="580" s="1"/>
        <i x="655" s="1"/>
        <i x="506" s="1"/>
        <i x="360" s="1"/>
        <i x="906" s="1"/>
        <i x="87" s="1"/>
        <i x="383" s="1"/>
        <i x="940" s="1"/>
        <i x="117" s="1"/>
        <i x="290" s="1"/>
        <i x="422" s="1"/>
        <i x="294" s="1"/>
        <i x="118" s="1"/>
        <i x="560" s="1"/>
        <i x="170" s="1"/>
        <i x="626" s="1"/>
        <i x="181" s="1"/>
        <i x="848" s="1"/>
        <i x="684" s="1"/>
        <i x="805" s="1"/>
        <i x="481" s="1"/>
        <i x="253" s="1"/>
        <i x="62" s="1"/>
        <i x="408" s="1"/>
        <i x="246" s="1"/>
        <i x="392" s="1"/>
        <i x="410" s="1"/>
        <i x="617" s="1"/>
        <i x="554" s="1"/>
        <i x="464" s="1"/>
        <i x="637" s="1"/>
        <i x="477" s="1"/>
        <i x="648" s="1"/>
        <i x="925" s="1"/>
        <i x="466" s="1"/>
        <i x="629" s="1"/>
        <i x="219" s="1"/>
        <i x="56" s="1"/>
        <i x="419" s="1"/>
        <i x="613" s="1"/>
        <i x="801" s="1"/>
        <i x="192" s="1"/>
        <i x="367" s="1"/>
        <i x="305" s="1"/>
        <i x="337" s="1"/>
        <i x="675" s="1"/>
        <i x="505" s="1"/>
        <i x="217" s="1"/>
        <i x="688" s="1"/>
        <i x="446" s="1"/>
        <i x="149" s="1"/>
        <i x="768" s="1"/>
        <i x="691" s="1"/>
        <i x="196" s="1"/>
        <i x="230" s="1"/>
        <i x="493" s="1"/>
        <i x="50" s="1"/>
        <i x="291" s="1"/>
        <i x="224" s="1"/>
        <i x="112" s="1"/>
        <i x="980" s="1"/>
        <i x="712" s="1"/>
        <i x="351" s="1"/>
        <i x="965" s="1"/>
        <i x="922" s="1"/>
        <i x="780" s="1"/>
        <i x="579" s="1"/>
        <i x="832" s="1"/>
        <i x="264" s="1"/>
        <i x="795" s="1"/>
        <i x="203" s="1"/>
        <i x="723" s="1"/>
        <i x="163" s="1"/>
        <i x="552" s="1"/>
        <i x="200" s="1"/>
        <i x="522" s="1"/>
        <i x="509" s="1"/>
        <i x="63" s="1"/>
        <i x="825" s="1"/>
        <i x="310" s="1"/>
        <i x="605" s="1"/>
        <i x="508" s="1"/>
        <i x="979" s="1"/>
        <i x="461" s="1"/>
        <i x="331" s="1"/>
        <i x="232" s="1"/>
        <i x="416" s="1"/>
        <i x="614" s="1"/>
        <i x="800" s="1"/>
        <i x="817" s="1"/>
        <i x="744" s="1"/>
        <i x="199" s="1"/>
        <i x="853" s="1"/>
        <i x="678" s="1"/>
        <i x="755" s="1"/>
        <i x="43" s="1"/>
        <i x="807" s="1"/>
        <i x="892" s="1"/>
        <i x="553" s="1"/>
        <i x="286" s="1"/>
        <i x="541" s="1"/>
        <i x="137" s="1"/>
        <i x="859" s="1"/>
        <i x="548" s="1"/>
        <i x="73" s="1"/>
        <i x="32" s="1"/>
        <i x="944" s="1"/>
        <i x="442" s="1"/>
        <i x="962" s="1"/>
        <i x="216" s="1"/>
        <i x="849" s="1"/>
        <i x="981" s="1"/>
        <i x="95" s="1"/>
        <i x="245" s="1"/>
        <i x="31" s="1"/>
        <i x="919" s="1"/>
        <i x="657" s="1"/>
        <i x="42" s="1"/>
        <i x="661" s="1"/>
        <i x="375" s="1"/>
        <i x="107" s="1"/>
        <i x="21" s="1"/>
        <i x="592" s="1"/>
        <i x="594" s="1"/>
        <i x="883" s="1"/>
        <i x="765" s="1"/>
        <i x="257" s="1"/>
        <i x="335" s="1"/>
        <i x="320" s="1"/>
        <i x="716" s="1"/>
        <i x="886" s="1"/>
        <i x="769" s="1"/>
        <i x="850" s="1"/>
        <i x="542" s="1"/>
        <i x="78" s="1"/>
        <i x="322" s="1"/>
        <i x="127" s="1"/>
        <i x="834" s="1"/>
        <i x="193" s="1"/>
        <i x="89" s="1"/>
        <i x="879" s="1"/>
        <i x="268" s="1"/>
        <i x="816" s="1"/>
        <i x="815" s="1"/>
        <i x="166" s="1"/>
        <i x="533" s="1"/>
        <i x="794" s="1"/>
        <i x="642" s="1"/>
        <i x="836" s="1"/>
        <i x="315" s="1"/>
        <i x="746" s="1"/>
        <i x="796" s="1"/>
        <i x="266" s="1"/>
        <i x="142" s="1"/>
        <i x="426" s="1"/>
        <i x="472" s="1"/>
        <i x="303" s="1"/>
        <i x="395" s="1"/>
        <i x="860" s="1"/>
        <i x="206" s="1"/>
        <i x="578" s="1"/>
        <i x="623" s="1"/>
        <i x="440" s="1"/>
        <i x="994" s="1"/>
        <i x="130" s="1"/>
        <i x="942" s="1"/>
        <i x="157" s="1"/>
        <i x="651" s="1"/>
        <i x="646" s="1"/>
        <i x="887" s="1"/>
        <i x="523" s="1"/>
        <i x="99" s="1"/>
        <i x="660" s="1"/>
        <i x="277" s="1"/>
        <i x="172" s="1"/>
        <i x="379" s="1"/>
        <i x="483" s="1"/>
        <i x="855" s="1"/>
        <i x="96" s="1"/>
        <i x="616" s="1"/>
        <i x="275" s="1"/>
        <i x="754" s="1"/>
        <i x="450" s="1"/>
        <i x="363" s="1"/>
        <i x="143" s="1"/>
        <i x="389" s="1"/>
        <i x="525" s="1"/>
        <i x="93" s="1"/>
        <i x="726" s="1"/>
        <i x="908" s="1"/>
        <i x="381" s="1"/>
        <i x="136" s="1"/>
        <i x="314" s="1"/>
        <i x="308" s="1"/>
        <i x="913" s="1"/>
        <i x="255" s="1"/>
        <i x="486" s="1"/>
        <i x="630" s="1"/>
        <i x="652" s="1"/>
        <i x="237" s="1"/>
        <i x="105" s="1"/>
        <i x="413" s="1"/>
        <i x="762" s="1"/>
        <i x="558" s="1"/>
        <i x="527" s="1"/>
        <i x="625" s="1"/>
        <i x="990" s="1"/>
        <i x="530" s="1"/>
        <i x="952" s="1"/>
        <i x="378" s="1"/>
        <i x="177" s="1"/>
        <i x="262" s="1"/>
        <i x="932" s="1"/>
        <i x="960" s="1"/>
        <i x="386" s="1"/>
        <i x="851" s="1"/>
        <i x="151" s="1"/>
        <i x="654" s="1"/>
        <i x="735" s="1"/>
        <i x="959" s="1"/>
        <i x="564" s="1"/>
        <i x="946" s="1"/>
        <i x="5" s="1"/>
        <i x="110" s="1"/>
        <i x="126" s="1"/>
        <i x="343" s="1"/>
        <i x="902" s="1"/>
        <i x="328" s="1"/>
        <i x="872" s="1"/>
        <i x="842" s="1"/>
        <i x="750" s="1"/>
        <i x="874" s="1"/>
        <i x="698" s="1"/>
        <i x="814" s="1"/>
        <i x="998" s="1"/>
        <i x="788" s="1"/>
        <i x="943" s="1"/>
        <i x="976" s="1"/>
        <i x="271" s="1"/>
        <i x="53" s="1"/>
        <i x="847" s="1"/>
        <i x="789" s="1"/>
        <i x="108" s="1"/>
        <i x="47" s="1"/>
        <i x="7" s="1"/>
        <i x="586" s="1"/>
        <i x="571" s="1"/>
        <i x="983" s="1"/>
        <i x="771" s="1"/>
        <i x="209" s="1"/>
        <i x="479" s="1"/>
        <i x="538" s="1"/>
        <i x="540" s="1"/>
        <i x="854" s="1"/>
        <i x="875" s="1"/>
        <i x="451" s="1"/>
        <i x="911" s="1"/>
        <i x="833" s="1"/>
        <i x="941" s="1"/>
        <i x="781" s="1"/>
        <i x="372" s="1"/>
        <i x="319" s="1"/>
        <i x="86" s="1"/>
        <i x="131" s="1"/>
        <i x="685" s="1"/>
        <i x="184" s="1"/>
        <i x="311" s="1"/>
        <i x="241" s="1"/>
        <i x="344" s="1"/>
        <i x="296" s="1"/>
        <i x="54" s="1"/>
        <i x="972" s="1"/>
        <i x="125" s="1"/>
        <i x="891" s="1"/>
        <i x="950" s="1"/>
        <i x="954" s="1"/>
        <i x="738" s="1"/>
        <i x="773" s="1"/>
        <i x="740" s="1"/>
        <i x="355" s="1"/>
        <i x="515" s="1"/>
        <i x="524" s="1"/>
        <i x="991" s="1"/>
        <i x="38" s="1"/>
        <i x="730" s="1"/>
        <i x="418" s="1"/>
        <i x="36" s="1"/>
        <i x="786" s="1"/>
        <i x="445" s="1"/>
        <i x="454" s="1"/>
        <i x="984" s="1"/>
        <i x="352" s="1" nd="1"/>
        <i x="689" s="1" nd="1"/>
        <i x="248" s="1" nd="1"/>
        <i x="111" s="1" nd="1"/>
        <i x="280" s="1" nd="1"/>
        <i x="154" s="1" nd="1"/>
        <i x="840" s="1" nd="1"/>
        <i x="15" s="1" nd="1"/>
        <i x="495" s="1" nd="1"/>
        <i x="458" s="1" nd="1"/>
        <i x="403" s="1" nd="1"/>
        <i x="324" s="1" nd="1"/>
        <i x="240" s="1" nd="1"/>
        <i x="662" s="1" nd="1"/>
        <i x="912" s="1" nd="1"/>
        <i x="845" s="1" nd="1"/>
        <i x="147" s="1" nd="1"/>
        <i x="636" s="1" nd="1"/>
        <i x="896" s="1" nd="1"/>
        <i x="975" s="1" nd="1"/>
        <i x="174" s="1" nd="1"/>
        <i x="778" s="1" nd="1"/>
        <i x="202" s="1" nd="1"/>
        <i x="4" s="1" nd="1"/>
        <i x="276" s="1" nd="1"/>
        <i x="263" s="1" nd="1"/>
        <i x="459" s="1" nd="1"/>
        <i x="615" s="1" nd="1"/>
        <i x="256" s="1" nd="1"/>
        <i x="889" s="1" nd="1"/>
        <i x="710" s="1" nd="1"/>
        <i x="24" s="1" nd="1"/>
        <i x="14" s="1" nd="1"/>
        <i x="44" s="1" nd="1"/>
        <i x="293" s="1" nd="1"/>
        <i x="602" s="1" nd="1"/>
        <i x="861" s="1" nd="1"/>
        <i x="407" s="1" nd="1"/>
        <i x="153" s="1" nd="1"/>
        <i x="300" s="1" nd="1"/>
        <i x="830" s="1" nd="1"/>
        <i x="526" s="1" nd="1"/>
        <i x="60" s="1" nd="1"/>
        <i x="330" s="1" nd="1"/>
        <i x="968" s="1" nd="1"/>
        <i x="782" s="1" nd="1"/>
        <i x="557" s="1" nd="1"/>
        <i x="384" s="1" nd="1"/>
        <i x="427" s="1" nd="1"/>
        <i x="159" s="1" nd="1"/>
        <i x="269" s="1" nd="1"/>
        <i x="812" s="1" nd="1"/>
        <i x="585" s="1" nd="1"/>
        <i x="267" s="1" nd="1"/>
        <i x="415" s="1" nd="1"/>
        <i x="295" s="1" nd="1"/>
        <i x="83" s="1" nd="1"/>
        <i x="947" s="1" nd="1"/>
        <i x="759" s="1" nd="1"/>
        <i x="28" s="1" nd="1"/>
        <i x="135" s="1" nd="1"/>
        <i x="687" s="1" nd="1"/>
        <i x="713" s="1" nd="1"/>
        <i x="669" s="1" nd="1"/>
        <i x="982" s="1" nd="1"/>
        <i x="821" s="1" nd="1"/>
        <i x="238" s="1" nd="1"/>
        <i x="692" s="1" nd="1"/>
        <i x="191" s="1" nd="1"/>
        <i x="999"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date1" xr10:uid="{6317F355-855B-4342-88F4-0A8EDFC7C5C3}" sourceName="start_date">
  <extLst>
    <x:ext xmlns:x15="http://schemas.microsoft.com/office/spreadsheetml/2010/11/main" uri="{2F2917AC-EB37-4324-AD4E-5DD8C200BD13}">
      <x15:tableSlicerCache tableId="2" column="2"/>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FEB0FB7A-9C1C-4924-A713-E5345607D71E}" sourceName="type">
  <extLst>
    <x:ext xmlns:x15="http://schemas.microsoft.com/office/spreadsheetml/2010/11/main" uri="{2F2917AC-EB37-4324-AD4E-5DD8C200BD13}">
      <x15:tableSlicerCache tableId="2" column="6"/>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864C784F-B626-4045-9D30-CB8C512425D8}" sourceName="channel">
  <extLst>
    <x:ext xmlns:x15="http://schemas.microsoft.com/office/spreadsheetml/2010/11/main" uri="{2F2917AC-EB37-4324-AD4E-5DD8C200BD13}">
      <x15:tableSlicerCache tableId="2" column="8"/>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I_status1" xr10:uid="{B578AFEC-ECAA-4D99-8538-8189519AC61A}" sourceName="ROI status">
  <extLst>
    <x:ext xmlns:x15="http://schemas.microsoft.com/office/spreadsheetml/2010/11/main" uri="{2F2917AC-EB37-4324-AD4E-5DD8C200BD13}">
      <x15:tableSlicerCache tableId="2" column="1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7CAA52D8-42AA-4F7C-8722-16B9DFDD8F24}" cache="Slicer_channel" caption="channel" level="1" rowHeight="247650"/>
  <slicer name="type" xr10:uid="{8A0B9A2E-5DF3-4AF6-A134-3B9D77D7573F}" cache="Slicer_type" caption="type" level="1" rowHeight="247650"/>
  <slicer name="ROI status" xr10:uid="{7D664210-7878-4AB9-8158-B150899980AC}" cache="Slicer_ROI_status" caption="ROI status" level="1" rowHeight="247650"/>
  <slicer name="start_date" xr10:uid="{B311007E-A037-4464-892F-8BF208AB847F}" cache="Slicer_start_date" caption="start_date" level="1" rowHeight="247650"/>
  <slicer name="channel 3" xr10:uid="{6F498CB4-32BA-4154-9C0A-108E19850281}" cache="Slicer_channel2" caption="channel" rowHeight="247650"/>
  <slicer name="ROI status 1" xr10:uid="{FBACECFA-929D-4163-A661-12FFD79930C6}" cache="Slicer_ROI_status2" caption="ROI status" rowHeight="247650"/>
  <slicer name="type 1" xr10:uid="{A4249F7C-C0A9-42FE-B2E2-8FDA4DE5CF3B}" cache="Slicer_type2" caption="type" rowHeight="247650"/>
  <slicer name="start_date 2" xr10:uid="{A696D205-7716-4D94-A618-5206782CD603}" cache="Slicer_start_date2" caption="start_date" rowHeight="247650"/>
  <slicer name="campaign_name" xr10:uid="{B6FCCA04-EF10-4BD8-960A-59F898CA61F2}" cache="Slicer_campaign_name" caption="campaign_nam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4" xr10:uid="{40A4F2AB-A8E8-4721-BC0E-D80B34C452D1}" cache="Slicer_channel2" caption="channel" style="SlicerStyleDark1" rowHeight="247650"/>
  <slicer name="ROI status 3" xr10:uid="{A21B0C5B-5501-4F5F-9838-937899F0784E}" cache="Slicer_ROI_status2" caption="ROI status" style="SlicerStyleDark1" rowHeight="247650"/>
  <slicer name="type 3" xr10:uid="{72F44BD0-BFF8-44C9-A355-C8CAA2ED78DF}" cache="Slicer_type2" caption="type" style="SlicerStyleDark1" rowHeight="247650"/>
  <slicer name="start_date 3" xr10:uid="{0DB01ECE-0CB7-41A5-91E5-96AFF4BD778F}" cache="Slicer_start_date2" caption="start_date" style="SlicerStyleDark1" rowHeight="247650"/>
  <slicer name="campaign_name 1" xr10:uid="{37EADAAA-2C49-4051-B885-203797135936}" cache="Slicer_campaign_name" caption="campaign_name" startItem="28"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_date 1" xr10:uid="{929C0A6D-944D-441A-86E5-88180DC19EE0}" cache="Slicer_start_date1" caption="start_date" rowHeight="247650"/>
  <slicer name="type 2" xr10:uid="{47964C86-DD1C-48DD-B0C7-B02449208476}" cache="Slicer_type1" caption="type" rowHeight="247650"/>
  <slicer name="channel 1" xr10:uid="{73332BC0-DC3B-47E6-B9BF-A57CC817F953}" cache="Slicer_channel1" caption="channel" rowHeight="247650"/>
  <slicer name="ROI status 2" xr10:uid="{FB640800-F9D7-47EB-8437-C514DF96E5A7}" cache="Slicer_ROI_status1" caption="ROI 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D0B702-6057-4F56-B47E-012A215C6067}" name="Table2" displayName="Table2" ref="A1:O1001" totalsRowShown="0">
  <autoFilter ref="A1:O1001" xr:uid="{29D0B702-6057-4F56-B47E-012A215C6067}"/>
  <tableColumns count="15">
    <tableColumn id="1" xr3:uid="{95BBB42E-7366-4BAB-A5F7-91F092903072}" name="campaign_name"/>
    <tableColumn id="2" xr3:uid="{BC57A138-AC80-44F2-B193-B0FEEABBE043}" name="start_date" dataDxfId="7"/>
    <tableColumn id="3" xr3:uid="{D11BD636-D840-4925-8867-A07AD8A4F9E1}" name="end_date" dataDxfId="6"/>
    <tableColumn id="4" xr3:uid="{E4BB37AF-F2CD-4154-B674-BAB3B0C20413}" name="budget"/>
    <tableColumn id="5" xr3:uid="{C825413C-1CCE-41D1-8DD7-166D7DD20B0A}" name="roi" dataDxfId="5">
      <calculatedColumnFormula>(Table2[[#This Row],[revenue]]-Table2[[#This Row],[budget]])/Table2[[#This Row],[budget]]</calculatedColumnFormula>
    </tableColumn>
    <tableColumn id="6" xr3:uid="{2573AF46-9630-4B01-A138-FC4F1D172112}" name="type"/>
    <tableColumn id="7" xr3:uid="{FF58F54E-1015-438F-8659-3A65CAAD5A71}" name="target_audience"/>
    <tableColumn id="8" xr3:uid="{AACA7E6D-13FC-4CF3-8839-74AD28B30447}" name="channel"/>
    <tableColumn id="9" xr3:uid="{CFA377B9-19F4-4FEE-B038-6E749B8BE311}" name="conversion_rate"/>
    <tableColumn id="10" xr3:uid="{565331F6-8357-4A19-B725-CDDF0BD06933}" name="revenue"/>
    <tableColumn id="11" xr3:uid="{40947723-C5C9-4628-8DE2-246FE7BE08A1}" name="Ratio" dataDxfId="4">
      <calculatedColumnFormula>Table2[[#This Row],[revenue]]/Table2[[#This Row],[budget]]</calculatedColumnFormula>
    </tableColumn>
    <tableColumn id="12" xr3:uid="{96A91AE1-CE40-4DF7-87BA-B8807A5FD205}" name="Adjusted revenue" dataDxfId="3">
      <calculatedColumnFormula>MIN(MAX(J2, D2*0.5), D2*10)</calculatedColumnFormula>
    </tableColumn>
    <tableColumn id="13" xr3:uid="{9ACE0DE8-C839-4D6A-88C4-B55AD7B88EC5}" name="Adjusted ROI" dataDxfId="2">
      <calculatedColumnFormula>(Table2[[#This Row],[Adjusted revenue]]-Table2[[#This Row],[budget]])/Table2[[#This Row],[budget]]</calculatedColumnFormula>
    </tableColumn>
    <tableColumn id="14" xr3:uid="{91E9B81D-6FD7-44A7-8286-2782F272FC84}" name="ROI status" dataDxfId="1">
      <calculatedColumnFormula>IF(M2&lt;0.5,"Failed",IF(M2&gt;10,"Suspicious","OK"))</calculatedColumnFormula>
    </tableColumn>
    <tableColumn id="15" xr3:uid="{A57000D9-7B1D-4202-9DE8-09C7D274AC20}" name="normalized ROI" dataDxfId="0">
      <calculatedColumnFormula>((M2 - (-0.5)) / (9 - (-0.5))) * (1 - (-1)) +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843F-CBAC-4A55-8F54-97860E53C95E}">
  <dimension ref="A2:V957"/>
  <sheetViews>
    <sheetView zoomScale="43" workbookViewId="0">
      <selection activeCell="T24" sqref="T24"/>
    </sheetView>
  </sheetViews>
  <sheetFormatPr defaultRowHeight="14.4" x14ac:dyDescent="0.3"/>
  <cols>
    <col min="1" max="1" width="32.44140625" bestFit="1" customWidth="1"/>
    <col min="2" max="3" width="20.77734375" bestFit="1" customWidth="1"/>
    <col min="4" max="4" width="32.44140625" bestFit="1" customWidth="1"/>
    <col min="5" max="5" width="26.77734375" bestFit="1" customWidth="1"/>
    <col min="6" max="6" width="39.33203125" bestFit="1" customWidth="1"/>
    <col min="7" max="7" width="19.44140625" bestFit="1" customWidth="1"/>
    <col min="8" max="8" width="31.88671875" bestFit="1" customWidth="1"/>
    <col min="9" max="9" width="26.77734375" bestFit="1" customWidth="1"/>
    <col min="10" max="10" width="39.33203125" bestFit="1" customWidth="1"/>
    <col min="11" max="11" width="18.6640625" bestFit="1" customWidth="1"/>
    <col min="15" max="15" width="32.44140625" bestFit="1" customWidth="1"/>
    <col min="16" max="16" width="24.44140625" bestFit="1" customWidth="1"/>
    <col min="17" max="19" width="19.44140625" bestFit="1" customWidth="1"/>
    <col min="20" max="20" width="54.33203125" bestFit="1" customWidth="1"/>
    <col min="21" max="21" width="19.44140625" bestFit="1" customWidth="1"/>
    <col min="22" max="22" width="27.21875" bestFit="1" customWidth="1"/>
    <col min="23" max="25" width="12.6640625" bestFit="1" customWidth="1"/>
  </cols>
  <sheetData>
    <row r="2" spans="1:20" x14ac:dyDescent="0.3">
      <c r="A2" t="s">
        <v>1029</v>
      </c>
    </row>
    <row r="3" spans="1:20" x14ac:dyDescent="0.3">
      <c r="A3" s="6">
        <v>7.1244899782245472</v>
      </c>
    </row>
    <row r="4" spans="1:20" x14ac:dyDescent="0.3">
      <c r="A4" t="s">
        <v>1027</v>
      </c>
    </row>
    <row r="5" spans="1:20" x14ac:dyDescent="0.3">
      <c r="A5" s="6">
        <v>332966201.65999991</v>
      </c>
      <c r="C5" s="3" t="s">
        <v>1031</v>
      </c>
      <c r="D5" s="3" t="s">
        <v>1030</v>
      </c>
    </row>
    <row r="6" spans="1:20" x14ac:dyDescent="0.3">
      <c r="A6" t="s">
        <v>1026</v>
      </c>
      <c r="C6" s="3" t="s">
        <v>1024</v>
      </c>
      <c r="D6" t="s">
        <v>1035</v>
      </c>
      <c r="E6" t="s">
        <v>1025</v>
      </c>
    </row>
    <row r="7" spans="1:20" x14ac:dyDescent="0.3">
      <c r="A7" s="6">
        <v>44911354.250000067</v>
      </c>
      <c r="C7" s="4" t="s">
        <v>13</v>
      </c>
      <c r="D7" s="6">
        <v>229</v>
      </c>
      <c r="E7" s="6">
        <v>229</v>
      </c>
    </row>
    <row r="8" spans="1:20" x14ac:dyDescent="0.3">
      <c r="C8" s="4" t="s">
        <v>19</v>
      </c>
      <c r="D8" s="6">
        <v>223</v>
      </c>
      <c r="E8" s="6">
        <v>223</v>
      </c>
    </row>
    <row r="9" spans="1:20" x14ac:dyDescent="0.3">
      <c r="C9" s="4" t="s">
        <v>16</v>
      </c>
      <c r="D9" s="6">
        <v>251</v>
      </c>
      <c r="E9" s="6">
        <v>251</v>
      </c>
    </row>
    <row r="10" spans="1:20" x14ac:dyDescent="0.3">
      <c r="C10" s="4" t="s">
        <v>25</v>
      </c>
      <c r="D10" s="6">
        <v>228</v>
      </c>
      <c r="E10" s="6">
        <v>228</v>
      </c>
    </row>
    <row r="11" spans="1:20" x14ac:dyDescent="0.3">
      <c r="C11" s="4" t="s">
        <v>1025</v>
      </c>
      <c r="D11" s="6">
        <v>931</v>
      </c>
      <c r="E11" s="6">
        <v>931</v>
      </c>
    </row>
    <row r="12" spans="1:20" x14ac:dyDescent="0.3">
      <c r="O12" s="3" t="s">
        <v>1029</v>
      </c>
      <c r="P12" s="3" t="s">
        <v>1030</v>
      </c>
    </row>
    <row r="13" spans="1:20" x14ac:dyDescent="0.3">
      <c r="O13" s="3" t="s">
        <v>1024</v>
      </c>
      <c r="P13" t="s">
        <v>13</v>
      </c>
      <c r="Q13" t="s">
        <v>19</v>
      </c>
      <c r="R13" t="s">
        <v>16</v>
      </c>
      <c r="S13" t="s">
        <v>25</v>
      </c>
      <c r="T13" t="s">
        <v>1025</v>
      </c>
    </row>
    <row r="14" spans="1:20" x14ac:dyDescent="0.3">
      <c r="O14" s="4" t="s">
        <v>1034</v>
      </c>
      <c r="P14" s="6">
        <v>7.03473197463238</v>
      </c>
      <c r="Q14" s="6">
        <v>7.4107994536907267</v>
      </c>
      <c r="R14" s="6">
        <v>6.9768350796996277</v>
      </c>
      <c r="S14" s="6">
        <v>7.1069359574874795</v>
      </c>
      <c r="T14" s="6">
        <v>7.1201849854843138</v>
      </c>
    </row>
    <row r="15" spans="1:20" x14ac:dyDescent="0.3">
      <c r="C15" s="3" t="s">
        <v>1030</v>
      </c>
      <c r="O15" s="4" t="s">
        <v>1036</v>
      </c>
      <c r="P15" s="6">
        <v>7.3401558979777137</v>
      </c>
      <c r="Q15" s="6">
        <v>7.272216909498793</v>
      </c>
      <c r="R15" s="6">
        <v>6.8543387943194505</v>
      </c>
      <c r="S15" s="6">
        <v>7.0540211198242799</v>
      </c>
      <c r="T15" s="6">
        <v>7.1276347034046887</v>
      </c>
    </row>
    <row r="16" spans="1:20" x14ac:dyDescent="0.3">
      <c r="C16" t="s">
        <v>1035</v>
      </c>
      <c r="E16" t="s">
        <v>1032</v>
      </c>
      <c r="F16" t="s">
        <v>1033</v>
      </c>
      <c r="O16" s="4" t="s">
        <v>1025</v>
      </c>
      <c r="P16" s="6">
        <v>7.2147853792246091</v>
      </c>
      <c r="Q16" s="6">
        <v>7.3244184059657087</v>
      </c>
      <c r="R16" s="6">
        <v>6.9050942273056561</v>
      </c>
      <c r="S16" s="6">
        <v>7.0797822907918881</v>
      </c>
      <c r="T16" s="6">
        <v>7.1244899782245517</v>
      </c>
    </row>
    <row r="17" spans="2:22" x14ac:dyDescent="0.3">
      <c r="B17" s="3" t="s">
        <v>1024</v>
      </c>
      <c r="C17" t="s">
        <v>1026</v>
      </c>
      <c r="D17" t="s">
        <v>1027</v>
      </c>
    </row>
    <row r="18" spans="2:22" x14ac:dyDescent="0.3">
      <c r="B18" s="4" t="s">
        <v>11</v>
      </c>
      <c r="C18" s="6">
        <v>12251287.380000005</v>
      </c>
      <c r="D18" s="6">
        <v>92535964.280000031</v>
      </c>
      <c r="E18" s="6">
        <v>12251287.380000005</v>
      </c>
      <c r="F18" s="6">
        <v>92535964.280000031</v>
      </c>
    </row>
    <row r="19" spans="2:22" x14ac:dyDescent="0.3">
      <c r="B19" s="4" t="s">
        <v>18</v>
      </c>
      <c r="C19" s="6">
        <v>10567516.699999997</v>
      </c>
      <c r="D19" s="6">
        <v>77631637.239999995</v>
      </c>
      <c r="E19" s="6">
        <v>10567516.699999997</v>
      </c>
      <c r="F19" s="6">
        <v>77631637.239999995</v>
      </c>
    </row>
    <row r="20" spans="2:22" x14ac:dyDescent="0.3">
      <c r="B20" s="4" t="s">
        <v>23</v>
      </c>
      <c r="C20" s="6">
        <v>10068864.869999999</v>
      </c>
      <c r="D20" s="6">
        <v>75487230</v>
      </c>
      <c r="E20" s="6">
        <v>10068864.869999999</v>
      </c>
      <c r="F20" s="6">
        <v>75487230</v>
      </c>
    </row>
    <row r="21" spans="2:22" x14ac:dyDescent="0.3">
      <c r="B21" s="4" t="s">
        <v>21</v>
      </c>
      <c r="C21" s="6">
        <v>12023685.300000006</v>
      </c>
      <c r="D21" s="6">
        <v>87311370.139999986</v>
      </c>
      <c r="E21" s="6">
        <v>12023685.300000006</v>
      </c>
      <c r="F21" s="6">
        <v>87311370.139999986</v>
      </c>
    </row>
    <row r="22" spans="2:22" x14ac:dyDescent="0.3">
      <c r="B22" s="4" t="s">
        <v>1025</v>
      </c>
      <c r="C22" s="6">
        <v>44911354.250000007</v>
      </c>
      <c r="D22" s="6">
        <v>332966201.66000003</v>
      </c>
      <c r="E22" s="6">
        <v>44911354.250000007</v>
      </c>
      <c r="F22" s="6">
        <v>332966201.66000003</v>
      </c>
    </row>
    <row r="24" spans="2:22" x14ac:dyDescent="0.3">
      <c r="T24" s="3" t="s">
        <v>1022</v>
      </c>
      <c r="U24" t="s">
        <v>1035</v>
      </c>
    </row>
    <row r="26" spans="2:22" x14ac:dyDescent="0.3">
      <c r="B26" s="3" t="s">
        <v>1024</v>
      </c>
      <c r="C26" t="s">
        <v>1029</v>
      </c>
      <c r="T26" s="3" t="s">
        <v>1024</v>
      </c>
      <c r="U26" t="s">
        <v>1026</v>
      </c>
      <c r="V26" t="s">
        <v>1028</v>
      </c>
    </row>
    <row r="27" spans="2:22" x14ac:dyDescent="0.3">
      <c r="B27" s="4" t="s">
        <v>13</v>
      </c>
      <c r="C27" s="6">
        <v>7.2147853792246108</v>
      </c>
      <c r="T27" s="4" t="s">
        <v>91</v>
      </c>
      <c r="U27" s="6">
        <v>60594.85</v>
      </c>
      <c r="V27" s="6">
        <v>9</v>
      </c>
    </row>
    <row r="28" spans="2:22" x14ac:dyDescent="0.3">
      <c r="B28" s="4" t="s">
        <v>19</v>
      </c>
      <c r="C28" s="6">
        <v>7.3244184059657087</v>
      </c>
      <c r="T28" s="4" t="s">
        <v>299</v>
      </c>
      <c r="U28" s="6">
        <v>46618.3</v>
      </c>
      <c r="V28" s="6">
        <v>9</v>
      </c>
    </row>
    <row r="29" spans="2:22" x14ac:dyDescent="0.3">
      <c r="B29" s="4" t="s">
        <v>16</v>
      </c>
      <c r="C29" s="6">
        <v>6.9050942273056579</v>
      </c>
      <c r="T29" s="4" t="s">
        <v>872</v>
      </c>
      <c r="U29" s="6">
        <v>71105.48</v>
      </c>
      <c r="V29" s="6">
        <v>2.4136966658547276</v>
      </c>
    </row>
    <row r="30" spans="2:22" x14ac:dyDescent="0.3">
      <c r="B30" s="4" t="s">
        <v>25</v>
      </c>
      <c r="C30" s="6">
        <v>7.079782290791889</v>
      </c>
      <c r="T30" s="4" t="s">
        <v>959</v>
      </c>
      <c r="U30" s="6">
        <v>69533.11</v>
      </c>
      <c r="V30" s="6">
        <v>9</v>
      </c>
    </row>
    <row r="31" spans="2:22" x14ac:dyDescent="0.3">
      <c r="B31" s="4" t="s">
        <v>1025</v>
      </c>
      <c r="C31" s="6">
        <v>7.1244899782245481</v>
      </c>
      <c r="T31" s="4" t="s">
        <v>524</v>
      </c>
      <c r="U31" s="6">
        <v>58920.71</v>
      </c>
      <c r="V31" s="6">
        <v>6.0676953824894504</v>
      </c>
    </row>
    <row r="32" spans="2:22" x14ac:dyDescent="0.3">
      <c r="T32" s="4" t="s">
        <v>534</v>
      </c>
      <c r="U32" s="6">
        <v>72412.240000000005</v>
      </c>
      <c r="V32" s="6">
        <v>2.0604439249497042</v>
      </c>
    </row>
    <row r="33" spans="3:22" x14ac:dyDescent="0.3">
      <c r="T33" s="4" t="s">
        <v>274</v>
      </c>
      <c r="U33" s="6">
        <v>97675.33</v>
      </c>
      <c r="V33" s="6">
        <v>8.8457815294813944</v>
      </c>
    </row>
    <row r="34" spans="3:22" x14ac:dyDescent="0.3">
      <c r="T34" s="4" t="s">
        <v>512</v>
      </c>
      <c r="U34" s="6">
        <v>1873.52</v>
      </c>
      <c r="V34" s="6">
        <v>9</v>
      </c>
    </row>
    <row r="35" spans="3:22" x14ac:dyDescent="0.3">
      <c r="T35" s="4" t="s">
        <v>582</v>
      </c>
      <c r="U35" s="6">
        <v>44314.41</v>
      </c>
      <c r="V35" s="6">
        <v>9</v>
      </c>
    </row>
    <row r="36" spans="3:22" x14ac:dyDescent="0.3">
      <c r="T36" s="4" t="s">
        <v>792</v>
      </c>
      <c r="U36" s="6">
        <v>75404.87</v>
      </c>
      <c r="V36" s="6">
        <v>0.75474501845835706</v>
      </c>
    </row>
    <row r="37" spans="3:22" x14ac:dyDescent="0.3">
      <c r="T37" s="4" t="s">
        <v>461</v>
      </c>
      <c r="U37" s="6">
        <v>34910.160000000003</v>
      </c>
      <c r="V37" s="6">
        <v>9</v>
      </c>
    </row>
    <row r="38" spans="3:22" x14ac:dyDescent="0.3">
      <c r="T38" s="4" t="s">
        <v>195</v>
      </c>
      <c r="U38" s="6">
        <v>44466.83</v>
      </c>
      <c r="V38" s="6">
        <v>9</v>
      </c>
    </row>
    <row r="39" spans="3:22" x14ac:dyDescent="0.3">
      <c r="T39" s="4" t="s">
        <v>425</v>
      </c>
      <c r="U39" s="6">
        <v>13105.34</v>
      </c>
      <c r="V39" s="6">
        <v>9</v>
      </c>
    </row>
    <row r="40" spans="3:22" x14ac:dyDescent="0.3">
      <c r="C40" s="3" t="s">
        <v>1024</v>
      </c>
      <c r="D40" t="s">
        <v>1029</v>
      </c>
      <c r="T40" s="4" t="s">
        <v>247</v>
      </c>
      <c r="U40" s="6">
        <v>28928.55</v>
      </c>
      <c r="V40" s="6">
        <v>3.496704812373935</v>
      </c>
    </row>
    <row r="41" spans="3:22" x14ac:dyDescent="0.3">
      <c r="C41" s="4" t="s">
        <v>1034</v>
      </c>
      <c r="D41" s="6">
        <v>7.1201849854843147</v>
      </c>
      <c r="T41" s="4" t="s">
        <v>59</v>
      </c>
      <c r="U41" s="6">
        <v>27168.6</v>
      </c>
      <c r="V41" s="6">
        <v>9</v>
      </c>
    </row>
    <row r="42" spans="3:22" x14ac:dyDescent="0.3">
      <c r="C42" s="4" t="s">
        <v>1036</v>
      </c>
      <c r="D42" s="6">
        <v>7.1276347034046887</v>
      </c>
      <c r="T42" s="4" t="s">
        <v>369</v>
      </c>
      <c r="U42" s="6">
        <v>88219.78</v>
      </c>
      <c r="V42" s="6">
        <v>3.3654606710649237</v>
      </c>
    </row>
    <row r="43" spans="3:22" x14ac:dyDescent="0.3">
      <c r="C43" s="4" t="s">
        <v>1025</v>
      </c>
      <c r="D43" s="6">
        <v>7.1244899782245472</v>
      </c>
      <c r="T43" s="4" t="s">
        <v>352</v>
      </c>
      <c r="U43" s="6">
        <v>52088.32</v>
      </c>
      <c r="V43" s="6">
        <v>0.64978233124047768</v>
      </c>
    </row>
    <row r="44" spans="3:22" x14ac:dyDescent="0.3">
      <c r="T44" s="4" t="s">
        <v>564</v>
      </c>
      <c r="U44" s="6">
        <v>62734.3</v>
      </c>
      <c r="V44" s="6">
        <v>8.9999999999999982</v>
      </c>
    </row>
    <row r="45" spans="3:22" x14ac:dyDescent="0.3">
      <c r="T45" s="4" t="s">
        <v>780</v>
      </c>
      <c r="U45" s="6">
        <v>82461.13</v>
      </c>
      <c r="V45" s="6">
        <v>2.4664019277931306</v>
      </c>
    </row>
    <row r="46" spans="3:22" x14ac:dyDescent="0.3">
      <c r="T46" s="4" t="s">
        <v>358</v>
      </c>
      <c r="U46" s="6">
        <v>82351.520000000004</v>
      </c>
      <c r="V46" s="6">
        <v>4.7131819789118641</v>
      </c>
    </row>
    <row r="47" spans="3:22" x14ac:dyDescent="0.3">
      <c r="T47" s="4" t="s">
        <v>279</v>
      </c>
      <c r="U47" s="6">
        <v>97730.37</v>
      </c>
      <c r="V47" s="6">
        <v>8.2205857810627343</v>
      </c>
    </row>
    <row r="48" spans="3:22" x14ac:dyDescent="0.3">
      <c r="T48" s="4" t="s">
        <v>915</v>
      </c>
      <c r="U48" s="6">
        <v>27483.74</v>
      </c>
      <c r="V48" s="6">
        <v>4.0450852031055451</v>
      </c>
    </row>
    <row r="49" spans="20:22" x14ac:dyDescent="0.3">
      <c r="T49" s="4" t="s">
        <v>381</v>
      </c>
      <c r="U49" s="6">
        <v>1436.99</v>
      </c>
      <c r="V49" s="6">
        <v>9</v>
      </c>
    </row>
    <row r="50" spans="20:22" x14ac:dyDescent="0.3">
      <c r="T50" s="4" t="s">
        <v>548</v>
      </c>
      <c r="U50" s="6">
        <v>83804.53</v>
      </c>
      <c r="V50" s="6">
        <v>9</v>
      </c>
    </row>
    <row r="51" spans="20:22" x14ac:dyDescent="0.3">
      <c r="T51" s="4" t="s">
        <v>638</v>
      </c>
      <c r="U51" s="6">
        <v>65864.61</v>
      </c>
      <c r="V51" s="6">
        <v>9</v>
      </c>
    </row>
    <row r="52" spans="20:22" x14ac:dyDescent="0.3">
      <c r="T52" s="4" t="s">
        <v>761</v>
      </c>
      <c r="U52" s="6">
        <v>40413.870000000003</v>
      </c>
      <c r="V52" s="6">
        <v>1.368145144228949</v>
      </c>
    </row>
    <row r="53" spans="20:22" x14ac:dyDescent="0.3">
      <c r="T53" s="4" t="s">
        <v>511</v>
      </c>
      <c r="U53" s="6">
        <v>72322.94</v>
      </c>
      <c r="V53" s="6">
        <v>9</v>
      </c>
    </row>
    <row r="54" spans="20:22" x14ac:dyDescent="0.3">
      <c r="T54" s="4" t="s">
        <v>207</v>
      </c>
      <c r="U54" s="6">
        <v>20401.62</v>
      </c>
      <c r="V54" s="6">
        <v>9</v>
      </c>
    </row>
    <row r="55" spans="20:22" x14ac:dyDescent="0.3">
      <c r="T55" s="4" t="s">
        <v>699</v>
      </c>
      <c r="U55" s="6">
        <v>90591.66</v>
      </c>
      <c r="V55" s="6">
        <v>6.7489296476077376</v>
      </c>
    </row>
    <row r="56" spans="20:22" x14ac:dyDescent="0.3">
      <c r="T56" s="4" t="s">
        <v>136</v>
      </c>
      <c r="U56" s="6">
        <v>31712.22</v>
      </c>
      <c r="V56" s="6">
        <v>8.9999999999999982</v>
      </c>
    </row>
    <row r="57" spans="20:22" x14ac:dyDescent="0.3">
      <c r="T57" s="4" t="s">
        <v>480</v>
      </c>
      <c r="U57" s="6">
        <v>7952.69</v>
      </c>
      <c r="V57" s="6">
        <v>9</v>
      </c>
    </row>
    <row r="58" spans="20:22" x14ac:dyDescent="0.3">
      <c r="T58" s="4" t="s">
        <v>590</v>
      </c>
      <c r="U58" s="6">
        <v>49202.14</v>
      </c>
      <c r="V58" s="6">
        <v>9</v>
      </c>
    </row>
    <row r="59" spans="20:22" x14ac:dyDescent="0.3">
      <c r="T59" s="4" t="s">
        <v>919</v>
      </c>
      <c r="U59" s="6">
        <v>48068.29</v>
      </c>
      <c r="V59" s="6">
        <v>9</v>
      </c>
    </row>
    <row r="60" spans="20:22" x14ac:dyDescent="0.3">
      <c r="T60" s="4" t="s">
        <v>624</v>
      </c>
      <c r="U60" s="6">
        <v>69094.64</v>
      </c>
      <c r="V60" s="6">
        <v>9</v>
      </c>
    </row>
    <row r="61" spans="20:22" x14ac:dyDescent="0.3">
      <c r="T61" s="4" t="s">
        <v>424</v>
      </c>
      <c r="U61" s="6">
        <v>13945.61</v>
      </c>
      <c r="V61" s="6">
        <v>9</v>
      </c>
    </row>
    <row r="62" spans="20:22" x14ac:dyDescent="0.3">
      <c r="T62" s="4" t="s">
        <v>710</v>
      </c>
      <c r="U62" s="6">
        <v>41188.160000000003</v>
      </c>
      <c r="V62" s="6">
        <v>9</v>
      </c>
    </row>
    <row r="63" spans="20:22" x14ac:dyDescent="0.3">
      <c r="T63" s="4" t="s">
        <v>651</v>
      </c>
      <c r="U63" s="6">
        <v>45083.57</v>
      </c>
      <c r="V63" s="6">
        <v>9</v>
      </c>
    </row>
    <row r="64" spans="20:22" x14ac:dyDescent="0.3">
      <c r="T64" s="4" t="s">
        <v>900</v>
      </c>
      <c r="U64" s="6">
        <v>10297.36</v>
      </c>
      <c r="V64" s="6">
        <v>9</v>
      </c>
    </row>
    <row r="65" spans="20:22" x14ac:dyDescent="0.3">
      <c r="T65" s="4" t="s">
        <v>17</v>
      </c>
      <c r="U65" s="6">
        <v>84643.1</v>
      </c>
      <c r="V65" s="6">
        <v>4.4136417498886491</v>
      </c>
    </row>
    <row r="66" spans="20:22" x14ac:dyDescent="0.3">
      <c r="T66" s="4" t="s">
        <v>589</v>
      </c>
      <c r="U66" s="6">
        <v>63741.760000000002</v>
      </c>
      <c r="V66" s="6">
        <v>1.2179563287866539</v>
      </c>
    </row>
    <row r="67" spans="20:22" x14ac:dyDescent="0.3">
      <c r="T67" s="4" t="s">
        <v>861</v>
      </c>
      <c r="U67" s="6">
        <v>65347.8</v>
      </c>
      <c r="V67" s="6">
        <v>8.9999999999999982</v>
      </c>
    </row>
    <row r="68" spans="20:22" x14ac:dyDescent="0.3">
      <c r="T68" s="4" t="s">
        <v>185</v>
      </c>
      <c r="U68" s="6">
        <v>43226.59</v>
      </c>
      <c r="V68" s="6">
        <v>9</v>
      </c>
    </row>
    <row r="69" spans="20:22" x14ac:dyDescent="0.3">
      <c r="T69" s="4" t="s">
        <v>935</v>
      </c>
      <c r="U69" s="6">
        <v>86182.78</v>
      </c>
      <c r="V69" s="6">
        <v>7.8376205780319452</v>
      </c>
    </row>
    <row r="70" spans="20:22" x14ac:dyDescent="0.3">
      <c r="T70" s="4" t="s">
        <v>893</v>
      </c>
      <c r="U70" s="6">
        <v>55795.59</v>
      </c>
      <c r="V70" s="6">
        <v>9</v>
      </c>
    </row>
    <row r="71" spans="20:22" x14ac:dyDescent="0.3">
      <c r="T71" s="4" t="s">
        <v>495</v>
      </c>
      <c r="U71" s="6">
        <v>50643.73</v>
      </c>
      <c r="V71" s="6">
        <v>9</v>
      </c>
    </row>
    <row r="72" spans="20:22" x14ac:dyDescent="0.3">
      <c r="T72" s="4" t="s">
        <v>536</v>
      </c>
      <c r="U72" s="6">
        <v>46349.760000000002</v>
      </c>
      <c r="V72" s="6">
        <v>7.6380382552142656</v>
      </c>
    </row>
    <row r="73" spans="20:22" x14ac:dyDescent="0.3">
      <c r="T73" s="4" t="s">
        <v>79</v>
      </c>
      <c r="U73" s="6">
        <v>85125</v>
      </c>
      <c r="V73" s="6">
        <v>3.2836815271659328</v>
      </c>
    </row>
    <row r="74" spans="20:22" x14ac:dyDescent="0.3">
      <c r="T74" s="4" t="s">
        <v>597</v>
      </c>
      <c r="U74" s="6">
        <v>12949.94</v>
      </c>
      <c r="V74" s="6">
        <v>9</v>
      </c>
    </row>
    <row r="75" spans="20:22" x14ac:dyDescent="0.3">
      <c r="T75" s="4" t="s">
        <v>210</v>
      </c>
      <c r="U75" s="6">
        <v>33524.69</v>
      </c>
      <c r="V75" s="6">
        <v>9</v>
      </c>
    </row>
    <row r="76" spans="20:22" x14ac:dyDescent="0.3">
      <c r="T76" s="4" t="s">
        <v>700</v>
      </c>
      <c r="U76" s="6">
        <v>90434.18</v>
      </c>
      <c r="V76" s="6">
        <v>2.3044133313311406</v>
      </c>
    </row>
    <row r="77" spans="20:22" x14ac:dyDescent="0.3">
      <c r="T77" s="4" t="s">
        <v>172</v>
      </c>
      <c r="U77" s="6">
        <v>6310.87</v>
      </c>
      <c r="V77" s="6">
        <v>9</v>
      </c>
    </row>
    <row r="78" spans="20:22" x14ac:dyDescent="0.3">
      <c r="T78" s="4" t="s">
        <v>576</v>
      </c>
      <c r="U78" s="6">
        <v>23692.97</v>
      </c>
      <c r="V78" s="6">
        <v>9</v>
      </c>
    </row>
    <row r="79" spans="20:22" x14ac:dyDescent="0.3">
      <c r="T79" s="4" t="s">
        <v>776</v>
      </c>
      <c r="U79" s="6">
        <v>86627.199999999997</v>
      </c>
      <c r="V79" s="6">
        <v>4.152941685752281</v>
      </c>
    </row>
    <row r="80" spans="20:22" x14ac:dyDescent="0.3">
      <c r="T80" s="4" t="s">
        <v>362</v>
      </c>
      <c r="U80" s="6">
        <v>6690.98</v>
      </c>
      <c r="V80" s="6">
        <v>9</v>
      </c>
    </row>
    <row r="81" spans="20:22" x14ac:dyDescent="0.3">
      <c r="T81" s="4" t="s">
        <v>613</v>
      </c>
      <c r="U81" s="6">
        <v>85238.23</v>
      </c>
      <c r="V81" s="6">
        <v>5.9894155474603368</v>
      </c>
    </row>
    <row r="82" spans="20:22" x14ac:dyDescent="0.3">
      <c r="T82" s="4" t="s">
        <v>292</v>
      </c>
      <c r="U82" s="6">
        <v>69490.13</v>
      </c>
      <c r="V82" s="6">
        <v>8.937552282604738</v>
      </c>
    </row>
    <row r="83" spans="20:22" x14ac:dyDescent="0.3">
      <c r="T83" s="4" t="s">
        <v>121</v>
      </c>
      <c r="U83" s="6">
        <v>46215.77</v>
      </c>
      <c r="V83" s="6">
        <v>6.0643918731636406</v>
      </c>
    </row>
    <row r="84" spans="20:22" x14ac:dyDescent="0.3">
      <c r="T84" s="4" t="s">
        <v>418</v>
      </c>
      <c r="U84" s="6">
        <v>13908.21</v>
      </c>
      <c r="V84" s="6">
        <v>9</v>
      </c>
    </row>
    <row r="85" spans="20:22" x14ac:dyDescent="0.3">
      <c r="T85" s="4" t="s">
        <v>338</v>
      </c>
      <c r="U85" s="6">
        <v>36838.480000000003</v>
      </c>
      <c r="V85" s="6">
        <v>9.0000000000000018</v>
      </c>
    </row>
    <row r="86" spans="20:22" x14ac:dyDescent="0.3">
      <c r="T86" s="4" t="s">
        <v>575</v>
      </c>
      <c r="U86" s="6">
        <v>56508.18</v>
      </c>
      <c r="V86" s="6">
        <v>9.0000000000000018</v>
      </c>
    </row>
    <row r="87" spans="20:22" x14ac:dyDescent="0.3">
      <c r="T87" s="4" t="s">
        <v>747</v>
      </c>
      <c r="U87" s="6">
        <v>4839.55</v>
      </c>
      <c r="V87" s="6">
        <v>8.9999999999999982</v>
      </c>
    </row>
    <row r="88" spans="20:22" x14ac:dyDescent="0.3">
      <c r="T88" s="4" t="s">
        <v>450</v>
      </c>
      <c r="U88" s="6">
        <v>74720.7</v>
      </c>
      <c r="V88" s="6">
        <v>9.0000000000000018</v>
      </c>
    </row>
    <row r="89" spans="20:22" x14ac:dyDescent="0.3">
      <c r="T89" s="4" t="s">
        <v>930</v>
      </c>
      <c r="U89" s="6">
        <v>12214.82</v>
      </c>
      <c r="V89" s="6">
        <v>9</v>
      </c>
    </row>
    <row r="90" spans="20:22" x14ac:dyDescent="0.3">
      <c r="T90" s="4" t="s">
        <v>494</v>
      </c>
      <c r="U90" s="6">
        <v>43263.23</v>
      </c>
      <c r="V90" s="6">
        <v>5.5728652252732855</v>
      </c>
    </row>
    <row r="91" spans="20:22" x14ac:dyDescent="0.3">
      <c r="T91" s="4" t="s">
        <v>725</v>
      </c>
      <c r="U91" s="6">
        <v>40419.75</v>
      </c>
      <c r="V91" s="6">
        <v>9</v>
      </c>
    </row>
    <row r="92" spans="20:22" x14ac:dyDescent="0.3">
      <c r="T92" s="4" t="s">
        <v>413</v>
      </c>
      <c r="U92" s="6">
        <v>40895.279999999999</v>
      </c>
      <c r="V92" s="6">
        <v>6.8932206846364652</v>
      </c>
    </row>
    <row r="93" spans="20:22" x14ac:dyDescent="0.3">
      <c r="T93" s="4" t="s">
        <v>566</v>
      </c>
      <c r="U93" s="6">
        <v>27219.52</v>
      </c>
      <c r="V93" s="6">
        <v>9</v>
      </c>
    </row>
    <row r="94" spans="20:22" x14ac:dyDescent="0.3">
      <c r="T94" s="4" t="s">
        <v>951</v>
      </c>
      <c r="U94" s="6">
        <v>51825.62</v>
      </c>
      <c r="V94" s="6">
        <v>9</v>
      </c>
    </row>
    <row r="95" spans="20:22" x14ac:dyDescent="0.3">
      <c r="T95" s="4" t="s">
        <v>840</v>
      </c>
      <c r="U95" s="6">
        <v>59471.38</v>
      </c>
      <c r="V95" s="6">
        <v>3.1631771450401862</v>
      </c>
    </row>
    <row r="96" spans="20:22" x14ac:dyDescent="0.3">
      <c r="T96" s="4" t="s">
        <v>160</v>
      </c>
      <c r="U96" s="6">
        <v>4016.62</v>
      </c>
      <c r="V96" s="6">
        <v>8.9999999999999982</v>
      </c>
    </row>
    <row r="97" spans="20:22" x14ac:dyDescent="0.3">
      <c r="T97" s="4" t="s">
        <v>238</v>
      </c>
      <c r="U97" s="6">
        <v>52495.87</v>
      </c>
      <c r="V97" s="6">
        <v>6.1540574525195977</v>
      </c>
    </row>
    <row r="98" spans="20:22" x14ac:dyDescent="0.3">
      <c r="T98" s="4" t="s">
        <v>414</v>
      </c>
      <c r="U98" s="6">
        <v>33898.879999999997</v>
      </c>
      <c r="V98" s="6">
        <v>7.8623733291483386</v>
      </c>
    </row>
    <row r="99" spans="20:22" x14ac:dyDescent="0.3">
      <c r="T99" s="4" t="s">
        <v>445</v>
      </c>
      <c r="U99" s="6">
        <v>55196.85</v>
      </c>
      <c r="V99" s="6">
        <v>9</v>
      </c>
    </row>
    <row r="100" spans="20:22" x14ac:dyDescent="0.3">
      <c r="T100" s="4" t="s">
        <v>807</v>
      </c>
      <c r="U100" s="6">
        <v>29838.85</v>
      </c>
      <c r="V100" s="6">
        <v>9.0000000000000018</v>
      </c>
    </row>
    <row r="101" spans="20:22" x14ac:dyDescent="0.3">
      <c r="T101" s="4" t="s">
        <v>417</v>
      </c>
      <c r="U101" s="6">
        <v>96019.69</v>
      </c>
      <c r="V101" s="6">
        <v>6.1580450842946908</v>
      </c>
    </row>
    <row r="102" spans="20:22" x14ac:dyDescent="0.3">
      <c r="T102" s="4" t="s">
        <v>464</v>
      </c>
      <c r="U102" s="6">
        <v>31618.12</v>
      </c>
      <c r="V102" s="6">
        <v>9</v>
      </c>
    </row>
    <row r="103" spans="20:22" x14ac:dyDescent="0.3">
      <c r="T103" s="4" t="s">
        <v>96</v>
      </c>
      <c r="U103" s="6">
        <v>32895.11</v>
      </c>
      <c r="V103" s="6">
        <v>3.1604396519725877</v>
      </c>
    </row>
    <row r="104" spans="20:22" x14ac:dyDescent="0.3">
      <c r="T104" s="4" t="s">
        <v>738</v>
      </c>
      <c r="U104" s="6">
        <v>3934.75</v>
      </c>
      <c r="V104" s="6">
        <v>9</v>
      </c>
    </row>
    <row r="105" spans="20:22" x14ac:dyDescent="0.3">
      <c r="T105" s="4" t="s">
        <v>365</v>
      </c>
      <c r="U105" s="6">
        <v>89898.65</v>
      </c>
      <c r="V105" s="6">
        <v>9</v>
      </c>
    </row>
    <row r="106" spans="20:22" x14ac:dyDescent="0.3">
      <c r="T106" s="4" t="s">
        <v>943</v>
      </c>
      <c r="U106" s="6">
        <v>60899.96</v>
      </c>
      <c r="V106" s="6">
        <v>7.4058643059864071</v>
      </c>
    </row>
    <row r="107" spans="20:22" x14ac:dyDescent="0.3">
      <c r="T107" s="4" t="s">
        <v>393</v>
      </c>
      <c r="U107" s="6">
        <v>21172.32</v>
      </c>
      <c r="V107" s="6">
        <v>9</v>
      </c>
    </row>
    <row r="108" spans="20:22" x14ac:dyDescent="0.3">
      <c r="T108" s="4" t="s">
        <v>849</v>
      </c>
      <c r="U108" s="6">
        <v>45583.71</v>
      </c>
      <c r="V108" s="6">
        <v>9</v>
      </c>
    </row>
    <row r="109" spans="20:22" x14ac:dyDescent="0.3">
      <c r="T109" s="4" t="s">
        <v>53</v>
      </c>
      <c r="U109" s="6">
        <v>15968.2</v>
      </c>
      <c r="V109" s="6">
        <v>8.9999999999999982</v>
      </c>
    </row>
    <row r="110" spans="20:22" x14ac:dyDescent="0.3">
      <c r="T110" s="4" t="s">
        <v>241</v>
      </c>
      <c r="U110" s="6">
        <v>91280.14</v>
      </c>
      <c r="V110" s="6">
        <v>7.3744491408536401</v>
      </c>
    </row>
    <row r="111" spans="20:22" x14ac:dyDescent="0.3">
      <c r="T111" s="4" t="s">
        <v>498</v>
      </c>
      <c r="U111" s="6">
        <v>89283.48</v>
      </c>
      <c r="V111" s="6">
        <v>9</v>
      </c>
    </row>
    <row r="112" spans="20:22" x14ac:dyDescent="0.3">
      <c r="T112" s="4" t="s">
        <v>734</v>
      </c>
      <c r="U112" s="6">
        <v>64944.480000000003</v>
      </c>
      <c r="V112" s="6">
        <v>9</v>
      </c>
    </row>
    <row r="113" spans="20:22" x14ac:dyDescent="0.3">
      <c r="T113" s="4" t="s">
        <v>818</v>
      </c>
      <c r="U113" s="6">
        <v>92913.24</v>
      </c>
      <c r="V113" s="6">
        <v>2.5808284158425643</v>
      </c>
    </row>
    <row r="114" spans="20:22" x14ac:dyDescent="0.3">
      <c r="T114" s="4" t="s">
        <v>407</v>
      </c>
      <c r="U114" s="6">
        <v>51871.97</v>
      </c>
      <c r="V114" s="6">
        <v>6.517923842105863</v>
      </c>
    </row>
    <row r="115" spans="20:22" x14ac:dyDescent="0.3">
      <c r="T115" s="4" t="s">
        <v>521</v>
      </c>
      <c r="U115" s="6">
        <v>30937.43</v>
      </c>
      <c r="V115" s="6">
        <v>9</v>
      </c>
    </row>
    <row r="116" spans="20:22" x14ac:dyDescent="0.3">
      <c r="T116" s="4" t="s">
        <v>264</v>
      </c>
      <c r="U116" s="6">
        <v>98544.63</v>
      </c>
      <c r="V116" s="6">
        <v>7.155125753681352</v>
      </c>
    </row>
    <row r="117" spans="20:22" x14ac:dyDescent="0.3">
      <c r="T117" s="4" t="s">
        <v>36</v>
      </c>
      <c r="U117" s="6">
        <v>99520.93</v>
      </c>
      <c r="V117" s="6">
        <v>2.8799270665979511</v>
      </c>
    </row>
    <row r="118" spans="20:22" x14ac:dyDescent="0.3">
      <c r="T118" s="4" t="s">
        <v>225</v>
      </c>
      <c r="U118" s="6">
        <v>32343.79</v>
      </c>
      <c r="V118" s="6">
        <v>0.70182869725533081</v>
      </c>
    </row>
    <row r="119" spans="20:22" x14ac:dyDescent="0.3">
      <c r="T119" s="4" t="s">
        <v>533</v>
      </c>
      <c r="U119" s="6">
        <v>92494.15</v>
      </c>
      <c r="V119" s="6">
        <v>7.3525661893211627</v>
      </c>
    </row>
    <row r="120" spans="20:22" x14ac:dyDescent="0.3">
      <c r="T120" s="4" t="s">
        <v>254</v>
      </c>
      <c r="U120" s="6">
        <v>53669.55</v>
      </c>
      <c r="V120" s="6">
        <v>9</v>
      </c>
    </row>
    <row r="121" spans="20:22" x14ac:dyDescent="0.3">
      <c r="T121" s="4" t="s">
        <v>476</v>
      </c>
      <c r="U121" s="6">
        <v>66331.63</v>
      </c>
      <c r="V121" s="6">
        <v>9</v>
      </c>
    </row>
    <row r="122" spans="20:22" x14ac:dyDescent="0.3">
      <c r="T122" s="4" t="s">
        <v>914</v>
      </c>
      <c r="U122" s="6">
        <v>42878.1</v>
      </c>
      <c r="V122" s="6">
        <v>4.5155685536439352</v>
      </c>
    </row>
    <row r="123" spans="20:22" x14ac:dyDescent="0.3">
      <c r="T123" s="4" t="s">
        <v>556</v>
      </c>
      <c r="U123" s="6">
        <v>76911.16</v>
      </c>
      <c r="V123" s="6">
        <v>6.3481563663842797</v>
      </c>
    </row>
    <row r="124" spans="20:22" x14ac:dyDescent="0.3">
      <c r="T124" s="4" t="s">
        <v>61</v>
      </c>
      <c r="U124" s="6">
        <v>89227.7</v>
      </c>
      <c r="V124" s="6">
        <v>5.9191513397745323</v>
      </c>
    </row>
    <row r="125" spans="20:22" x14ac:dyDescent="0.3">
      <c r="T125" s="4" t="s">
        <v>505</v>
      </c>
      <c r="U125" s="6">
        <v>8250.93</v>
      </c>
      <c r="V125" s="6">
        <v>9</v>
      </c>
    </row>
    <row r="126" spans="20:22" x14ac:dyDescent="0.3">
      <c r="T126" s="4" t="s">
        <v>796</v>
      </c>
      <c r="U126" s="6">
        <v>75677.679999999993</v>
      </c>
      <c r="V126" s="6">
        <v>6.94939128683649</v>
      </c>
    </row>
    <row r="127" spans="20:22" x14ac:dyDescent="0.3">
      <c r="T127" s="4" t="s">
        <v>42</v>
      </c>
      <c r="U127" s="6">
        <v>79680.62</v>
      </c>
      <c r="V127" s="6">
        <v>4.4658756420319019</v>
      </c>
    </row>
    <row r="128" spans="20:22" x14ac:dyDescent="0.3">
      <c r="T128" s="4" t="s">
        <v>158</v>
      </c>
      <c r="U128" s="6">
        <v>48358</v>
      </c>
      <c r="V128" s="6">
        <v>9</v>
      </c>
    </row>
    <row r="129" spans="20:22" x14ac:dyDescent="0.3">
      <c r="T129" s="4" t="s">
        <v>716</v>
      </c>
      <c r="U129" s="6">
        <v>67118.97</v>
      </c>
      <c r="V129" s="6">
        <v>4.7024920078481545</v>
      </c>
    </row>
    <row r="130" spans="20:22" x14ac:dyDescent="0.3">
      <c r="T130" s="4" t="s">
        <v>164</v>
      </c>
      <c r="U130" s="6">
        <v>46976.52</v>
      </c>
      <c r="V130" s="6">
        <v>6.9067402183048046</v>
      </c>
    </row>
    <row r="131" spans="20:22" x14ac:dyDescent="0.3">
      <c r="T131" s="4" t="s">
        <v>31</v>
      </c>
      <c r="U131" s="6">
        <v>64041.37</v>
      </c>
      <c r="V131" s="6">
        <v>1.7242151440545386</v>
      </c>
    </row>
    <row r="132" spans="20:22" x14ac:dyDescent="0.3">
      <c r="T132" s="4" t="s">
        <v>819</v>
      </c>
      <c r="U132" s="6">
        <v>15036.97</v>
      </c>
      <c r="V132" s="6">
        <v>9</v>
      </c>
    </row>
    <row r="133" spans="20:22" x14ac:dyDescent="0.3">
      <c r="T133" s="4" t="s">
        <v>55</v>
      </c>
      <c r="U133" s="6">
        <v>29393.78</v>
      </c>
      <c r="V133" s="6">
        <v>1.460515115782999</v>
      </c>
    </row>
    <row r="134" spans="20:22" x14ac:dyDescent="0.3">
      <c r="T134" s="4" t="s">
        <v>610</v>
      </c>
      <c r="U134" s="6">
        <v>98712.39</v>
      </c>
      <c r="V134" s="6">
        <v>6.6573919444154877</v>
      </c>
    </row>
    <row r="135" spans="20:22" x14ac:dyDescent="0.3">
      <c r="T135" s="4" t="s">
        <v>978</v>
      </c>
      <c r="U135" s="6">
        <v>57412.53</v>
      </c>
      <c r="V135" s="6">
        <v>8.4105920780707635</v>
      </c>
    </row>
    <row r="136" spans="20:22" x14ac:dyDescent="0.3">
      <c r="T136" s="4" t="s">
        <v>508</v>
      </c>
      <c r="U136" s="6">
        <v>37696.449999999997</v>
      </c>
      <c r="V136" s="6">
        <v>9</v>
      </c>
    </row>
    <row r="137" spans="20:22" x14ac:dyDescent="0.3">
      <c r="T137" s="4" t="s">
        <v>740</v>
      </c>
      <c r="U137" s="6">
        <v>76873.7</v>
      </c>
      <c r="V137" s="6">
        <v>9.0000000000000018</v>
      </c>
    </row>
    <row r="138" spans="20:22" x14ac:dyDescent="0.3">
      <c r="T138" s="4" t="s">
        <v>884</v>
      </c>
      <c r="U138" s="6">
        <v>24769.599999999999</v>
      </c>
      <c r="V138" s="6">
        <v>5.5396029810735747</v>
      </c>
    </row>
    <row r="139" spans="20:22" x14ac:dyDescent="0.3">
      <c r="T139" s="4" t="s">
        <v>193</v>
      </c>
      <c r="U139" s="6">
        <v>39585.980000000003</v>
      </c>
      <c r="V139" s="6">
        <v>9.0000000000000018</v>
      </c>
    </row>
    <row r="140" spans="20:22" x14ac:dyDescent="0.3">
      <c r="T140" s="4" t="s">
        <v>514</v>
      </c>
      <c r="U140" s="6">
        <v>2412.9299999999998</v>
      </c>
      <c r="V140" s="6">
        <v>9</v>
      </c>
    </row>
    <row r="141" spans="20:22" x14ac:dyDescent="0.3">
      <c r="T141" s="4" t="s">
        <v>483</v>
      </c>
      <c r="U141" s="6">
        <v>32965.35</v>
      </c>
      <c r="V141" s="6">
        <v>9.0000000000000018</v>
      </c>
    </row>
    <row r="142" spans="20:22" x14ac:dyDescent="0.3">
      <c r="T142" s="4" t="s">
        <v>152</v>
      </c>
      <c r="U142" s="6">
        <v>61946.3</v>
      </c>
      <c r="V142" s="6">
        <v>2.5152249609742632</v>
      </c>
    </row>
    <row r="143" spans="20:22" x14ac:dyDescent="0.3">
      <c r="T143" s="4" t="s">
        <v>456</v>
      </c>
      <c r="U143" s="6">
        <v>96731.22</v>
      </c>
      <c r="V143" s="6">
        <v>6.7627797933283595</v>
      </c>
    </row>
    <row r="144" spans="20:22" x14ac:dyDescent="0.3">
      <c r="T144" s="4" t="s">
        <v>408</v>
      </c>
      <c r="U144" s="6">
        <v>3162.85</v>
      </c>
      <c r="V144" s="6">
        <v>9</v>
      </c>
    </row>
    <row r="145" spans="20:22" x14ac:dyDescent="0.3">
      <c r="T145" s="4" t="s">
        <v>324</v>
      </c>
      <c r="U145" s="6">
        <v>78080.7</v>
      </c>
      <c r="V145" s="6">
        <v>3.7794380685623974</v>
      </c>
    </row>
    <row r="146" spans="20:22" x14ac:dyDescent="0.3">
      <c r="T146" s="4" t="s">
        <v>510</v>
      </c>
      <c r="U146" s="6">
        <v>41704.959999999999</v>
      </c>
      <c r="V146" s="6">
        <v>9</v>
      </c>
    </row>
    <row r="147" spans="20:22" x14ac:dyDescent="0.3">
      <c r="T147" s="4" t="s">
        <v>641</v>
      </c>
      <c r="U147" s="6">
        <v>39804.699999999997</v>
      </c>
      <c r="V147" s="6">
        <v>9</v>
      </c>
    </row>
    <row r="148" spans="20:22" x14ac:dyDescent="0.3">
      <c r="T148" s="4" t="s">
        <v>717</v>
      </c>
      <c r="U148" s="6">
        <v>74856.710000000006</v>
      </c>
      <c r="V148" s="6">
        <v>2.5645877303450813</v>
      </c>
    </row>
    <row r="149" spans="20:22" x14ac:dyDescent="0.3">
      <c r="T149" s="4" t="s">
        <v>54</v>
      </c>
      <c r="U149" s="6">
        <v>54468.41</v>
      </c>
      <c r="V149" s="6">
        <v>9</v>
      </c>
    </row>
    <row r="150" spans="20:22" x14ac:dyDescent="0.3">
      <c r="T150" s="4" t="s">
        <v>317</v>
      </c>
      <c r="U150" s="6">
        <v>14777.5</v>
      </c>
      <c r="V150" s="6">
        <v>9</v>
      </c>
    </row>
    <row r="151" spans="20:22" x14ac:dyDescent="0.3">
      <c r="T151" s="4" t="s">
        <v>757</v>
      </c>
      <c r="U151" s="6">
        <v>75087.14</v>
      </c>
      <c r="V151" s="6">
        <v>5.1795095671509133</v>
      </c>
    </row>
    <row r="152" spans="20:22" x14ac:dyDescent="0.3">
      <c r="T152" s="4" t="s">
        <v>469</v>
      </c>
      <c r="U152" s="6">
        <v>54166.71</v>
      </c>
      <c r="V152" s="6">
        <v>9</v>
      </c>
    </row>
    <row r="153" spans="20:22" x14ac:dyDescent="0.3">
      <c r="T153" s="4" t="s">
        <v>830</v>
      </c>
      <c r="U153" s="6">
        <v>66562.100000000006</v>
      </c>
      <c r="V153" s="6">
        <v>9</v>
      </c>
    </row>
    <row r="154" spans="20:22" x14ac:dyDescent="0.3">
      <c r="T154" s="4" t="s">
        <v>516</v>
      </c>
      <c r="U154" s="6">
        <v>41799.29</v>
      </c>
      <c r="V154" s="6">
        <v>9</v>
      </c>
    </row>
    <row r="155" spans="20:22" x14ac:dyDescent="0.3">
      <c r="T155" s="4" t="s">
        <v>263</v>
      </c>
      <c r="U155" s="6">
        <v>45499.9</v>
      </c>
      <c r="V155" s="6">
        <v>5.4344486471398845</v>
      </c>
    </row>
    <row r="156" spans="20:22" x14ac:dyDescent="0.3">
      <c r="T156" s="4" t="s">
        <v>977</v>
      </c>
      <c r="U156" s="6">
        <v>85162.21</v>
      </c>
      <c r="V156" s="6">
        <v>5.4323690049847224</v>
      </c>
    </row>
    <row r="157" spans="20:22" x14ac:dyDescent="0.3">
      <c r="T157" s="4" t="s">
        <v>448</v>
      </c>
      <c r="U157" s="6">
        <v>9950.82</v>
      </c>
      <c r="V157" s="6">
        <v>9</v>
      </c>
    </row>
    <row r="158" spans="20:22" x14ac:dyDescent="0.3">
      <c r="T158" s="4" t="s">
        <v>112</v>
      </c>
      <c r="U158" s="6">
        <v>20201.5</v>
      </c>
      <c r="V158" s="6">
        <v>9</v>
      </c>
    </row>
    <row r="159" spans="20:22" x14ac:dyDescent="0.3">
      <c r="T159" s="4" t="s">
        <v>485</v>
      </c>
      <c r="U159" s="6">
        <v>65906.929999999993</v>
      </c>
      <c r="V159" s="6">
        <v>7.2437074523119191</v>
      </c>
    </row>
    <row r="160" spans="20:22" x14ac:dyDescent="0.3">
      <c r="T160" s="4" t="s">
        <v>233</v>
      </c>
      <c r="U160" s="6">
        <v>18706.919999999998</v>
      </c>
      <c r="V160" s="6">
        <v>9</v>
      </c>
    </row>
    <row r="161" spans="20:22" x14ac:dyDescent="0.3">
      <c r="T161" s="4" t="s">
        <v>472</v>
      </c>
      <c r="U161" s="6">
        <v>23099.8</v>
      </c>
      <c r="V161" s="6">
        <v>9</v>
      </c>
    </row>
    <row r="162" spans="20:22" x14ac:dyDescent="0.3">
      <c r="T162" s="4" t="s">
        <v>39</v>
      </c>
      <c r="U162" s="6">
        <v>25396.400000000001</v>
      </c>
      <c r="V162" s="6">
        <v>9</v>
      </c>
    </row>
    <row r="163" spans="20:22" x14ac:dyDescent="0.3">
      <c r="T163" s="4" t="s">
        <v>443</v>
      </c>
      <c r="U163" s="6">
        <v>47218.62</v>
      </c>
      <c r="V163" s="6">
        <v>9</v>
      </c>
    </row>
    <row r="164" spans="20:22" x14ac:dyDescent="0.3">
      <c r="T164" s="4" t="s">
        <v>14</v>
      </c>
      <c r="U164" s="6">
        <v>17712.98</v>
      </c>
      <c r="V164" s="6">
        <v>8.9999999999999982</v>
      </c>
    </row>
    <row r="165" spans="20:22" x14ac:dyDescent="0.3">
      <c r="T165" s="4" t="s">
        <v>729</v>
      </c>
      <c r="U165" s="6">
        <v>53505.82</v>
      </c>
      <c r="V165" s="6">
        <v>8.9999999999999982</v>
      </c>
    </row>
    <row r="166" spans="20:22" x14ac:dyDescent="0.3">
      <c r="T166" s="4" t="s">
        <v>142</v>
      </c>
      <c r="U166" s="6">
        <v>29328.34</v>
      </c>
      <c r="V166" s="6">
        <v>2.1637896996556916</v>
      </c>
    </row>
    <row r="167" spans="20:22" x14ac:dyDescent="0.3">
      <c r="T167" s="4" t="s">
        <v>726</v>
      </c>
      <c r="U167" s="6">
        <v>75267.399999999994</v>
      </c>
      <c r="V167" s="6">
        <v>9</v>
      </c>
    </row>
    <row r="168" spans="20:22" x14ac:dyDescent="0.3">
      <c r="T168" s="4" t="s">
        <v>742</v>
      </c>
      <c r="U168" s="6">
        <v>53478.93</v>
      </c>
      <c r="V168" s="6">
        <v>9.0000000000000018</v>
      </c>
    </row>
    <row r="169" spans="20:22" x14ac:dyDescent="0.3">
      <c r="T169" s="4" t="s">
        <v>307</v>
      </c>
      <c r="U169" s="6">
        <v>27126.77</v>
      </c>
      <c r="V169" s="6">
        <v>9</v>
      </c>
    </row>
    <row r="170" spans="20:22" x14ac:dyDescent="0.3">
      <c r="T170" s="4" t="s">
        <v>956</v>
      </c>
      <c r="U170" s="6">
        <v>35965.370000000003</v>
      </c>
      <c r="V170" s="6">
        <v>9</v>
      </c>
    </row>
    <row r="171" spans="20:22" x14ac:dyDescent="0.3">
      <c r="T171" s="4" t="s">
        <v>487</v>
      </c>
      <c r="U171" s="6">
        <v>41041.24</v>
      </c>
      <c r="V171" s="6">
        <v>8.6010710202713181</v>
      </c>
    </row>
    <row r="172" spans="20:22" x14ac:dyDescent="0.3">
      <c r="T172" s="4" t="s">
        <v>901</v>
      </c>
      <c r="U172" s="6">
        <v>12624.62</v>
      </c>
      <c r="V172" s="6">
        <v>9</v>
      </c>
    </row>
    <row r="173" spans="20:22" x14ac:dyDescent="0.3">
      <c r="T173" s="4" t="s">
        <v>994</v>
      </c>
      <c r="U173" s="6">
        <v>79350.42</v>
      </c>
      <c r="V173" s="6">
        <v>3.1949093653190497</v>
      </c>
    </row>
    <row r="174" spans="20:22" x14ac:dyDescent="0.3">
      <c r="T174" s="4" t="s">
        <v>419</v>
      </c>
      <c r="U174" s="6">
        <v>4833.32</v>
      </c>
      <c r="V174" s="6">
        <v>9</v>
      </c>
    </row>
    <row r="175" spans="20:22" x14ac:dyDescent="0.3">
      <c r="T175" s="4" t="s">
        <v>549</v>
      </c>
      <c r="U175" s="6">
        <v>41307.730000000003</v>
      </c>
      <c r="V175" s="6">
        <v>9</v>
      </c>
    </row>
    <row r="176" spans="20:22" x14ac:dyDescent="0.3">
      <c r="T176" s="4" t="s">
        <v>294</v>
      </c>
      <c r="U176" s="6">
        <v>71575.570000000007</v>
      </c>
      <c r="V176" s="6">
        <v>3.1218104165988474</v>
      </c>
    </row>
    <row r="177" spans="20:22" x14ac:dyDescent="0.3">
      <c r="T177" s="4" t="s">
        <v>603</v>
      </c>
      <c r="U177" s="6">
        <v>57242</v>
      </c>
      <c r="V177" s="6">
        <v>4.3038062960763073</v>
      </c>
    </row>
    <row r="178" spans="20:22" x14ac:dyDescent="0.3">
      <c r="T178" s="4" t="s">
        <v>99</v>
      </c>
      <c r="U178" s="6">
        <v>42051.6</v>
      </c>
      <c r="V178" s="6">
        <v>5.8413686994073952</v>
      </c>
    </row>
    <row r="179" spans="20:22" x14ac:dyDescent="0.3">
      <c r="T179" s="4" t="s">
        <v>302</v>
      </c>
      <c r="U179" s="6">
        <v>31010.799999999999</v>
      </c>
      <c r="V179" s="6">
        <v>9</v>
      </c>
    </row>
    <row r="180" spans="20:22" x14ac:dyDescent="0.3">
      <c r="T180" s="4" t="s">
        <v>519</v>
      </c>
      <c r="U180" s="6">
        <v>10464.290000000001</v>
      </c>
      <c r="V180" s="6">
        <v>9</v>
      </c>
    </row>
    <row r="181" spans="20:22" x14ac:dyDescent="0.3">
      <c r="T181" s="4" t="s">
        <v>346</v>
      </c>
      <c r="U181" s="6">
        <v>7171.11</v>
      </c>
      <c r="V181" s="6">
        <v>9</v>
      </c>
    </row>
    <row r="182" spans="20:22" x14ac:dyDescent="0.3">
      <c r="T182" s="4" t="s">
        <v>255</v>
      </c>
      <c r="U182" s="6">
        <v>45957.86</v>
      </c>
      <c r="V182" s="6">
        <v>9</v>
      </c>
    </row>
    <row r="183" spans="20:22" x14ac:dyDescent="0.3">
      <c r="T183" s="4" t="s">
        <v>188</v>
      </c>
      <c r="U183" s="6">
        <v>10038.959999999999</v>
      </c>
      <c r="V183" s="6">
        <v>9</v>
      </c>
    </row>
    <row r="184" spans="20:22" x14ac:dyDescent="0.3">
      <c r="T184" s="4" t="s">
        <v>570</v>
      </c>
      <c r="U184" s="6">
        <v>90484.19</v>
      </c>
      <c r="V184" s="6">
        <v>9</v>
      </c>
    </row>
    <row r="185" spans="20:22" x14ac:dyDescent="0.3">
      <c r="T185" s="4" t="s">
        <v>196</v>
      </c>
      <c r="U185" s="6">
        <v>70841.820000000007</v>
      </c>
      <c r="V185" s="6">
        <v>4.7439784861540817</v>
      </c>
    </row>
    <row r="186" spans="20:22" x14ac:dyDescent="0.3">
      <c r="T186" s="4" t="s">
        <v>706</v>
      </c>
      <c r="U186" s="6">
        <v>37988.85</v>
      </c>
      <c r="V186" s="6">
        <v>9.0000000000000018</v>
      </c>
    </row>
    <row r="187" spans="20:22" x14ac:dyDescent="0.3">
      <c r="T187" s="4" t="s">
        <v>749</v>
      </c>
      <c r="U187" s="6">
        <v>78889.490000000005</v>
      </c>
      <c r="V187" s="6">
        <v>9</v>
      </c>
    </row>
    <row r="188" spans="20:22" x14ac:dyDescent="0.3">
      <c r="T188" s="4" t="s">
        <v>262</v>
      </c>
      <c r="U188" s="6">
        <v>3889.42</v>
      </c>
      <c r="V188" s="6">
        <v>9</v>
      </c>
    </row>
    <row r="189" spans="20:22" x14ac:dyDescent="0.3">
      <c r="T189" s="4" t="s">
        <v>1009</v>
      </c>
      <c r="U189" s="6">
        <v>62616.23</v>
      </c>
      <c r="V189" s="6">
        <v>9</v>
      </c>
    </row>
    <row r="190" spans="20:22" x14ac:dyDescent="0.3">
      <c r="T190" s="4" t="s">
        <v>234</v>
      </c>
      <c r="U190" s="6">
        <v>92742.9</v>
      </c>
      <c r="V190" s="6">
        <v>7.1494368841172751</v>
      </c>
    </row>
    <row r="191" spans="20:22" x14ac:dyDescent="0.3">
      <c r="T191" s="4" t="s">
        <v>353</v>
      </c>
      <c r="U191" s="6">
        <v>19258.46</v>
      </c>
      <c r="V191" s="6">
        <v>9</v>
      </c>
    </row>
    <row r="192" spans="20:22" x14ac:dyDescent="0.3">
      <c r="T192" s="4" t="s">
        <v>322</v>
      </c>
      <c r="U192" s="6">
        <v>14378.29</v>
      </c>
      <c r="V192" s="6">
        <v>9</v>
      </c>
    </row>
    <row r="193" spans="20:22" x14ac:dyDescent="0.3">
      <c r="T193" s="4" t="s">
        <v>149</v>
      </c>
      <c r="U193" s="6">
        <v>83726.63</v>
      </c>
      <c r="V193" s="6">
        <v>4.4737215626617237</v>
      </c>
    </row>
    <row r="194" spans="20:22" x14ac:dyDescent="0.3">
      <c r="T194" s="4" t="s">
        <v>20</v>
      </c>
      <c r="U194" s="6">
        <v>14589.75</v>
      </c>
      <c r="V194" s="6">
        <v>5.1658856388903169</v>
      </c>
    </row>
    <row r="195" spans="20:22" x14ac:dyDescent="0.3">
      <c r="T195" s="4" t="s">
        <v>771</v>
      </c>
      <c r="U195" s="6">
        <v>21399.83</v>
      </c>
      <c r="V195" s="6">
        <v>8.563622234382235</v>
      </c>
    </row>
    <row r="196" spans="20:22" x14ac:dyDescent="0.3">
      <c r="T196" s="4" t="s">
        <v>877</v>
      </c>
      <c r="U196" s="6">
        <v>38723.339999999997</v>
      </c>
      <c r="V196" s="6">
        <v>2.1639773325338161</v>
      </c>
    </row>
    <row r="197" spans="20:22" x14ac:dyDescent="0.3">
      <c r="T197" s="4" t="s">
        <v>248</v>
      </c>
      <c r="U197" s="6">
        <v>9774.56</v>
      </c>
      <c r="V197" s="6">
        <v>9</v>
      </c>
    </row>
    <row r="198" spans="20:22" x14ac:dyDescent="0.3">
      <c r="T198" s="4" t="s">
        <v>86</v>
      </c>
      <c r="U198" s="6">
        <v>99128.36</v>
      </c>
      <c r="V198" s="6">
        <v>7.5982921537287611</v>
      </c>
    </row>
    <row r="199" spans="20:22" x14ac:dyDescent="0.3">
      <c r="T199" s="4" t="s">
        <v>309</v>
      </c>
      <c r="U199" s="6">
        <v>86507.56</v>
      </c>
      <c r="V199" s="6">
        <v>4.4161295267141973</v>
      </c>
    </row>
    <row r="200" spans="20:22" x14ac:dyDescent="0.3">
      <c r="T200" s="4" t="s">
        <v>686</v>
      </c>
      <c r="U200" s="6">
        <v>92591.26</v>
      </c>
      <c r="V200" s="6">
        <v>3.4946898875768619</v>
      </c>
    </row>
    <row r="201" spans="20:22" x14ac:dyDescent="0.3">
      <c r="T201" s="4" t="s">
        <v>134</v>
      </c>
      <c r="U201" s="6">
        <v>11769.71</v>
      </c>
      <c r="V201" s="6">
        <v>9</v>
      </c>
    </row>
    <row r="202" spans="20:22" x14ac:dyDescent="0.3">
      <c r="T202" s="4" t="s">
        <v>71</v>
      </c>
      <c r="U202" s="6">
        <v>11271.19</v>
      </c>
      <c r="V202" s="6">
        <v>9</v>
      </c>
    </row>
    <row r="203" spans="20:22" x14ac:dyDescent="0.3">
      <c r="T203" s="4" t="s">
        <v>269</v>
      </c>
      <c r="U203" s="6">
        <v>58194.33</v>
      </c>
      <c r="V203" s="6">
        <v>2.5967278942811101</v>
      </c>
    </row>
    <row r="204" spans="20:22" x14ac:dyDescent="0.3">
      <c r="T204" s="4" t="s">
        <v>246</v>
      </c>
      <c r="U204" s="6">
        <v>84489.59</v>
      </c>
      <c r="V204" s="6">
        <v>8.3108930934568406</v>
      </c>
    </row>
    <row r="205" spans="20:22" x14ac:dyDescent="0.3">
      <c r="T205" s="4" t="s">
        <v>84</v>
      </c>
      <c r="U205" s="6">
        <v>93383.63</v>
      </c>
      <c r="V205" s="6">
        <v>7.0304190359702234</v>
      </c>
    </row>
    <row r="206" spans="20:22" x14ac:dyDescent="0.3">
      <c r="T206" s="4" t="s">
        <v>280</v>
      </c>
      <c r="U206" s="6">
        <v>6626.65</v>
      </c>
      <c r="V206" s="6">
        <v>9</v>
      </c>
    </row>
    <row r="207" spans="20:22" x14ac:dyDescent="0.3">
      <c r="T207" s="4" t="s">
        <v>965</v>
      </c>
      <c r="U207" s="6">
        <v>84057.89</v>
      </c>
      <c r="V207" s="6">
        <v>5.8392699364687832</v>
      </c>
    </row>
    <row r="208" spans="20:22" x14ac:dyDescent="0.3">
      <c r="T208" s="4" t="s">
        <v>281</v>
      </c>
      <c r="U208" s="6">
        <v>59892.4</v>
      </c>
      <c r="V208" s="6">
        <v>9</v>
      </c>
    </row>
    <row r="209" spans="20:22" x14ac:dyDescent="0.3">
      <c r="T209" s="4" t="s">
        <v>182</v>
      </c>
      <c r="U209" s="6">
        <v>56381.599999999999</v>
      </c>
      <c r="V209" s="6">
        <v>7.7369141705804738</v>
      </c>
    </row>
    <row r="210" spans="20:22" x14ac:dyDescent="0.3">
      <c r="T210" s="4" t="s">
        <v>271</v>
      </c>
      <c r="U210" s="6">
        <v>53597.41</v>
      </c>
      <c r="V210" s="6">
        <v>9</v>
      </c>
    </row>
    <row r="211" spans="20:22" x14ac:dyDescent="0.3">
      <c r="T211" s="4" t="s">
        <v>537</v>
      </c>
      <c r="U211" s="6">
        <v>5574.74</v>
      </c>
      <c r="V211" s="6">
        <v>9</v>
      </c>
    </row>
    <row r="212" spans="20:22" x14ac:dyDescent="0.3">
      <c r="T212" s="4" t="s">
        <v>763</v>
      </c>
      <c r="U212" s="6">
        <v>15210.7</v>
      </c>
      <c r="V212" s="6">
        <v>8.9999999999999982</v>
      </c>
    </row>
    <row r="213" spans="20:22" x14ac:dyDescent="0.3">
      <c r="T213" s="4" t="s">
        <v>886</v>
      </c>
      <c r="U213" s="6">
        <v>67417.39</v>
      </c>
      <c r="V213" s="6">
        <v>3.3189349216871196</v>
      </c>
    </row>
    <row r="214" spans="20:22" x14ac:dyDescent="0.3">
      <c r="T214" s="4" t="s">
        <v>783</v>
      </c>
      <c r="U214" s="6">
        <v>43113.83</v>
      </c>
      <c r="V214" s="6">
        <v>6.3744369266196008</v>
      </c>
    </row>
    <row r="215" spans="20:22" x14ac:dyDescent="0.3">
      <c r="T215" s="4" t="s">
        <v>557</v>
      </c>
      <c r="U215" s="6">
        <v>10395.39</v>
      </c>
      <c r="V215" s="6">
        <v>9</v>
      </c>
    </row>
    <row r="216" spans="20:22" x14ac:dyDescent="0.3">
      <c r="T216" s="4" t="s">
        <v>161</v>
      </c>
      <c r="U216" s="6">
        <v>41419.79</v>
      </c>
      <c r="V216" s="6">
        <v>5.980708738503985</v>
      </c>
    </row>
    <row r="217" spans="20:22" x14ac:dyDescent="0.3">
      <c r="T217" s="4" t="s">
        <v>87</v>
      </c>
      <c r="U217" s="6">
        <v>80647.64</v>
      </c>
      <c r="V217" s="6">
        <v>9</v>
      </c>
    </row>
    <row r="218" spans="20:22" x14ac:dyDescent="0.3">
      <c r="T218" s="4" t="s">
        <v>713</v>
      </c>
      <c r="U218" s="6">
        <v>10618.97</v>
      </c>
      <c r="V218" s="6">
        <v>9</v>
      </c>
    </row>
    <row r="219" spans="20:22" x14ac:dyDescent="0.3">
      <c r="T219" s="4" t="s">
        <v>620</v>
      </c>
      <c r="U219" s="6">
        <v>94697.82</v>
      </c>
      <c r="V219" s="6">
        <v>2.6737893227109133</v>
      </c>
    </row>
    <row r="220" spans="20:22" x14ac:dyDescent="0.3">
      <c r="T220" s="4" t="s">
        <v>108</v>
      </c>
      <c r="U220" s="6">
        <v>16066.41</v>
      </c>
      <c r="V220" s="6">
        <v>9</v>
      </c>
    </row>
    <row r="221" spans="20:22" x14ac:dyDescent="0.3">
      <c r="T221" s="4" t="s">
        <v>676</v>
      </c>
      <c r="U221" s="6">
        <v>44782.559999999998</v>
      </c>
      <c r="V221" s="6">
        <v>9</v>
      </c>
    </row>
    <row r="222" spans="20:22" x14ac:dyDescent="0.3">
      <c r="T222" s="4" t="s">
        <v>855</v>
      </c>
      <c r="U222" s="6">
        <v>1378.61</v>
      </c>
      <c r="V222" s="6">
        <v>9</v>
      </c>
    </row>
    <row r="223" spans="20:22" x14ac:dyDescent="0.3">
      <c r="T223" s="4" t="s">
        <v>829</v>
      </c>
      <c r="U223" s="6">
        <v>26004.11</v>
      </c>
      <c r="V223" s="6">
        <v>9</v>
      </c>
    </row>
    <row r="224" spans="20:22" x14ac:dyDescent="0.3">
      <c r="T224" s="4" t="s">
        <v>523</v>
      </c>
      <c r="U224" s="6">
        <v>61866.52</v>
      </c>
      <c r="V224" s="6">
        <v>9</v>
      </c>
    </row>
    <row r="225" spans="20:22" x14ac:dyDescent="0.3">
      <c r="T225" s="4" t="s">
        <v>360</v>
      </c>
      <c r="U225" s="6">
        <v>71941.119999999995</v>
      </c>
      <c r="V225" s="6">
        <v>9</v>
      </c>
    </row>
    <row r="226" spans="20:22" x14ac:dyDescent="0.3">
      <c r="T226" s="4" t="s">
        <v>463</v>
      </c>
      <c r="U226" s="6">
        <v>27577.78</v>
      </c>
      <c r="V226" s="6">
        <v>9</v>
      </c>
    </row>
    <row r="227" spans="20:22" x14ac:dyDescent="0.3">
      <c r="T227" s="4" t="s">
        <v>129</v>
      </c>
      <c r="U227" s="6">
        <v>22701.3</v>
      </c>
      <c r="V227" s="6">
        <v>2.953085946619797</v>
      </c>
    </row>
    <row r="228" spans="20:22" x14ac:dyDescent="0.3">
      <c r="T228" s="4" t="s">
        <v>781</v>
      </c>
      <c r="U228" s="6">
        <v>1407.21</v>
      </c>
      <c r="V228" s="6">
        <v>9</v>
      </c>
    </row>
    <row r="229" spans="20:22" x14ac:dyDescent="0.3">
      <c r="T229" s="4" t="s">
        <v>976</v>
      </c>
      <c r="U229" s="6">
        <v>2339.3000000000002</v>
      </c>
      <c r="V229" s="6">
        <v>9</v>
      </c>
    </row>
    <row r="230" spans="20:22" x14ac:dyDescent="0.3">
      <c r="T230" s="4" t="s">
        <v>804</v>
      </c>
      <c r="U230" s="6">
        <v>71620.59</v>
      </c>
      <c r="V230" s="6">
        <v>9</v>
      </c>
    </row>
    <row r="231" spans="20:22" x14ac:dyDescent="0.3">
      <c r="T231" s="4" t="s">
        <v>703</v>
      </c>
      <c r="U231" s="6">
        <v>56663.23</v>
      </c>
      <c r="V231" s="6">
        <v>9</v>
      </c>
    </row>
    <row r="232" spans="20:22" x14ac:dyDescent="0.3">
      <c r="T232" s="4" t="s">
        <v>90</v>
      </c>
      <c r="U232" s="6">
        <v>64119.81</v>
      </c>
      <c r="V232" s="6">
        <v>2.30491590664414</v>
      </c>
    </row>
    <row r="233" spans="20:22" x14ac:dyDescent="0.3">
      <c r="T233" s="4" t="s">
        <v>833</v>
      </c>
      <c r="U233" s="6">
        <v>99324.9</v>
      </c>
      <c r="V233" s="6">
        <v>4.1704119510817534</v>
      </c>
    </row>
    <row r="234" spans="20:22" x14ac:dyDescent="0.3">
      <c r="T234" s="4" t="s">
        <v>178</v>
      </c>
      <c r="U234" s="6">
        <v>38086.239999999998</v>
      </c>
      <c r="V234" s="6">
        <v>9</v>
      </c>
    </row>
    <row r="235" spans="20:22" x14ac:dyDescent="0.3">
      <c r="T235" s="4" t="s">
        <v>459</v>
      </c>
      <c r="U235" s="6">
        <v>80659.67</v>
      </c>
      <c r="V235" s="6">
        <v>5.6275062865989902</v>
      </c>
    </row>
    <row r="236" spans="20:22" x14ac:dyDescent="0.3">
      <c r="T236" s="4" t="s">
        <v>975</v>
      </c>
      <c r="U236" s="6">
        <v>53848.51</v>
      </c>
      <c r="V236" s="6">
        <v>8.9999999999999982</v>
      </c>
    </row>
    <row r="237" spans="20:22" x14ac:dyDescent="0.3">
      <c r="T237" s="4" t="s">
        <v>864</v>
      </c>
      <c r="U237" s="6">
        <v>88094.67</v>
      </c>
      <c r="V237" s="6">
        <v>2.3588660925797216</v>
      </c>
    </row>
    <row r="238" spans="20:22" x14ac:dyDescent="0.3">
      <c r="T238" s="4" t="s">
        <v>735</v>
      </c>
      <c r="U238" s="6">
        <v>78379.56</v>
      </c>
      <c r="V238" s="6">
        <v>0.94665496973955965</v>
      </c>
    </row>
    <row r="239" spans="20:22" x14ac:dyDescent="0.3">
      <c r="T239" s="4" t="s">
        <v>889</v>
      </c>
      <c r="U239" s="6">
        <v>30574.799999999999</v>
      </c>
      <c r="V239" s="6">
        <v>9</v>
      </c>
    </row>
    <row r="240" spans="20:22" x14ac:dyDescent="0.3">
      <c r="T240" s="4" t="s">
        <v>189</v>
      </c>
      <c r="U240" s="6">
        <v>27079.85</v>
      </c>
      <c r="V240" s="6">
        <v>9</v>
      </c>
    </row>
    <row r="241" spans="20:22" x14ac:dyDescent="0.3">
      <c r="T241" s="4" t="s">
        <v>57</v>
      </c>
      <c r="U241" s="6">
        <v>68801.22</v>
      </c>
      <c r="V241" s="6">
        <v>6.0088430117954301</v>
      </c>
    </row>
    <row r="242" spans="20:22" x14ac:dyDescent="0.3">
      <c r="T242" s="4" t="s">
        <v>669</v>
      </c>
      <c r="U242" s="6">
        <v>95454.75</v>
      </c>
      <c r="V242" s="6">
        <v>5.8809925121589028</v>
      </c>
    </row>
    <row r="243" spans="20:22" x14ac:dyDescent="0.3">
      <c r="T243" s="4" t="s">
        <v>663</v>
      </c>
      <c r="U243" s="6">
        <v>52366.3</v>
      </c>
      <c r="V243" s="6">
        <v>9</v>
      </c>
    </row>
    <row r="244" spans="20:22" x14ac:dyDescent="0.3">
      <c r="T244" s="4" t="s">
        <v>449</v>
      </c>
      <c r="U244" s="6">
        <v>38117.82</v>
      </c>
      <c r="V244" s="6">
        <v>9</v>
      </c>
    </row>
    <row r="245" spans="20:22" x14ac:dyDescent="0.3">
      <c r="T245" s="4" t="s">
        <v>94</v>
      </c>
      <c r="U245" s="6">
        <v>28548.76</v>
      </c>
      <c r="V245" s="6">
        <v>5.3420103009727917</v>
      </c>
    </row>
    <row r="246" spans="20:22" x14ac:dyDescent="0.3">
      <c r="T246" s="4" t="s">
        <v>813</v>
      </c>
      <c r="U246" s="6">
        <v>43946.75</v>
      </c>
      <c r="V246" s="6">
        <v>9</v>
      </c>
    </row>
    <row r="247" spans="20:22" x14ac:dyDescent="0.3">
      <c r="T247" s="4" t="s">
        <v>432</v>
      </c>
      <c r="U247" s="6">
        <v>51725.95</v>
      </c>
      <c r="V247" s="6">
        <v>9</v>
      </c>
    </row>
    <row r="248" spans="20:22" x14ac:dyDescent="0.3">
      <c r="T248" s="4" t="s">
        <v>199</v>
      </c>
      <c r="U248" s="6">
        <v>67048.320000000007</v>
      </c>
      <c r="V248" s="6">
        <v>2.6732607170470484</v>
      </c>
    </row>
    <row r="249" spans="20:22" x14ac:dyDescent="0.3">
      <c r="T249" s="4" t="s">
        <v>522</v>
      </c>
      <c r="U249" s="6">
        <v>94173.28</v>
      </c>
      <c r="V249" s="6">
        <v>7.4313461313017877</v>
      </c>
    </row>
    <row r="250" spans="20:22" x14ac:dyDescent="0.3">
      <c r="T250" s="4" t="s">
        <v>944</v>
      </c>
      <c r="U250" s="6">
        <v>40596.83</v>
      </c>
      <c r="V250" s="6">
        <v>9</v>
      </c>
    </row>
    <row r="251" spans="20:22" x14ac:dyDescent="0.3">
      <c r="T251" s="4" t="s">
        <v>253</v>
      </c>
      <c r="U251" s="6">
        <v>67729.899999999994</v>
      </c>
      <c r="V251" s="6">
        <v>9</v>
      </c>
    </row>
    <row r="252" spans="20:22" x14ac:dyDescent="0.3">
      <c r="T252" s="4" t="s">
        <v>602</v>
      </c>
      <c r="U252" s="6">
        <v>53821.3</v>
      </c>
      <c r="V252" s="6">
        <v>8.3799848758762785</v>
      </c>
    </row>
    <row r="253" spans="20:22" x14ac:dyDescent="0.3">
      <c r="T253" s="4" t="s">
        <v>753</v>
      </c>
      <c r="U253" s="6">
        <v>86687.38</v>
      </c>
      <c r="V253" s="6">
        <v>2.3980330239534289</v>
      </c>
    </row>
    <row r="254" spans="20:22" x14ac:dyDescent="0.3">
      <c r="T254" s="4" t="s">
        <v>756</v>
      </c>
      <c r="U254" s="6">
        <v>61204.36</v>
      </c>
      <c r="V254" s="6">
        <v>2.8503557589688056</v>
      </c>
    </row>
    <row r="255" spans="20:22" x14ac:dyDescent="0.3">
      <c r="T255" s="4" t="s">
        <v>114</v>
      </c>
      <c r="U255" s="6">
        <v>20647.169999999998</v>
      </c>
      <c r="V255" s="6">
        <v>9</v>
      </c>
    </row>
    <row r="256" spans="20:22" x14ac:dyDescent="0.3">
      <c r="T256" s="4" t="s">
        <v>950</v>
      </c>
      <c r="U256" s="6">
        <v>31126.7</v>
      </c>
      <c r="V256" s="6">
        <v>9</v>
      </c>
    </row>
    <row r="257" spans="20:22" x14ac:dyDescent="0.3">
      <c r="T257" s="4" t="s">
        <v>122</v>
      </c>
      <c r="U257" s="6">
        <v>80474.62</v>
      </c>
      <c r="V257" s="6">
        <v>3.8962209451874399</v>
      </c>
    </row>
    <row r="258" spans="20:22" x14ac:dyDescent="0.3">
      <c r="T258" s="4" t="s">
        <v>554</v>
      </c>
      <c r="U258" s="6">
        <v>42616.800000000003</v>
      </c>
      <c r="V258" s="6">
        <v>9</v>
      </c>
    </row>
    <row r="259" spans="20:22" x14ac:dyDescent="0.3">
      <c r="T259" s="4" t="s">
        <v>617</v>
      </c>
      <c r="U259" s="6">
        <v>73821.98</v>
      </c>
      <c r="V259" s="6">
        <v>1.3442626437275185</v>
      </c>
    </row>
    <row r="260" spans="20:22" x14ac:dyDescent="0.3">
      <c r="T260" s="4" t="s">
        <v>243</v>
      </c>
      <c r="U260" s="6">
        <v>90807.23</v>
      </c>
      <c r="V260" s="6">
        <v>0.6917452498000437</v>
      </c>
    </row>
    <row r="261" spans="20:22" x14ac:dyDescent="0.3">
      <c r="T261" s="4" t="s">
        <v>883</v>
      </c>
      <c r="U261" s="6">
        <v>78135.600000000006</v>
      </c>
      <c r="V261" s="6">
        <v>6.0538492057397653</v>
      </c>
    </row>
    <row r="262" spans="20:22" x14ac:dyDescent="0.3">
      <c r="T262" s="4" t="s">
        <v>552</v>
      </c>
      <c r="U262" s="6">
        <v>14126.24</v>
      </c>
      <c r="V262" s="6">
        <v>9</v>
      </c>
    </row>
    <row r="263" spans="20:22" x14ac:dyDescent="0.3">
      <c r="T263" s="4" t="s">
        <v>896</v>
      </c>
      <c r="U263" s="6">
        <v>61599.31</v>
      </c>
      <c r="V263" s="6">
        <v>7.2857509280542265</v>
      </c>
    </row>
    <row r="264" spans="20:22" x14ac:dyDescent="0.3">
      <c r="T264" s="4" t="s">
        <v>626</v>
      </c>
      <c r="U264" s="6">
        <v>83834.2</v>
      </c>
      <c r="V264" s="6">
        <v>9</v>
      </c>
    </row>
    <row r="265" spans="20:22" x14ac:dyDescent="0.3">
      <c r="T265" s="4" t="s">
        <v>885</v>
      </c>
      <c r="U265" s="6">
        <v>36943.949999999997</v>
      </c>
      <c r="V265" s="6">
        <v>2.6611391039669559</v>
      </c>
    </row>
    <row r="266" spans="20:22" x14ac:dyDescent="0.3">
      <c r="T266" s="4" t="s">
        <v>848</v>
      </c>
      <c r="U266" s="6">
        <v>94020.1</v>
      </c>
      <c r="V266" s="6">
        <v>1.6966923030288203</v>
      </c>
    </row>
    <row r="267" spans="20:22" x14ac:dyDescent="0.3">
      <c r="T267" s="4" t="s">
        <v>739</v>
      </c>
      <c r="U267" s="6">
        <v>64308.7</v>
      </c>
      <c r="V267" s="6">
        <v>9.0000000000000018</v>
      </c>
    </row>
    <row r="268" spans="20:22" x14ac:dyDescent="0.3">
      <c r="T268" s="4" t="s">
        <v>374</v>
      </c>
      <c r="U268" s="6">
        <v>78099.81</v>
      </c>
      <c r="V268" s="6">
        <v>5.8511764625291658</v>
      </c>
    </row>
    <row r="269" spans="20:22" x14ac:dyDescent="0.3">
      <c r="T269" s="4" t="s">
        <v>429</v>
      </c>
      <c r="U269" s="6">
        <v>23254.87</v>
      </c>
      <c r="V269" s="6">
        <v>9</v>
      </c>
    </row>
    <row r="270" spans="20:22" x14ac:dyDescent="0.3">
      <c r="T270" s="4" t="s">
        <v>609</v>
      </c>
      <c r="U270" s="6">
        <v>82353.710000000006</v>
      </c>
      <c r="V270" s="6">
        <v>4.5957114743221634</v>
      </c>
    </row>
    <row r="271" spans="20:22" x14ac:dyDescent="0.3">
      <c r="T271" s="4" t="s">
        <v>159</v>
      </c>
      <c r="U271" s="6">
        <v>98289.74</v>
      </c>
      <c r="V271" s="6">
        <v>7.2610944947051435</v>
      </c>
    </row>
    <row r="272" spans="20:22" x14ac:dyDescent="0.3">
      <c r="T272" s="4" t="s">
        <v>567</v>
      </c>
      <c r="U272" s="6">
        <v>66351.490000000005</v>
      </c>
      <c r="V272" s="6">
        <v>2.7857428672664319</v>
      </c>
    </row>
    <row r="273" spans="20:22" x14ac:dyDescent="0.3">
      <c r="T273" s="4" t="s">
        <v>817</v>
      </c>
      <c r="U273" s="6">
        <v>92997.45</v>
      </c>
      <c r="V273" s="6">
        <v>7.376798826204376</v>
      </c>
    </row>
    <row r="274" spans="20:22" x14ac:dyDescent="0.3">
      <c r="T274" s="4" t="s">
        <v>267</v>
      </c>
      <c r="U274" s="6">
        <v>28757.86</v>
      </c>
      <c r="V274" s="6">
        <v>6.489227640721527</v>
      </c>
    </row>
    <row r="275" spans="20:22" x14ac:dyDescent="0.3">
      <c r="T275" s="4" t="s">
        <v>440</v>
      </c>
      <c r="U275" s="6">
        <v>74278.5</v>
      </c>
      <c r="V275" s="6">
        <v>9</v>
      </c>
    </row>
    <row r="276" spans="20:22" x14ac:dyDescent="0.3">
      <c r="T276" s="4" t="s">
        <v>941</v>
      </c>
      <c r="U276" s="6">
        <v>39103.33</v>
      </c>
      <c r="V276" s="6">
        <v>9</v>
      </c>
    </row>
    <row r="277" spans="20:22" x14ac:dyDescent="0.3">
      <c r="T277" s="4" t="s">
        <v>421</v>
      </c>
      <c r="U277" s="6">
        <v>89440.320000000007</v>
      </c>
      <c r="V277" s="6">
        <v>9</v>
      </c>
    </row>
    <row r="278" spans="20:22" x14ac:dyDescent="0.3">
      <c r="T278" s="4" t="s">
        <v>887</v>
      </c>
      <c r="U278" s="6">
        <v>65008.76</v>
      </c>
      <c r="V278" s="6">
        <v>5.6746758436862974</v>
      </c>
    </row>
    <row r="279" spans="20:22" x14ac:dyDescent="0.3">
      <c r="T279" s="4" t="s">
        <v>946</v>
      </c>
      <c r="U279" s="6">
        <v>93064.34</v>
      </c>
      <c r="V279" s="6">
        <v>7.420328452337384</v>
      </c>
    </row>
    <row r="280" spans="20:22" x14ac:dyDescent="0.3">
      <c r="T280" s="4" t="s">
        <v>777</v>
      </c>
      <c r="U280" s="6">
        <v>44640.33</v>
      </c>
      <c r="V280" s="6">
        <v>9</v>
      </c>
    </row>
    <row r="281" spans="20:22" x14ac:dyDescent="0.3">
      <c r="T281" s="4" t="s">
        <v>989</v>
      </c>
      <c r="U281" s="6">
        <v>39506.879999999997</v>
      </c>
      <c r="V281" s="6">
        <v>9</v>
      </c>
    </row>
    <row r="282" spans="20:22" x14ac:dyDescent="0.3">
      <c r="T282" s="4" t="s">
        <v>923</v>
      </c>
      <c r="U282" s="6">
        <v>24633.17</v>
      </c>
      <c r="V282" s="6">
        <v>9</v>
      </c>
    </row>
    <row r="283" spans="20:22" x14ac:dyDescent="0.3">
      <c r="T283" s="4" t="s">
        <v>908</v>
      </c>
      <c r="U283" s="6">
        <v>32575.19</v>
      </c>
      <c r="V283" s="6">
        <v>7.0476003363295803</v>
      </c>
    </row>
    <row r="284" spans="20:22" x14ac:dyDescent="0.3">
      <c r="T284" s="4" t="s">
        <v>214</v>
      </c>
      <c r="U284" s="6">
        <v>36331.800000000003</v>
      </c>
      <c r="V284" s="6">
        <v>9</v>
      </c>
    </row>
    <row r="285" spans="20:22" x14ac:dyDescent="0.3">
      <c r="T285" s="4" t="s">
        <v>100</v>
      </c>
      <c r="U285" s="6">
        <v>79829.52</v>
      </c>
      <c r="V285" s="6">
        <v>4.9229840039123367</v>
      </c>
    </row>
    <row r="286" spans="20:22" x14ac:dyDescent="0.3">
      <c r="T286" s="4" t="s">
        <v>496</v>
      </c>
      <c r="U286" s="6">
        <v>30878.98</v>
      </c>
      <c r="V286" s="6">
        <v>9</v>
      </c>
    </row>
    <row r="287" spans="20:22" x14ac:dyDescent="0.3">
      <c r="T287" s="4" t="s">
        <v>227</v>
      </c>
      <c r="U287" s="6">
        <v>77582.36</v>
      </c>
      <c r="V287" s="6">
        <v>4.5189852435527875</v>
      </c>
    </row>
    <row r="288" spans="20:22" x14ac:dyDescent="0.3">
      <c r="T288" s="4" t="s">
        <v>441</v>
      </c>
      <c r="U288" s="6">
        <v>21674.14</v>
      </c>
      <c r="V288" s="6">
        <v>9</v>
      </c>
    </row>
    <row r="289" spans="20:22" x14ac:dyDescent="0.3">
      <c r="T289" s="4" t="s">
        <v>639</v>
      </c>
      <c r="U289" s="6">
        <v>20823.669999999998</v>
      </c>
      <c r="V289" s="6">
        <v>9</v>
      </c>
    </row>
    <row r="290" spans="20:22" x14ac:dyDescent="0.3">
      <c r="T290" s="4" t="s">
        <v>502</v>
      </c>
      <c r="U290" s="6">
        <v>24959.24</v>
      </c>
      <c r="V290" s="6">
        <v>9</v>
      </c>
    </row>
    <row r="291" spans="20:22" x14ac:dyDescent="0.3">
      <c r="T291" s="4" t="s">
        <v>658</v>
      </c>
      <c r="U291" s="6">
        <v>28165.81</v>
      </c>
      <c r="V291" s="6">
        <v>8.5572554100166123</v>
      </c>
    </row>
    <row r="292" spans="20:22" x14ac:dyDescent="0.3">
      <c r="T292" s="4" t="s">
        <v>139</v>
      </c>
      <c r="U292" s="6">
        <v>89740.86</v>
      </c>
      <c r="V292" s="6">
        <v>4.3184840216596996</v>
      </c>
    </row>
    <row r="293" spans="20:22" x14ac:dyDescent="0.3">
      <c r="T293" s="4" t="s">
        <v>77</v>
      </c>
      <c r="U293" s="6">
        <v>6658.22</v>
      </c>
      <c r="V293" s="6">
        <v>8.9999999999999982</v>
      </c>
    </row>
    <row r="294" spans="20:22" x14ac:dyDescent="0.3">
      <c r="T294" s="4" t="s">
        <v>623</v>
      </c>
      <c r="U294" s="6">
        <v>86652.2</v>
      </c>
      <c r="V294" s="6">
        <v>2.0154634273567207</v>
      </c>
    </row>
    <row r="295" spans="20:22" x14ac:dyDescent="0.3">
      <c r="T295" s="4" t="s">
        <v>541</v>
      </c>
      <c r="U295" s="6">
        <v>35636.25</v>
      </c>
      <c r="V295" s="6">
        <v>6.5532916622820858</v>
      </c>
    </row>
    <row r="296" spans="20:22" x14ac:dyDescent="0.3">
      <c r="T296" s="4" t="s">
        <v>618</v>
      </c>
      <c r="U296" s="6">
        <v>57144.480000000003</v>
      </c>
      <c r="V296" s="6">
        <v>8.0330217371826649</v>
      </c>
    </row>
    <row r="297" spans="20:22" x14ac:dyDescent="0.3">
      <c r="T297" s="4" t="s">
        <v>866</v>
      </c>
      <c r="U297" s="6">
        <v>44207.35</v>
      </c>
      <c r="V297" s="6">
        <v>9</v>
      </c>
    </row>
    <row r="298" spans="20:22" x14ac:dyDescent="0.3">
      <c r="T298" s="4" t="s">
        <v>640</v>
      </c>
      <c r="U298" s="6">
        <v>22088.95</v>
      </c>
      <c r="V298" s="6">
        <v>9</v>
      </c>
    </row>
    <row r="299" spans="20:22" x14ac:dyDescent="0.3">
      <c r="T299" s="4" t="s">
        <v>898</v>
      </c>
      <c r="U299" s="6">
        <v>40565.83</v>
      </c>
      <c r="V299" s="6">
        <v>1.224505452002338</v>
      </c>
    </row>
    <row r="300" spans="20:22" x14ac:dyDescent="0.3">
      <c r="T300" s="4" t="s">
        <v>660</v>
      </c>
      <c r="U300" s="6">
        <v>49513.98</v>
      </c>
      <c r="V300" s="6">
        <v>6.3642967097373306</v>
      </c>
    </row>
    <row r="301" spans="20:22" x14ac:dyDescent="0.3">
      <c r="T301" s="4" t="s">
        <v>377</v>
      </c>
      <c r="U301" s="6">
        <v>25475.7</v>
      </c>
      <c r="V301" s="6">
        <v>9</v>
      </c>
    </row>
    <row r="302" spans="20:22" x14ac:dyDescent="0.3">
      <c r="T302" s="4" t="s">
        <v>208</v>
      </c>
      <c r="U302" s="6">
        <v>33675.46</v>
      </c>
      <c r="V302" s="6">
        <v>5.0431207175789137</v>
      </c>
    </row>
    <row r="303" spans="20:22" x14ac:dyDescent="0.3">
      <c r="T303" s="4" t="s">
        <v>811</v>
      </c>
      <c r="U303" s="6">
        <v>11711.34</v>
      </c>
      <c r="V303" s="6">
        <v>9</v>
      </c>
    </row>
    <row r="304" spans="20:22" x14ac:dyDescent="0.3">
      <c r="T304" s="4" t="s">
        <v>778</v>
      </c>
      <c r="U304" s="6">
        <v>64755.7</v>
      </c>
      <c r="V304" s="6">
        <v>9.0000000000000018</v>
      </c>
    </row>
    <row r="305" spans="20:22" x14ac:dyDescent="0.3">
      <c r="T305" s="4" t="s">
        <v>293</v>
      </c>
      <c r="U305" s="6">
        <v>16205.28</v>
      </c>
      <c r="V305" s="6">
        <v>9</v>
      </c>
    </row>
    <row r="306" spans="20:22" x14ac:dyDescent="0.3">
      <c r="T306" s="4" t="s">
        <v>72</v>
      </c>
      <c r="U306" s="6">
        <v>28203.84</v>
      </c>
      <c r="V306" s="6">
        <v>9.0000000000000018</v>
      </c>
    </row>
    <row r="307" spans="20:22" x14ac:dyDescent="0.3">
      <c r="T307" s="4" t="s">
        <v>88</v>
      </c>
      <c r="U307" s="6">
        <v>30883.42</v>
      </c>
      <c r="V307" s="6">
        <v>9</v>
      </c>
    </row>
    <row r="308" spans="20:22" x14ac:dyDescent="0.3">
      <c r="T308" s="4" t="s">
        <v>630</v>
      </c>
      <c r="U308" s="6">
        <v>19142.150000000001</v>
      </c>
      <c r="V308" s="6">
        <v>9</v>
      </c>
    </row>
    <row r="309" spans="20:22" x14ac:dyDescent="0.3">
      <c r="T309" s="4" t="s">
        <v>608</v>
      </c>
      <c r="U309" s="6">
        <v>73071.429999999993</v>
      </c>
      <c r="V309" s="6">
        <v>5.7822022916480496</v>
      </c>
    </row>
    <row r="310" spans="20:22" x14ac:dyDescent="0.3">
      <c r="T310" s="4" t="s">
        <v>38</v>
      </c>
      <c r="U310" s="6">
        <v>17573.23</v>
      </c>
      <c r="V310" s="6">
        <v>8.9999999999999982</v>
      </c>
    </row>
    <row r="311" spans="20:22" x14ac:dyDescent="0.3">
      <c r="T311" s="4" t="s">
        <v>538</v>
      </c>
      <c r="U311" s="6">
        <v>71885.41</v>
      </c>
      <c r="V311" s="6">
        <v>0.55645561456768478</v>
      </c>
    </row>
    <row r="312" spans="20:22" x14ac:dyDescent="0.3">
      <c r="T312" s="4" t="s">
        <v>278</v>
      </c>
      <c r="U312" s="6">
        <v>7952.59</v>
      </c>
      <c r="V312" s="6">
        <v>9</v>
      </c>
    </row>
    <row r="313" spans="20:22" x14ac:dyDescent="0.3">
      <c r="T313" s="4" t="s">
        <v>587</v>
      </c>
      <c r="U313" s="6">
        <v>8053.59</v>
      </c>
      <c r="V313" s="6">
        <v>9</v>
      </c>
    </row>
    <row r="314" spans="20:22" x14ac:dyDescent="0.3">
      <c r="T314" s="4" t="s">
        <v>794</v>
      </c>
      <c r="U314" s="6">
        <v>17378.68</v>
      </c>
      <c r="V314" s="6">
        <v>9</v>
      </c>
    </row>
    <row r="315" spans="20:22" x14ac:dyDescent="0.3">
      <c r="T315" s="4" t="s">
        <v>111</v>
      </c>
      <c r="U315" s="6">
        <v>62178.3</v>
      </c>
      <c r="V315" s="6">
        <v>4.1036853693330304</v>
      </c>
    </row>
    <row r="316" spans="20:22" x14ac:dyDescent="0.3">
      <c r="T316" s="4" t="s">
        <v>831</v>
      </c>
      <c r="U316" s="6">
        <v>8494.1200000000008</v>
      </c>
      <c r="V316" s="6">
        <v>9.0000000000000018</v>
      </c>
    </row>
    <row r="317" spans="20:22" x14ac:dyDescent="0.3">
      <c r="T317" s="4" t="s">
        <v>69</v>
      </c>
      <c r="U317" s="6">
        <v>19030.689999999999</v>
      </c>
      <c r="V317" s="6">
        <v>9</v>
      </c>
    </row>
    <row r="318" spans="20:22" x14ac:dyDescent="0.3">
      <c r="T318" s="4" t="s">
        <v>43</v>
      </c>
      <c r="U318" s="6">
        <v>46775.63</v>
      </c>
      <c r="V318" s="6">
        <v>9</v>
      </c>
    </row>
    <row r="319" spans="20:22" x14ac:dyDescent="0.3">
      <c r="T319" s="4" t="s">
        <v>532</v>
      </c>
      <c r="U319" s="6">
        <v>29099.8</v>
      </c>
      <c r="V319" s="6">
        <v>2.0656011381521524</v>
      </c>
    </row>
    <row r="320" spans="20:22" x14ac:dyDescent="0.3">
      <c r="T320" s="4" t="s">
        <v>744</v>
      </c>
      <c r="U320" s="6">
        <v>69169.399999999994</v>
      </c>
      <c r="V320" s="6">
        <v>2.1654308118908077</v>
      </c>
    </row>
    <row r="321" spans="20:22" x14ac:dyDescent="0.3">
      <c r="T321" s="4" t="s">
        <v>298</v>
      </c>
      <c r="U321" s="6">
        <v>39758.97</v>
      </c>
      <c r="V321" s="6">
        <v>1.0542486387348564</v>
      </c>
    </row>
    <row r="322" spans="20:22" x14ac:dyDescent="0.3">
      <c r="T322" s="4" t="s">
        <v>937</v>
      </c>
      <c r="U322" s="6">
        <v>13932.94</v>
      </c>
      <c r="V322" s="6">
        <v>8.9999999999999982</v>
      </c>
    </row>
    <row r="323" spans="20:22" x14ac:dyDescent="0.3">
      <c r="T323" s="4" t="s">
        <v>754</v>
      </c>
      <c r="U323" s="6">
        <v>41458.15</v>
      </c>
      <c r="V323" s="6">
        <v>9</v>
      </c>
    </row>
    <row r="324" spans="20:22" x14ac:dyDescent="0.3">
      <c r="T324" s="4" t="s">
        <v>504</v>
      </c>
      <c r="U324" s="6">
        <v>11703.28</v>
      </c>
      <c r="V324" s="6">
        <v>9</v>
      </c>
    </row>
    <row r="325" spans="20:22" x14ac:dyDescent="0.3">
      <c r="T325" s="4" t="s">
        <v>648</v>
      </c>
      <c r="U325" s="6">
        <v>62805.97</v>
      </c>
      <c r="V325" s="6">
        <v>4.0770628970462521</v>
      </c>
    </row>
    <row r="326" spans="20:22" x14ac:dyDescent="0.3">
      <c r="T326" s="4" t="s">
        <v>477</v>
      </c>
      <c r="U326" s="6">
        <v>39767.24</v>
      </c>
      <c r="V326" s="6">
        <v>9</v>
      </c>
    </row>
    <row r="327" spans="20:22" x14ac:dyDescent="0.3">
      <c r="T327" s="4" t="s">
        <v>101</v>
      </c>
      <c r="U327" s="6">
        <v>96169.66</v>
      </c>
      <c r="V327" s="6">
        <v>3.7361603441251638</v>
      </c>
    </row>
    <row r="328" spans="20:22" x14ac:dyDescent="0.3">
      <c r="T328" s="4" t="s">
        <v>259</v>
      </c>
      <c r="U328" s="6">
        <v>81664.5</v>
      </c>
      <c r="V328" s="6">
        <v>9</v>
      </c>
    </row>
    <row r="329" spans="20:22" x14ac:dyDescent="0.3">
      <c r="T329" s="4" t="s">
        <v>373</v>
      </c>
      <c r="U329" s="6">
        <v>89917.95</v>
      </c>
      <c r="V329" s="6">
        <v>7.1944568353704694</v>
      </c>
    </row>
    <row r="330" spans="20:22" x14ac:dyDescent="0.3">
      <c r="T330" s="4" t="s">
        <v>822</v>
      </c>
      <c r="U330" s="6">
        <v>8752.77</v>
      </c>
      <c r="V330" s="6">
        <v>9</v>
      </c>
    </row>
    <row r="331" spans="20:22" x14ac:dyDescent="0.3">
      <c r="T331" s="4" t="s">
        <v>654</v>
      </c>
      <c r="U331" s="6">
        <v>13087.55</v>
      </c>
      <c r="V331" s="6">
        <v>9</v>
      </c>
    </row>
    <row r="332" spans="20:22" x14ac:dyDescent="0.3">
      <c r="T332" s="4" t="s">
        <v>191</v>
      </c>
      <c r="U332" s="6">
        <v>16063.49</v>
      </c>
      <c r="V332" s="6">
        <v>9</v>
      </c>
    </row>
    <row r="333" spans="20:22" x14ac:dyDescent="0.3">
      <c r="T333" s="4" t="s">
        <v>731</v>
      </c>
      <c r="U333" s="6">
        <v>91458.81</v>
      </c>
      <c r="V333" s="6">
        <v>6.4337933108904446</v>
      </c>
    </row>
    <row r="334" spans="20:22" x14ac:dyDescent="0.3">
      <c r="T334" s="4" t="s">
        <v>376</v>
      </c>
      <c r="U334" s="6">
        <v>74243.839999999997</v>
      </c>
      <c r="V334" s="6">
        <v>6.5808727027050331</v>
      </c>
    </row>
    <row r="335" spans="20:22" x14ac:dyDescent="0.3">
      <c r="T335" s="4" t="s">
        <v>218</v>
      </c>
      <c r="U335" s="6">
        <v>16308.37</v>
      </c>
      <c r="V335" s="6">
        <v>9</v>
      </c>
    </row>
    <row r="336" spans="20:22" x14ac:dyDescent="0.3">
      <c r="T336" s="4" t="s">
        <v>249</v>
      </c>
      <c r="U336" s="6">
        <v>59889.62</v>
      </c>
      <c r="V336" s="6">
        <v>1.3873627850702677</v>
      </c>
    </row>
    <row r="337" spans="20:22" x14ac:dyDescent="0.3">
      <c r="T337" s="4" t="s">
        <v>723</v>
      </c>
      <c r="U337" s="6">
        <v>57491.61</v>
      </c>
      <c r="V337" s="6">
        <v>2.8390025953352152</v>
      </c>
    </row>
    <row r="338" spans="20:22" x14ac:dyDescent="0.3">
      <c r="T338" s="4" t="s">
        <v>400</v>
      </c>
      <c r="U338" s="6">
        <v>59550.27</v>
      </c>
      <c r="V338" s="6">
        <v>4.8002255909167166</v>
      </c>
    </row>
    <row r="339" spans="20:22" x14ac:dyDescent="0.3">
      <c r="T339" s="4" t="s">
        <v>251</v>
      </c>
      <c r="U339" s="6">
        <v>84627.74</v>
      </c>
      <c r="V339" s="6">
        <v>7.6481203444638837</v>
      </c>
    </row>
    <row r="340" spans="20:22" x14ac:dyDescent="0.3">
      <c r="T340" s="4" t="s">
        <v>851</v>
      </c>
      <c r="U340" s="6">
        <v>20557.580000000002</v>
      </c>
      <c r="V340" s="6">
        <v>9</v>
      </c>
    </row>
    <row r="341" spans="20:22" x14ac:dyDescent="0.3">
      <c r="T341" s="4" t="s">
        <v>653</v>
      </c>
      <c r="U341" s="6">
        <v>77848.2</v>
      </c>
      <c r="V341" s="6">
        <v>8.6852778869646308</v>
      </c>
    </row>
    <row r="342" spans="20:22" x14ac:dyDescent="0.3">
      <c r="T342" s="4" t="s">
        <v>632</v>
      </c>
      <c r="U342" s="6">
        <v>82834.559999999998</v>
      </c>
      <c r="V342" s="6">
        <v>6.1557020403078146</v>
      </c>
    </row>
    <row r="343" spans="20:22" x14ac:dyDescent="0.3">
      <c r="T343" s="4" t="s">
        <v>968</v>
      </c>
      <c r="U343" s="6">
        <v>42103.6</v>
      </c>
      <c r="V343" s="6">
        <v>9</v>
      </c>
    </row>
    <row r="344" spans="20:22" x14ac:dyDescent="0.3">
      <c r="T344" s="4" t="s">
        <v>890</v>
      </c>
      <c r="U344" s="6">
        <v>73452.84</v>
      </c>
      <c r="V344" s="6">
        <v>9</v>
      </c>
    </row>
    <row r="345" spans="20:22" x14ac:dyDescent="0.3">
      <c r="T345" s="4" t="s">
        <v>983</v>
      </c>
      <c r="U345" s="6">
        <v>9933.82</v>
      </c>
      <c r="V345" s="6">
        <v>9</v>
      </c>
    </row>
    <row r="346" spans="20:22" x14ac:dyDescent="0.3">
      <c r="T346" s="4" t="s">
        <v>927</v>
      </c>
      <c r="U346" s="6">
        <v>15386.79</v>
      </c>
      <c r="V346" s="6">
        <v>9</v>
      </c>
    </row>
    <row r="347" spans="20:22" x14ac:dyDescent="0.3">
      <c r="T347" s="4" t="s">
        <v>611</v>
      </c>
      <c r="U347" s="6">
        <v>10934.43</v>
      </c>
      <c r="V347" s="6">
        <v>9</v>
      </c>
    </row>
    <row r="348" spans="20:22" x14ac:dyDescent="0.3">
      <c r="T348" s="4" t="s">
        <v>803</v>
      </c>
      <c r="U348" s="6">
        <v>29528.87</v>
      </c>
      <c r="V348" s="6">
        <v>9</v>
      </c>
    </row>
    <row r="349" spans="20:22" x14ac:dyDescent="0.3">
      <c r="T349" s="4" t="s">
        <v>349</v>
      </c>
      <c r="U349" s="6">
        <v>28881.52</v>
      </c>
      <c r="V349" s="6">
        <v>9</v>
      </c>
    </row>
    <row r="350" spans="20:22" x14ac:dyDescent="0.3">
      <c r="T350" s="4" t="s">
        <v>925</v>
      </c>
      <c r="U350" s="6">
        <v>50192.71</v>
      </c>
      <c r="V350" s="6">
        <v>9</v>
      </c>
    </row>
    <row r="351" spans="20:22" x14ac:dyDescent="0.3">
      <c r="T351" s="4" t="s">
        <v>102</v>
      </c>
      <c r="U351" s="6">
        <v>72722.22</v>
      </c>
      <c r="V351" s="6">
        <v>7.5137432548126295</v>
      </c>
    </row>
    <row r="352" spans="20:22" x14ac:dyDescent="0.3">
      <c r="T352" s="4" t="s">
        <v>913</v>
      </c>
      <c r="U352" s="6">
        <v>78857.259999999995</v>
      </c>
      <c r="V352" s="6">
        <v>9</v>
      </c>
    </row>
    <row r="353" spans="20:22" x14ac:dyDescent="0.3">
      <c r="T353" s="4" t="s">
        <v>26</v>
      </c>
      <c r="U353" s="6">
        <v>28964.45</v>
      </c>
      <c r="V353" s="6">
        <v>4.9687855284667926</v>
      </c>
    </row>
    <row r="354" spans="20:22" x14ac:dyDescent="0.3">
      <c r="T354" s="4" t="s">
        <v>765</v>
      </c>
      <c r="U354" s="6">
        <v>86461.82</v>
      </c>
      <c r="V354" s="6">
        <v>8.4753377849321225</v>
      </c>
    </row>
    <row r="355" spans="20:22" x14ac:dyDescent="0.3">
      <c r="T355" s="4" t="s">
        <v>168</v>
      </c>
      <c r="U355" s="6">
        <v>12098.23</v>
      </c>
      <c r="V355" s="6">
        <v>9</v>
      </c>
    </row>
    <row r="356" spans="20:22" x14ac:dyDescent="0.3">
      <c r="T356" s="4" t="s">
        <v>724</v>
      </c>
      <c r="U356" s="6">
        <v>19992.62</v>
      </c>
      <c r="V356" s="6">
        <v>9</v>
      </c>
    </row>
    <row r="357" spans="20:22" x14ac:dyDescent="0.3">
      <c r="T357" s="4" t="s">
        <v>586</v>
      </c>
      <c r="U357" s="6">
        <v>2792.69</v>
      </c>
      <c r="V357" s="6">
        <v>9</v>
      </c>
    </row>
    <row r="358" spans="20:22" x14ac:dyDescent="0.3">
      <c r="T358" s="4" t="s">
        <v>601</v>
      </c>
      <c r="U358" s="6">
        <v>17151.7</v>
      </c>
      <c r="V358" s="6">
        <v>8.9999999999999982</v>
      </c>
    </row>
    <row r="359" spans="20:22" x14ac:dyDescent="0.3">
      <c r="T359" s="4" t="s">
        <v>955</v>
      </c>
      <c r="U359" s="6">
        <v>99579.39</v>
      </c>
      <c r="V359" s="6">
        <v>6.6132364337640546</v>
      </c>
    </row>
    <row r="360" spans="20:22" x14ac:dyDescent="0.3">
      <c r="T360" s="4" t="s">
        <v>958</v>
      </c>
      <c r="U360" s="6">
        <v>66401.2</v>
      </c>
      <c r="V360" s="6">
        <v>5.3158247140111934</v>
      </c>
    </row>
    <row r="361" spans="20:22" x14ac:dyDescent="0.3">
      <c r="T361" s="4" t="s">
        <v>642</v>
      </c>
      <c r="U361" s="6">
        <v>54266.94</v>
      </c>
      <c r="V361" s="6">
        <v>9</v>
      </c>
    </row>
    <row r="362" spans="20:22" x14ac:dyDescent="0.3">
      <c r="T362" s="4" t="s">
        <v>596</v>
      </c>
      <c r="U362" s="6">
        <v>21878.6</v>
      </c>
      <c r="V362" s="6">
        <v>9</v>
      </c>
    </row>
    <row r="363" spans="20:22" x14ac:dyDescent="0.3">
      <c r="T363" s="4" t="s">
        <v>585</v>
      </c>
      <c r="U363" s="6">
        <v>20633.509999999998</v>
      </c>
      <c r="V363" s="6">
        <v>9</v>
      </c>
    </row>
    <row r="364" spans="20:22" x14ac:dyDescent="0.3">
      <c r="T364" s="4" t="s">
        <v>957</v>
      </c>
      <c r="U364" s="6">
        <v>47201.38</v>
      </c>
      <c r="V364" s="6">
        <v>7.5294910869131373</v>
      </c>
    </row>
    <row r="365" spans="20:22" x14ac:dyDescent="0.3">
      <c r="T365" s="4" t="s">
        <v>367</v>
      </c>
      <c r="U365" s="6">
        <v>49871.16</v>
      </c>
      <c r="V365" s="6">
        <v>9</v>
      </c>
    </row>
    <row r="366" spans="20:22" x14ac:dyDescent="0.3">
      <c r="T366" s="4" t="s">
        <v>752</v>
      </c>
      <c r="U366" s="6">
        <v>43026.77</v>
      </c>
      <c r="V366" s="6">
        <v>4.7708533547835454</v>
      </c>
    </row>
    <row r="367" spans="20:22" x14ac:dyDescent="0.3">
      <c r="T367" s="4" t="s">
        <v>124</v>
      </c>
      <c r="U367" s="6">
        <v>42818.39</v>
      </c>
      <c r="V367" s="6">
        <v>9</v>
      </c>
    </row>
    <row r="368" spans="20:22" x14ac:dyDescent="0.3">
      <c r="T368" s="4" t="s">
        <v>631</v>
      </c>
      <c r="U368" s="6">
        <v>32039.7</v>
      </c>
      <c r="V368" s="6">
        <v>9</v>
      </c>
    </row>
    <row r="369" spans="20:22" x14ac:dyDescent="0.3">
      <c r="T369" s="4" t="s">
        <v>530</v>
      </c>
      <c r="U369" s="6">
        <v>63986.6</v>
      </c>
      <c r="V369" s="6">
        <v>7.6141957847424306</v>
      </c>
    </row>
    <row r="370" spans="20:22" x14ac:dyDescent="0.3">
      <c r="T370" s="4" t="s">
        <v>217</v>
      </c>
      <c r="U370" s="6">
        <v>98089.919999999998</v>
      </c>
      <c r="V370" s="6">
        <v>4.3240096433965896</v>
      </c>
    </row>
    <row r="371" spans="20:22" x14ac:dyDescent="0.3">
      <c r="T371" s="4" t="s">
        <v>555</v>
      </c>
      <c r="U371" s="6">
        <v>59207.21</v>
      </c>
      <c r="V371" s="6">
        <v>9</v>
      </c>
    </row>
    <row r="372" spans="20:22" x14ac:dyDescent="0.3">
      <c r="T372" s="4" t="s">
        <v>857</v>
      </c>
      <c r="U372" s="6">
        <v>78922.22</v>
      </c>
      <c r="V372" s="6">
        <v>9</v>
      </c>
    </row>
    <row r="373" spans="20:22" x14ac:dyDescent="0.3">
      <c r="T373" s="4" t="s">
        <v>1012</v>
      </c>
      <c r="U373" s="6">
        <v>82509.649999999994</v>
      </c>
      <c r="V373" s="6">
        <v>7.5131150113956373</v>
      </c>
    </row>
    <row r="374" spans="20:22" x14ac:dyDescent="0.3">
      <c r="T374" s="4" t="s">
        <v>838</v>
      </c>
      <c r="U374" s="6">
        <v>66488.960000000006</v>
      </c>
      <c r="V374" s="6">
        <v>6.3472612596136253</v>
      </c>
    </row>
    <row r="375" spans="20:22" x14ac:dyDescent="0.3">
      <c r="T375" s="4" t="s">
        <v>95</v>
      </c>
      <c r="U375" s="6">
        <v>44251.43</v>
      </c>
      <c r="V375" s="6">
        <v>9</v>
      </c>
    </row>
    <row r="376" spans="20:22" x14ac:dyDescent="0.3">
      <c r="T376" s="4" t="s">
        <v>37</v>
      </c>
      <c r="U376" s="6">
        <v>19213.46</v>
      </c>
      <c r="V376" s="6">
        <v>9</v>
      </c>
    </row>
    <row r="377" spans="20:22" x14ac:dyDescent="0.3">
      <c r="T377" s="4" t="s">
        <v>655</v>
      </c>
      <c r="U377" s="6">
        <v>41350.29</v>
      </c>
      <c r="V377" s="6">
        <v>9</v>
      </c>
    </row>
    <row r="378" spans="20:22" x14ac:dyDescent="0.3">
      <c r="T378" s="4" t="s">
        <v>551</v>
      </c>
      <c r="U378" s="6">
        <v>64551.199999999997</v>
      </c>
      <c r="V378" s="6">
        <v>3.3448914969822408</v>
      </c>
    </row>
    <row r="379" spans="20:22" x14ac:dyDescent="0.3">
      <c r="T379" s="4" t="s">
        <v>688</v>
      </c>
      <c r="U379" s="6">
        <v>43491.12</v>
      </c>
      <c r="V379" s="6">
        <v>4.5842841021339522</v>
      </c>
    </row>
    <row r="380" spans="20:22" x14ac:dyDescent="0.3">
      <c r="T380" s="4" t="s">
        <v>847</v>
      </c>
      <c r="U380" s="6">
        <v>56406.79</v>
      </c>
      <c r="V380" s="6">
        <v>1.6565406398768656</v>
      </c>
    </row>
    <row r="381" spans="20:22" x14ac:dyDescent="0.3">
      <c r="T381" s="4" t="s">
        <v>105</v>
      </c>
      <c r="U381" s="6">
        <v>97763.51</v>
      </c>
      <c r="V381" s="6">
        <v>1.503719946225335</v>
      </c>
    </row>
    <row r="382" spans="20:22" x14ac:dyDescent="0.3">
      <c r="T382" s="4" t="s">
        <v>29</v>
      </c>
      <c r="U382" s="6">
        <v>1816.22</v>
      </c>
      <c r="V382" s="6">
        <v>9</v>
      </c>
    </row>
    <row r="383" spans="20:22" x14ac:dyDescent="0.3">
      <c r="T383" s="4" t="s">
        <v>370</v>
      </c>
      <c r="U383" s="6">
        <v>40691.9</v>
      </c>
      <c r="V383" s="6">
        <v>8.9999999999999982</v>
      </c>
    </row>
    <row r="384" spans="20:22" x14ac:dyDescent="0.3">
      <c r="T384" s="4" t="s">
        <v>488</v>
      </c>
      <c r="U384" s="6">
        <v>44445.2</v>
      </c>
      <c r="V384" s="6">
        <v>5.7663905213611377</v>
      </c>
    </row>
    <row r="385" spans="20:22" x14ac:dyDescent="0.3">
      <c r="T385" s="4" t="s">
        <v>85</v>
      </c>
      <c r="U385" s="6">
        <v>26183.57</v>
      </c>
      <c r="V385" s="6">
        <v>9</v>
      </c>
    </row>
    <row r="386" spans="20:22" x14ac:dyDescent="0.3">
      <c r="T386" s="4" t="s">
        <v>629</v>
      </c>
      <c r="U386" s="6">
        <v>94357.67</v>
      </c>
      <c r="V386" s="6">
        <v>9</v>
      </c>
    </row>
    <row r="387" spans="20:22" x14ac:dyDescent="0.3">
      <c r="T387" s="4" t="s">
        <v>437</v>
      </c>
      <c r="U387" s="6">
        <v>4270.96</v>
      </c>
      <c r="V387" s="6">
        <v>6.238932230692865</v>
      </c>
    </row>
    <row r="388" spans="20:22" x14ac:dyDescent="0.3">
      <c r="T388" s="4" t="s">
        <v>696</v>
      </c>
      <c r="U388" s="6">
        <v>12991.78</v>
      </c>
      <c r="V388" s="6">
        <v>2.8515384343023045</v>
      </c>
    </row>
    <row r="389" spans="20:22" x14ac:dyDescent="0.3">
      <c r="T389" s="4" t="s">
        <v>45</v>
      </c>
      <c r="U389" s="6">
        <v>84973.4</v>
      </c>
      <c r="V389" s="6">
        <v>3.5983406571938983</v>
      </c>
    </row>
    <row r="390" spans="20:22" x14ac:dyDescent="0.3">
      <c r="T390" s="4" t="s">
        <v>823</v>
      </c>
      <c r="U390" s="6">
        <v>41771.199999999997</v>
      </c>
      <c r="V390" s="6">
        <v>9</v>
      </c>
    </row>
    <row r="391" spans="20:22" x14ac:dyDescent="0.3">
      <c r="T391" s="4" t="s">
        <v>691</v>
      </c>
      <c r="U391" s="6">
        <v>19497.93</v>
      </c>
      <c r="V391" s="6">
        <v>9</v>
      </c>
    </row>
    <row r="392" spans="20:22" x14ac:dyDescent="0.3">
      <c r="T392" s="4" t="s">
        <v>308</v>
      </c>
      <c r="U392" s="6">
        <v>97754.27</v>
      </c>
      <c r="V392" s="6">
        <v>2.7662216699076159</v>
      </c>
    </row>
    <row r="393" spans="20:22" x14ac:dyDescent="0.3">
      <c r="T393" s="4" t="s">
        <v>687</v>
      </c>
      <c r="U393" s="6">
        <v>21426.33</v>
      </c>
      <c r="V393" s="6">
        <v>8.267935292698283</v>
      </c>
    </row>
    <row r="394" spans="20:22" x14ac:dyDescent="0.3">
      <c r="T394" s="4" t="s">
        <v>457</v>
      </c>
      <c r="U394" s="6">
        <v>27329.38</v>
      </c>
      <c r="V394" s="6">
        <v>8.9999999999999982</v>
      </c>
    </row>
    <row r="395" spans="20:22" x14ac:dyDescent="0.3">
      <c r="T395" s="4" t="s">
        <v>772</v>
      </c>
      <c r="U395" s="6">
        <v>43101.14</v>
      </c>
      <c r="V395" s="6">
        <v>9</v>
      </c>
    </row>
    <row r="396" spans="20:22" x14ac:dyDescent="0.3">
      <c r="T396" s="4" t="s">
        <v>327</v>
      </c>
      <c r="U396" s="6">
        <v>65189.68</v>
      </c>
      <c r="V396" s="6">
        <v>9</v>
      </c>
    </row>
    <row r="397" spans="20:22" x14ac:dyDescent="0.3">
      <c r="T397" s="4" t="s">
        <v>948</v>
      </c>
      <c r="U397" s="6">
        <v>21939.98</v>
      </c>
      <c r="V397" s="6">
        <v>1.3720313327541775</v>
      </c>
    </row>
    <row r="398" spans="20:22" x14ac:dyDescent="0.3">
      <c r="T398" s="4" t="s">
        <v>882</v>
      </c>
      <c r="U398" s="6">
        <v>17398.099999999999</v>
      </c>
      <c r="V398" s="6">
        <v>1.0920359119673988</v>
      </c>
    </row>
    <row r="399" spans="20:22" x14ac:dyDescent="0.3">
      <c r="T399" s="4" t="s">
        <v>762</v>
      </c>
      <c r="U399" s="6">
        <v>2667.65</v>
      </c>
      <c r="V399" s="6">
        <v>9</v>
      </c>
    </row>
    <row r="400" spans="20:22" x14ac:dyDescent="0.3">
      <c r="T400" s="4" t="s">
        <v>143</v>
      </c>
      <c r="U400" s="6">
        <v>7632.49</v>
      </c>
      <c r="V400" s="6">
        <v>8.9999999999999982</v>
      </c>
    </row>
    <row r="401" spans="20:22" x14ac:dyDescent="0.3">
      <c r="T401" s="4" t="s">
        <v>973</v>
      </c>
      <c r="U401" s="6">
        <v>69912.37</v>
      </c>
      <c r="V401" s="6">
        <v>3.6517230069585684</v>
      </c>
    </row>
    <row r="402" spans="20:22" x14ac:dyDescent="0.3">
      <c r="T402" s="4" t="s">
        <v>47</v>
      </c>
      <c r="U402" s="6">
        <v>14391.98</v>
      </c>
      <c r="V402" s="6">
        <v>9</v>
      </c>
    </row>
    <row r="403" spans="20:22" x14ac:dyDescent="0.3">
      <c r="T403" s="4" t="s">
        <v>89</v>
      </c>
      <c r="U403" s="6">
        <v>24998.61</v>
      </c>
      <c r="V403" s="6">
        <v>1.8504700861367889</v>
      </c>
    </row>
    <row r="404" spans="20:22" x14ac:dyDescent="0.3">
      <c r="T404" s="4" t="s">
        <v>215</v>
      </c>
      <c r="U404" s="6">
        <v>19401.939999999999</v>
      </c>
      <c r="V404" s="6">
        <v>9</v>
      </c>
    </row>
    <row r="405" spans="20:22" x14ac:dyDescent="0.3">
      <c r="T405" s="4" t="s">
        <v>616</v>
      </c>
      <c r="U405" s="6">
        <v>92196.9</v>
      </c>
      <c r="V405" s="6">
        <v>3.32354309092822</v>
      </c>
    </row>
    <row r="406" spans="20:22" x14ac:dyDescent="0.3">
      <c r="T406" s="4" t="s">
        <v>368</v>
      </c>
      <c r="U406" s="6">
        <v>86898.8</v>
      </c>
      <c r="V406" s="6">
        <v>6.2206381446003851</v>
      </c>
    </row>
    <row r="407" spans="20:22" x14ac:dyDescent="0.3">
      <c r="T407" s="4" t="s">
        <v>431</v>
      </c>
      <c r="U407" s="6">
        <v>31358.99</v>
      </c>
      <c r="V407" s="6">
        <v>9</v>
      </c>
    </row>
    <row r="408" spans="20:22" x14ac:dyDescent="0.3">
      <c r="T408" s="4" t="s">
        <v>455</v>
      </c>
      <c r="U408" s="6">
        <v>81342.100000000006</v>
      </c>
      <c r="V408" s="6">
        <v>3.4507112553032186</v>
      </c>
    </row>
    <row r="409" spans="20:22" x14ac:dyDescent="0.3">
      <c r="T409" s="4" t="s">
        <v>767</v>
      </c>
      <c r="U409" s="6">
        <v>14593.14</v>
      </c>
      <c r="V409" s="6">
        <v>9.0000000000000018</v>
      </c>
    </row>
    <row r="410" spans="20:22" x14ac:dyDescent="0.3">
      <c r="T410" s="4" t="s">
        <v>1005</v>
      </c>
      <c r="U410" s="6">
        <v>4714.75</v>
      </c>
      <c r="V410" s="6">
        <v>9</v>
      </c>
    </row>
    <row r="411" spans="20:22" x14ac:dyDescent="0.3">
      <c r="T411" s="4" t="s">
        <v>805</v>
      </c>
      <c r="U411" s="6">
        <v>65007.53</v>
      </c>
      <c r="V411" s="6">
        <v>5.6013535662714773</v>
      </c>
    </row>
    <row r="412" spans="20:22" x14ac:dyDescent="0.3">
      <c r="T412" s="4" t="s">
        <v>40</v>
      </c>
      <c r="U412" s="6">
        <v>34644.22</v>
      </c>
      <c r="V412" s="6">
        <v>9</v>
      </c>
    </row>
    <row r="413" spans="20:22" x14ac:dyDescent="0.3">
      <c r="T413" s="4" t="s">
        <v>690</v>
      </c>
      <c r="U413" s="6">
        <v>70113.41</v>
      </c>
      <c r="V413" s="6">
        <v>7.2277758277624775</v>
      </c>
    </row>
    <row r="414" spans="20:22" x14ac:dyDescent="0.3">
      <c r="T414" s="4" t="s">
        <v>444</v>
      </c>
      <c r="U414" s="6">
        <v>29709.16</v>
      </c>
      <c r="V414" s="6">
        <v>9</v>
      </c>
    </row>
    <row r="415" spans="20:22" x14ac:dyDescent="0.3">
      <c r="T415" s="4" t="s">
        <v>569</v>
      </c>
      <c r="U415" s="6">
        <v>32177.54</v>
      </c>
      <c r="V415" s="6">
        <v>9.0000000000000018</v>
      </c>
    </row>
    <row r="416" spans="20:22" x14ac:dyDescent="0.3">
      <c r="T416" s="4" t="s">
        <v>230</v>
      </c>
      <c r="U416" s="6">
        <v>63938.71</v>
      </c>
      <c r="V416" s="6">
        <v>9</v>
      </c>
    </row>
    <row r="417" spans="20:22" x14ac:dyDescent="0.3">
      <c r="T417" s="4" t="s">
        <v>65</v>
      </c>
      <c r="U417" s="6">
        <v>69084.100000000006</v>
      </c>
      <c r="V417" s="6">
        <v>2.0535728192159985</v>
      </c>
    </row>
    <row r="418" spans="20:22" x14ac:dyDescent="0.3">
      <c r="T418" s="4" t="s">
        <v>745</v>
      </c>
      <c r="U418" s="6">
        <v>95593.18</v>
      </c>
      <c r="V418" s="6">
        <v>8.4584011118784836</v>
      </c>
    </row>
    <row r="419" spans="20:22" x14ac:dyDescent="0.3">
      <c r="T419" s="4" t="s">
        <v>790</v>
      </c>
      <c r="U419" s="6">
        <v>35256.99</v>
      </c>
      <c r="V419" s="6">
        <v>9</v>
      </c>
    </row>
    <row r="420" spans="20:22" x14ac:dyDescent="0.3">
      <c r="T420" s="4" t="s">
        <v>500</v>
      </c>
      <c r="U420" s="6">
        <v>1635.98</v>
      </c>
      <c r="V420" s="6">
        <v>9</v>
      </c>
    </row>
    <row r="421" spans="20:22" x14ac:dyDescent="0.3">
      <c r="T421" s="4" t="s">
        <v>301</v>
      </c>
      <c r="U421" s="6">
        <v>44406.38</v>
      </c>
      <c r="V421" s="6">
        <v>8.8804077251962443</v>
      </c>
    </row>
    <row r="422" spans="20:22" x14ac:dyDescent="0.3">
      <c r="T422" s="4" t="s">
        <v>661</v>
      </c>
      <c r="U422" s="6">
        <v>83745.94</v>
      </c>
      <c r="V422" s="6">
        <v>3.9643700936427488</v>
      </c>
    </row>
    <row r="423" spans="20:22" x14ac:dyDescent="0.3">
      <c r="T423" s="4" t="s">
        <v>426</v>
      </c>
      <c r="U423" s="6">
        <v>27771.85</v>
      </c>
      <c r="V423" s="6">
        <v>9</v>
      </c>
    </row>
    <row r="424" spans="20:22" x14ac:dyDescent="0.3">
      <c r="T424" s="4" t="s">
        <v>235</v>
      </c>
      <c r="U424" s="6">
        <v>14418.29</v>
      </c>
      <c r="V424" s="6">
        <v>9</v>
      </c>
    </row>
    <row r="425" spans="20:22" x14ac:dyDescent="0.3">
      <c r="T425" s="4" t="s">
        <v>224</v>
      </c>
      <c r="U425" s="6">
        <v>29724.33</v>
      </c>
      <c r="V425" s="6">
        <v>9</v>
      </c>
    </row>
    <row r="426" spans="20:22" x14ac:dyDescent="0.3">
      <c r="T426" s="4" t="s">
        <v>491</v>
      </c>
      <c r="U426" s="6">
        <v>26563.78</v>
      </c>
      <c r="V426" s="6">
        <v>9</v>
      </c>
    </row>
    <row r="427" spans="20:22" x14ac:dyDescent="0.3">
      <c r="T427" s="4" t="s">
        <v>206</v>
      </c>
      <c r="U427" s="6">
        <v>24936.91</v>
      </c>
      <c r="V427" s="6">
        <v>9</v>
      </c>
    </row>
    <row r="428" spans="20:22" x14ac:dyDescent="0.3">
      <c r="T428" s="4" t="s">
        <v>416</v>
      </c>
      <c r="U428" s="6">
        <v>32095.599999999999</v>
      </c>
      <c r="V428" s="6">
        <v>9.0000000000000018</v>
      </c>
    </row>
    <row r="429" spans="20:22" x14ac:dyDescent="0.3">
      <c r="T429" s="4" t="s">
        <v>714</v>
      </c>
      <c r="U429" s="6">
        <v>76690.16</v>
      </c>
      <c r="V429" s="6">
        <v>1.9604550309974575</v>
      </c>
    </row>
    <row r="430" spans="20:22" x14ac:dyDescent="0.3">
      <c r="T430" s="4" t="s">
        <v>678</v>
      </c>
      <c r="U430" s="6">
        <v>4888.71</v>
      </c>
      <c r="V430" s="6">
        <v>9</v>
      </c>
    </row>
    <row r="431" spans="20:22" x14ac:dyDescent="0.3">
      <c r="T431" s="4" t="s">
        <v>1015</v>
      </c>
      <c r="U431" s="6">
        <v>7401.5</v>
      </c>
      <c r="V431" s="6">
        <v>9</v>
      </c>
    </row>
    <row r="432" spans="20:22" x14ac:dyDescent="0.3">
      <c r="T432" s="4" t="s">
        <v>382</v>
      </c>
      <c r="U432" s="6">
        <v>11007.95</v>
      </c>
      <c r="V432" s="6">
        <v>9</v>
      </c>
    </row>
    <row r="433" spans="20:22" x14ac:dyDescent="0.3">
      <c r="T433" s="4" t="s">
        <v>876</v>
      </c>
      <c r="U433" s="6">
        <v>97339.13</v>
      </c>
      <c r="V433" s="6">
        <v>3.2058694175713298</v>
      </c>
    </row>
    <row r="434" spans="20:22" x14ac:dyDescent="0.3">
      <c r="T434" s="4" t="s">
        <v>1006</v>
      </c>
      <c r="U434" s="6">
        <v>83835.240000000005</v>
      </c>
      <c r="V434" s="6">
        <v>0.92887418226511898</v>
      </c>
    </row>
    <row r="435" spans="20:22" x14ac:dyDescent="0.3">
      <c r="T435" s="4" t="s">
        <v>81</v>
      </c>
      <c r="U435" s="6">
        <v>46560.5</v>
      </c>
      <c r="V435" s="6">
        <v>9</v>
      </c>
    </row>
    <row r="436" spans="20:22" x14ac:dyDescent="0.3">
      <c r="T436" s="4" t="s">
        <v>321</v>
      </c>
      <c r="U436" s="6">
        <v>63889.54</v>
      </c>
      <c r="V436" s="6">
        <v>9</v>
      </c>
    </row>
    <row r="437" spans="20:22" x14ac:dyDescent="0.3">
      <c r="T437" s="4" t="s">
        <v>921</v>
      </c>
      <c r="U437" s="6">
        <v>54998.51</v>
      </c>
      <c r="V437" s="6">
        <v>4.9706746600953373</v>
      </c>
    </row>
    <row r="438" spans="20:22" x14ac:dyDescent="0.3">
      <c r="T438" s="4" t="s">
        <v>356</v>
      </c>
      <c r="U438" s="6">
        <v>30866.33</v>
      </c>
      <c r="V438" s="6">
        <v>9</v>
      </c>
    </row>
    <row r="439" spans="20:22" x14ac:dyDescent="0.3">
      <c r="T439" s="4" t="s">
        <v>897</v>
      </c>
      <c r="U439" s="6">
        <v>71582.81</v>
      </c>
      <c r="V439" s="6">
        <v>9</v>
      </c>
    </row>
    <row r="440" spans="20:22" x14ac:dyDescent="0.3">
      <c r="T440" s="4" t="s">
        <v>467</v>
      </c>
      <c r="U440" s="6">
        <v>16470.61</v>
      </c>
      <c r="V440" s="6">
        <v>9</v>
      </c>
    </row>
    <row r="441" spans="20:22" x14ac:dyDescent="0.3">
      <c r="T441" s="4" t="s">
        <v>454</v>
      </c>
      <c r="U441" s="6">
        <v>29840.15</v>
      </c>
      <c r="V441" s="6">
        <v>8.9999999999999982</v>
      </c>
    </row>
    <row r="442" spans="20:22" x14ac:dyDescent="0.3">
      <c r="T442" s="4" t="s">
        <v>170</v>
      </c>
      <c r="U442" s="6">
        <v>59892.4</v>
      </c>
      <c r="V442" s="6">
        <v>9</v>
      </c>
    </row>
    <row r="443" spans="20:22" x14ac:dyDescent="0.3">
      <c r="T443" s="4" t="s">
        <v>592</v>
      </c>
      <c r="U443" s="6">
        <v>89826.92</v>
      </c>
      <c r="V443" s="6">
        <v>6.94451807988073</v>
      </c>
    </row>
    <row r="444" spans="20:22" x14ac:dyDescent="0.3">
      <c r="T444" s="4" t="s">
        <v>345</v>
      </c>
      <c r="U444" s="6">
        <v>80398.7</v>
      </c>
      <c r="V444" s="6">
        <v>5.9160385677877878</v>
      </c>
    </row>
    <row r="445" spans="20:22" x14ac:dyDescent="0.3">
      <c r="T445" s="4" t="s">
        <v>697</v>
      </c>
      <c r="U445" s="6">
        <v>88842.63</v>
      </c>
      <c r="V445" s="6">
        <v>7.368176853836947</v>
      </c>
    </row>
    <row r="446" spans="20:22" x14ac:dyDescent="0.3">
      <c r="T446" s="4" t="s">
        <v>30</v>
      </c>
      <c r="U446" s="6">
        <v>94084.21</v>
      </c>
      <c r="V446" s="6">
        <v>3.3208394904947385</v>
      </c>
    </row>
    <row r="447" spans="20:22" x14ac:dyDescent="0.3">
      <c r="T447" s="4" t="s">
        <v>482</v>
      </c>
      <c r="U447" s="6">
        <v>76016.600000000006</v>
      </c>
      <c r="V447" s="6">
        <v>9</v>
      </c>
    </row>
    <row r="448" spans="20:22" x14ac:dyDescent="0.3">
      <c r="T448" s="4" t="s">
        <v>411</v>
      </c>
      <c r="U448" s="6">
        <v>71940.27</v>
      </c>
      <c r="V448" s="6">
        <v>9</v>
      </c>
    </row>
    <row r="449" spans="20:22" x14ac:dyDescent="0.3">
      <c r="T449" s="4" t="s">
        <v>458</v>
      </c>
      <c r="U449" s="6">
        <v>21718.66</v>
      </c>
      <c r="V449" s="6">
        <v>9</v>
      </c>
    </row>
    <row r="450" spans="20:22" x14ac:dyDescent="0.3">
      <c r="T450" s="4" t="s">
        <v>647</v>
      </c>
      <c r="U450" s="6">
        <v>34344.65</v>
      </c>
      <c r="V450" s="6">
        <v>5.6520377991914312</v>
      </c>
    </row>
    <row r="451" spans="20:22" x14ac:dyDescent="0.3">
      <c r="T451" s="4" t="s">
        <v>720</v>
      </c>
      <c r="U451" s="6">
        <v>99248.28</v>
      </c>
      <c r="V451" s="6">
        <v>4.4583681450197421</v>
      </c>
    </row>
    <row r="452" spans="20:22" x14ac:dyDescent="0.3">
      <c r="T452" s="4" t="s">
        <v>595</v>
      </c>
      <c r="U452" s="6">
        <v>68334.64</v>
      </c>
      <c r="V452" s="6">
        <v>1.4813154792357139</v>
      </c>
    </row>
    <row r="453" spans="20:22" x14ac:dyDescent="0.3">
      <c r="T453" s="4" t="s">
        <v>670</v>
      </c>
      <c r="U453" s="6">
        <v>73923.820000000007</v>
      </c>
      <c r="V453" s="6">
        <v>2.1754465610678668</v>
      </c>
    </row>
    <row r="454" spans="20:22" x14ac:dyDescent="0.3">
      <c r="T454" s="4" t="s">
        <v>667</v>
      </c>
      <c r="U454" s="6">
        <v>26628.67</v>
      </c>
      <c r="V454" s="6">
        <v>9</v>
      </c>
    </row>
    <row r="455" spans="20:22" x14ac:dyDescent="0.3">
      <c r="T455" s="4" t="s">
        <v>902</v>
      </c>
      <c r="U455" s="6">
        <v>71398.880000000005</v>
      </c>
      <c r="V455" s="6">
        <v>5.0041586086504433</v>
      </c>
    </row>
    <row r="456" spans="20:22" x14ac:dyDescent="0.3">
      <c r="T456" s="4" t="s">
        <v>520</v>
      </c>
      <c r="U456" s="6">
        <v>78944.710000000006</v>
      </c>
      <c r="V456" s="6">
        <v>6.5611389287515269</v>
      </c>
    </row>
    <row r="457" spans="20:22" x14ac:dyDescent="0.3">
      <c r="T457" s="4" t="s">
        <v>991</v>
      </c>
      <c r="U457" s="6">
        <v>51220.79</v>
      </c>
      <c r="V457" s="6">
        <v>9</v>
      </c>
    </row>
    <row r="458" spans="20:22" x14ac:dyDescent="0.3">
      <c r="T458" s="4" t="s">
        <v>452</v>
      </c>
      <c r="U458" s="6">
        <v>33682.83</v>
      </c>
      <c r="V458" s="6">
        <v>4.6336094680880437</v>
      </c>
    </row>
    <row r="459" spans="20:22" x14ac:dyDescent="0.3">
      <c r="T459" s="4" t="s">
        <v>694</v>
      </c>
      <c r="U459" s="6">
        <v>55609.69</v>
      </c>
      <c r="V459" s="6">
        <v>5.0952841132543618</v>
      </c>
    </row>
    <row r="460" spans="20:22" x14ac:dyDescent="0.3">
      <c r="T460" s="4" t="s">
        <v>828</v>
      </c>
      <c r="U460" s="6">
        <v>15550.45</v>
      </c>
      <c r="V460" s="6">
        <v>8.9999999999999982</v>
      </c>
    </row>
    <row r="461" spans="20:22" x14ac:dyDescent="0.3">
      <c r="T461" s="4" t="s">
        <v>987</v>
      </c>
      <c r="U461" s="6">
        <v>35728.11</v>
      </c>
      <c r="V461" s="6">
        <v>9</v>
      </c>
    </row>
    <row r="462" spans="20:22" x14ac:dyDescent="0.3">
      <c r="T462" s="4" t="s">
        <v>810</v>
      </c>
      <c r="U462" s="6">
        <v>28192.89</v>
      </c>
      <c r="V462" s="6">
        <v>9</v>
      </c>
    </row>
    <row r="463" spans="20:22" x14ac:dyDescent="0.3">
      <c r="T463" s="4" t="s">
        <v>786</v>
      </c>
      <c r="U463" s="6">
        <v>1380.68</v>
      </c>
      <c r="V463" s="6">
        <v>9</v>
      </c>
    </row>
    <row r="464" spans="20:22" x14ac:dyDescent="0.3">
      <c r="T464" s="4" t="s">
        <v>628</v>
      </c>
      <c r="U464" s="6">
        <v>57198.5</v>
      </c>
      <c r="V464" s="6">
        <v>9</v>
      </c>
    </row>
    <row r="465" spans="20:22" x14ac:dyDescent="0.3">
      <c r="T465" s="4" t="s">
        <v>940</v>
      </c>
      <c r="U465" s="6">
        <v>73598.13</v>
      </c>
      <c r="V465" s="6">
        <v>5.9093392726146705</v>
      </c>
    </row>
    <row r="466" spans="20:22" x14ac:dyDescent="0.3">
      <c r="T466" s="4" t="s">
        <v>361</v>
      </c>
      <c r="U466" s="6">
        <v>92487.679999999993</v>
      </c>
      <c r="V466" s="6">
        <v>4.8351761012926273</v>
      </c>
    </row>
    <row r="467" spans="20:22" x14ac:dyDescent="0.3">
      <c r="T467" s="4" t="s">
        <v>773</v>
      </c>
      <c r="U467" s="6">
        <v>44514.720000000001</v>
      </c>
      <c r="V467" s="6">
        <v>8.0344402930086947</v>
      </c>
    </row>
    <row r="468" spans="20:22" x14ac:dyDescent="0.3">
      <c r="T468" s="4" t="s">
        <v>397</v>
      </c>
      <c r="U468" s="6">
        <v>3809.12</v>
      </c>
      <c r="V468" s="6">
        <v>8.9999999999999982</v>
      </c>
    </row>
    <row r="469" spans="20:22" x14ac:dyDescent="0.3">
      <c r="T469" s="4" t="s">
        <v>203</v>
      </c>
      <c r="U469" s="6">
        <v>21921.72</v>
      </c>
      <c r="V469" s="6">
        <v>9</v>
      </c>
    </row>
    <row r="470" spans="20:22" x14ac:dyDescent="0.3">
      <c r="T470" s="4" t="s">
        <v>410</v>
      </c>
      <c r="U470" s="6">
        <v>52804.87</v>
      </c>
      <c r="V470" s="6">
        <v>9.0000000000000018</v>
      </c>
    </row>
    <row r="471" spans="20:22" x14ac:dyDescent="0.3">
      <c r="T471" s="4" t="s">
        <v>685</v>
      </c>
      <c r="U471" s="6">
        <v>36050.730000000003</v>
      </c>
      <c r="V471" s="6">
        <v>9.0000000000000018</v>
      </c>
    </row>
    <row r="472" spans="20:22" x14ac:dyDescent="0.3">
      <c r="T472" s="4" t="s">
        <v>378</v>
      </c>
      <c r="U472" s="6">
        <v>28552.53</v>
      </c>
      <c r="V472" s="6">
        <v>9</v>
      </c>
    </row>
    <row r="473" spans="20:22" x14ac:dyDescent="0.3">
      <c r="T473" s="4" t="s">
        <v>319</v>
      </c>
      <c r="U473" s="6">
        <v>39534.14</v>
      </c>
      <c r="V473" s="6">
        <v>9</v>
      </c>
    </row>
    <row r="474" spans="20:22" x14ac:dyDescent="0.3">
      <c r="T474" s="4" t="s">
        <v>153</v>
      </c>
      <c r="U474" s="6">
        <v>50168.89</v>
      </c>
      <c r="V474" s="6">
        <v>9</v>
      </c>
    </row>
    <row r="475" spans="20:22" x14ac:dyDescent="0.3">
      <c r="T475" s="4" t="s">
        <v>165</v>
      </c>
      <c r="U475" s="6">
        <v>91122.63</v>
      </c>
      <c r="V475" s="6">
        <v>8.1222484469554921</v>
      </c>
    </row>
    <row r="476" spans="20:22" x14ac:dyDescent="0.3">
      <c r="T476" s="4" t="s">
        <v>133</v>
      </c>
      <c r="U476" s="6">
        <v>89764.52</v>
      </c>
      <c r="V476" s="6">
        <v>2.8581003942314847</v>
      </c>
    </row>
    <row r="477" spans="20:22" x14ac:dyDescent="0.3">
      <c r="T477" s="4" t="s">
        <v>32</v>
      </c>
      <c r="U477" s="6">
        <v>49375.81</v>
      </c>
      <c r="V477" s="6">
        <v>9</v>
      </c>
    </row>
    <row r="478" spans="20:22" x14ac:dyDescent="0.3">
      <c r="T478" s="4" t="s">
        <v>202</v>
      </c>
      <c r="U478" s="6">
        <v>53678.65</v>
      </c>
      <c r="V478" s="6">
        <v>1.4216872071112072</v>
      </c>
    </row>
    <row r="479" spans="20:22" x14ac:dyDescent="0.3">
      <c r="T479" s="4" t="s">
        <v>990</v>
      </c>
      <c r="U479" s="6">
        <v>93971.199999999997</v>
      </c>
      <c r="V479" s="6">
        <v>1.470247799325751</v>
      </c>
    </row>
    <row r="480" spans="20:22" x14ac:dyDescent="0.3">
      <c r="T480" s="4" t="s">
        <v>824</v>
      </c>
      <c r="U480" s="6">
        <v>53289.5</v>
      </c>
      <c r="V480" s="6">
        <v>9</v>
      </c>
    </row>
    <row r="481" spans="20:22" x14ac:dyDescent="0.3">
      <c r="T481" s="4" t="s">
        <v>49</v>
      </c>
      <c r="U481" s="6">
        <v>29076.12</v>
      </c>
      <c r="V481" s="6">
        <v>9</v>
      </c>
    </row>
    <row r="482" spans="20:22" x14ac:dyDescent="0.3">
      <c r="T482" s="4" t="s">
        <v>918</v>
      </c>
      <c r="U482" s="6">
        <v>9689.82</v>
      </c>
      <c r="V482" s="6">
        <v>9</v>
      </c>
    </row>
    <row r="483" spans="20:22" x14ac:dyDescent="0.3">
      <c r="T483" s="4" t="s">
        <v>180</v>
      </c>
      <c r="U483" s="6">
        <v>63808.2</v>
      </c>
      <c r="V483" s="6">
        <v>3.3182898122811801</v>
      </c>
    </row>
    <row r="484" spans="20:22" x14ac:dyDescent="0.3">
      <c r="T484" s="4" t="s">
        <v>489</v>
      </c>
      <c r="U484" s="6">
        <v>11742.47</v>
      </c>
      <c r="V484" s="6">
        <v>9</v>
      </c>
    </row>
    <row r="485" spans="20:22" x14ac:dyDescent="0.3">
      <c r="T485" s="4" t="s">
        <v>839</v>
      </c>
      <c r="U485" s="6">
        <v>41529.519999999997</v>
      </c>
      <c r="V485" s="6">
        <v>9</v>
      </c>
    </row>
    <row r="486" spans="20:22" x14ac:dyDescent="0.3">
      <c r="T486" s="4" t="s">
        <v>795</v>
      </c>
      <c r="U486" s="6">
        <v>70575.100000000006</v>
      </c>
      <c r="V486" s="6">
        <v>1.3963542382511678</v>
      </c>
    </row>
    <row r="487" spans="20:22" x14ac:dyDescent="0.3">
      <c r="T487" s="4" t="s">
        <v>986</v>
      </c>
      <c r="U487" s="6">
        <v>43185.33</v>
      </c>
      <c r="V487" s="6">
        <v>9</v>
      </c>
    </row>
    <row r="488" spans="20:22" x14ac:dyDescent="0.3">
      <c r="T488" s="4" t="s">
        <v>910</v>
      </c>
      <c r="U488" s="6">
        <v>62893.8</v>
      </c>
      <c r="V488" s="6">
        <v>8.9999999999999982</v>
      </c>
    </row>
    <row r="489" spans="20:22" x14ac:dyDescent="0.3">
      <c r="T489" s="4" t="s">
        <v>366</v>
      </c>
      <c r="U489" s="6">
        <v>79330.100000000006</v>
      </c>
      <c r="V489" s="6">
        <v>9</v>
      </c>
    </row>
    <row r="490" spans="20:22" x14ac:dyDescent="0.3">
      <c r="T490" s="4" t="s">
        <v>92</v>
      </c>
      <c r="U490" s="6">
        <v>22411.360000000001</v>
      </c>
      <c r="V490" s="6">
        <v>3.56847866439163</v>
      </c>
    </row>
    <row r="491" spans="20:22" x14ac:dyDescent="0.3">
      <c r="T491" s="4" t="s">
        <v>604</v>
      </c>
      <c r="U491" s="6">
        <v>60540.160000000003</v>
      </c>
      <c r="V491" s="6">
        <v>5.0114338977630712</v>
      </c>
    </row>
    <row r="492" spans="20:22" x14ac:dyDescent="0.3">
      <c r="T492" s="4" t="s">
        <v>290</v>
      </c>
      <c r="U492" s="6">
        <v>52277.41</v>
      </c>
      <c r="V492" s="6">
        <v>9</v>
      </c>
    </row>
    <row r="493" spans="20:22" x14ac:dyDescent="0.3">
      <c r="T493" s="4" t="s">
        <v>954</v>
      </c>
      <c r="U493" s="6">
        <v>26262.29</v>
      </c>
      <c r="V493" s="6">
        <v>9</v>
      </c>
    </row>
    <row r="494" spans="20:22" x14ac:dyDescent="0.3">
      <c r="T494" s="4" t="s">
        <v>581</v>
      </c>
      <c r="U494" s="6">
        <v>68408.100000000006</v>
      </c>
      <c r="V494" s="6">
        <v>1.238368117225884</v>
      </c>
    </row>
    <row r="495" spans="20:22" x14ac:dyDescent="0.3">
      <c r="T495" s="4" t="s">
        <v>719</v>
      </c>
      <c r="U495" s="6">
        <v>6430.7</v>
      </c>
      <c r="V495" s="6">
        <v>9</v>
      </c>
    </row>
    <row r="496" spans="20:22" x14ac:dyDescent="0.3">
      <c r="T496" s="4" t="s">
        <v>468</v>
      </c>
      <c r="U496" s="6">
        <v>39241.75</v>
      </c>
      <c r="V496" s="6">
        <v>5.4290670013442313</v>
      </c>
    </row>
    <row r="497" spans="20:22" x14ac:dyDescent="0.3">
      <c r="T497" s="4" t="s">
        <v>305</v>
      </c>
      <c r="U497" s="6">
        <v>41357.61</v>
      </c>
      <c r="V497" s="6">
        <v>9</v>
      </c>
    </row>
    <row r="498" spans="20:22" x14ac:dyDescent="0.3">
      <c r="T498" s="4" t="s">
        <v>303</v>
      </c>
      <c r="U498" s="6">
        <v>19288.560000000001</v>
      </c>
      <c r="V498" s="6">
        <v>6.2046669113712989</v>
      </c>
    </row>
    <row r="499" spans="20:22" x14ac:dyDescent="0.3">
      <c r="T499" s="4" t="s">
        <v>722</v>
      </c>
      <c r="U499" s="6">
        <v>2698.11</v>
      </c>
      <c r="V499" s="6">
        <v>9</v>
      </c>
    </row>
    <row r="500" spans="20:22" x14ac:dyDescent="0.3">
      <c r="T500" s="4" t="s">
        <v>905</v>
      </c>
      <c r="U500" s="6">
        <v>14254.9</v>
      </c>
      <c r="V500" s="6">
        <v>9</v>
      </c>
    </row>
    <row r="501" spans="20:22" x14ac:dyDescent="0.3">
      <c r="T501" s="4" t="s">
        <v>904</v>
      </c>
      <c r="U501" s="6">
        <v>95049.66</v>
      </c>
      <c r="V501" s="6">
        <v>2.2345681194440883</v>
      </c>
    </row>
    <row r="502" spans="20:22" x14ac:dyDescent="0.3">
      <c r="T502" s="4" t="s">
        <v>1016</v>
      </c>
      <c r="U502" s="6">
        <v>97845.91</v>
      </c>
      <c r="V502" s="6">
        <v>9</v>
      </c>
    </row>
    <row r="503" spans="20:22" x14ac:dyDescent="0.3">
      <c r="T503" s="4" t="s">
        <v>405</v>
      </c>
      <c r="U503" s="6">
        <v>32297.26</v>
      </c>
      <c r="V503" s="6">
        <v>9</v>
      </c>
    </row>
    <row r="504" spans="20:22" x14ac:dyDescent="0.3">
      <c r="T504" s="4" t="s">
        <v>621</v>
      </c>
      <c r="U504" s="6">
        <v>97456.14</v>
      </c>
      <c r="V504" s="6">
        <v>1.6293352065862652</v>
      </c>
    </row>
    <row r="505" spans="20:22" x14ac:dyDescent="0.3">
      <c r="T505" s="4" t="s">
        <v>385</v>
      </c>
      <c r="U505" s="6">
        <v>81473.25</v>
      </c>
      <c r="V505" s="6">
        <v>4.7854792830775743</v>
      </c>
    </row>
    <row r="506" spans="20:22" x14ac:dyDescent="0.3">
      <c r="T506" s="4" t="s">
        <v>50</v>
      </c>
      <c r="U506" s="6">
        <v>87963.28</v>
      </c>
      <c r="V506" s="6">
        <v>9</v>
      </c>
    </row>
    <row r="507" spans="20:22" x14ac:dyDescent="0.3">
      <c r="T507" s="4" t="s">
        <v>984</v>
      </c>
      <c r="U507" s="6">
        <v>55733.120000000003</v>
      </c>
      <c r="V507" s="6">
        <v>1.6614497806690167</v>
      </c>
    </row>
    <row r="508" spans="20:22" x14ac:dyDescent="0.3">
      <c r="T508" s="4" t="s">
        <v>917</v>
      </c>
      <c r="U508" s="6">
        <v>2568.1</v>
      </c>
      <c r="V508" s="6">
        <v>9</v>
      </c>
    </row>
    <row r="509" spans="20:22" x14ac:dyDescent="0.3">
      <c r="T509" s="4" t="s">
        <v>75</v>
      </c>
      <c r="U509" s="6">
        <v>12480.75</v>
      </c>
      <c r="V509" s="6">
        <v>9</v>
      </c>
    </row>
    <row r="510" spans="20:22" x14ac:dyDescent="0.3">
      <c r="T510" s="4" t="s">
        <v>198</v>
      </c>
      <c r="U510" s="6">
        <v>97748.2</v>
      </c>
      <c r="V510" s="6">
        <v>4.5588888593344938</v>
      </c>
    </row>
    <row r="511" spans="20:22" x14ac:dyDescent="0.3">
      <c r="T511" s="4" t="s">
        <v>110</v>
      </c>
      <c r="U511" s="6">
        <v>46558</v>
      </c>
      <c r="V511" s="6">
        <v>5.7796481807637781</v>
      </c>
    </row>
    <row r="512" spans="20:22" x14ac:dyDescent="0.3">
      <c r="T512" s="4" t="s">
        <v>1008</v>
      </c>
      <c r="U512" s="6">
        <v>29827.35</v>
      </c>
      <c r="V512" s="6">
        <v>9.0000000000000018</v>
      </c>
    </row>
    <row r="513" spans="20:22" x14ac:dyDescent="0.3">
      <c r="T513" s="4" t="s">
        <v>245</v>
      </c>
      <c r="U513" s="6">
        <v>25277.14</v>
      </c>
      <c r="V513" s="6">
        <v>0.94091380591316898</v>
      </c>
    </row>
    <row r="514" spans="20:22" x14ac:dyDescent="0.3">
      <c r="T514" s="4" t="s">
        <v>386</v>
      </c>
      <c r="U514" s="6">
        <v>89921.79</v>
      </c>
      <c r="V514" s="6">
        <v>3.7099106901675336</v>
      </c>
    </row>
    <row r="515" spans="20:22" x14ac:dyDescent="0.3">
      <c r="T515" s="4" t="s">
        <v>607</v>
      </c>
      <c r="U515" s="6">
        <v>5676.22</v>
      </c>
      <c r="V515" s="6">
        <v>9</v>
      </c>
    </row>
    <row r="516" spans="20:22" x14ac:dyDescent="0.3">
      <c r="T516" s="4" t="s">
        <v>104</v>
      </c>
      <c r="U516" s="6">
        <v>77340.13</v>
      </c>
      <c r="V516" s="6">
        <v>3.4918762096727787</v>
      </c>
    </row>
    <row r="517" spans="20:22" x14ac:dyDescent="0.3">
      <c r="T517" s="4" t="s">
        <v>490</v>
      </c>
      <c r="U517" s="6">
        <v>68103.5</v>
      </c>
      <c r="V517" s="6">
        <v>1.8822380641229892</v>
      </c>
    </row>
    <row r="518" spans="20:22" x14ac:dyDescent="0.3">
      <c r="T518" s="4" t="s">
        <v>333</v>
      </c>
      <c r="U518" s="6">
        <v>65653.98</v>
      </c>
      <c r="V518" s="6">
        <v>3.8836420884156606</v>
      </c>
    </row>
    <row r="519" spans="20:22" x14ac:dyDescent="0.3">
      <c r="T519" s="4" t="s">
        <v>242</v>
      </c>
      <c r="U519" s="6">
        <v>43142.37</v>
      </c>
      <c r="V519" s="6">
        <v>9</v>
      </c>
    </row>
    <row r="520" spans="20:22" x14ac:dyDescent="0.3">
      <c r="T520" s="4" t="s">
        <v>644</v>
      </c>
      <c r="U520" s="6">
        <v>59767.18</v>
      </c>
      <c r="V520" s="6">
        <v>9</v>
      </c>
    </row>
    <row r="521" spans="20:22" x14ac:dyDescent="0.3">
      <c r="T521" s="4" t="s">
        <v>878</v>
      </c>
      <c r="U521" s="6">
        <v>62234.75</v>
      </c>
      <c r="V521" s="6">
        <v>9</v>
      </c>
    </row>
    <row r="522" spans="20:22" x14ac:dyDescent="0.3">
      <c r="T522" s="4" t="s">
        <v>336</v>
      </c>
      <c r="U522" s="6">
        <v>11294.95</v>
      </c>
      <c r="V522" s="6">
        <v>9</v>
      </c>
    </row>
    <row r="523" spans="20:22" x14ac:dyDescent="0.3">
      <c r="T523" s="4" t="s">
        <v>863</v>
      </c>
      <c r="U523" s="6">
        <v>55991.95</v>
      </c>
      <c r="V523" s="6">
        <v>9</v>
      </c>
    </row>
    <row r="524" spans="20:22" x14ac:dyDescent="0.3">
      <c r="T524" s="4" t="s">
        <v>826</v>
      </c>
      <c r="U524" s="6">
        <v>95518.8</v>
      </c>
      <c r="V524" s="6">
        <v>3.1521639719091947</v>
      </c>
    </row>
    <row r="525" spans="20:22" x14ac:dyDescent="0.3">
      <c r="T525" s="4" t="s">
        <v>679</v>
      </c>
      <c r="U525" s="6">
        <v>2523.19</v>
      </c>
      <c r="V525" s="6">
        <v>9.0000000000000018</v>
      </c>
    </row>
    <row r="526" spans="20:22" x14ac:dyDescent="0.3">
      <c r="T526" s="4" t="s">
        <v>929</v>
      </c>
      <c r="U526" s="6">
        <v>86427.37</v>
      </c>
      <c r="V526" s="6">
        <v>6.1198044091819526</v>
      </c>
    </row>
    <row r="527" spans="20:22" x14ac:dyDescent="0.3">
      <c r="T527" s="4" t="s">
        <v>1017</v>
      </c>
      <c r="U527" s="6">
        <v>77555.399999999994</v>
      </c>
      <c r="V527" s="6">
        <v>6.9098076987546975</v>
      </c>
    </row>
    <row r="528" spans="20:22" x14ac:dyDescent="0.3">
      <c r="T528" s="4" t="s">
        <v>312</v>
      </c>
      <c r="U528" s="6">
        <v>73305.279999999999</v>
      </c>
      <c r="V528" s="6">
        <v>9</v>
      </c>
    </row>
    <row r="529" spans="20:22" x14ac:dyDescent="0.3">
      <c r="T529" s="4" t="s">
        <v>527</v>
      </c>
      <c r="U529" s="6">
        <v>32272.85</v>
      </c>
      <c r="V529" s="6">
        <v>9.0000000000000018</v>
      </c>
    </row>
    <row r="530" spans="20:22" x14ac:dyDescent="0.3">
      <c r="T530" s="4" t="s">
        <v>787</v>
      </c>
      <c r="U530" s="6">
        <v>36530.300000000003</v>
      </c>
      <c r="V530" s="6">
        <v>9</v>
      </c>
    </row>
    <row r="531" spans="20:22" x14ac:dyDescent="0.3">
      <c r="T531" s="4" t="s">
        <v>728</v>
      </c>
      <c r="U531" s="6">
        <v>33107.4</v>
      </c>
      <c r="V531" s="6">
        <v>8.9999999999999982</v>
      </c>
    </row>
    <row r="532" spans="20:22" x14ac:dyDescent="0.3">
      <c r="T532" s="4" t="s">
        <v>891</v>
      </c>
      <c r="U532" s="6">
        <v>2113.42</v>
      </c>
      <c r="V532" s="6">
        <v>9</v>
      </c>
    </row>
    <row r="533" spans="20:22" x14ac:dyDescent="0.3">
      <c r="T533" s="4" t="s">
        <v>593</v>
      </c>
      <c r="U533" s="6">
        <v>86447.45</v>
      </c>
      <c r="V533" s="6">
        <v>7.8582733209597286</v>
      </c>
    </row>
    <row r="534" spans="20:22" x14ac:dyDescent="0.3">
      <c r="T534" s="4" t="s">
        <v>998</v>
      </c>
      <c r="U534" s="6">
        <v>17097.490000000002</v>
      </c>
      <c r="V534" s="6">
        <v>9.0000000000000018</v>
      </c>
    </row>
    <row r="535" spans="20:22" x14ac:dyDescent="0.3">
      <c r="T535" s="4" t="s">
        <v>422</v>
      </c>
      <c r="U535" s="6">
        <v>31564.29</v>
      </c>
      <c r="V535" s="6">
        <v>9.0000000000000018</v>
      </c>
    </row>
    <row r="536" spans="20:22" x14ac:dyDescent="0.3">
      <c r="T536" s="4" t="s">
        <v>318</v>
      </c>
      <c r="U536" s="6">
        <v>81086.350000000006</v>
      </c>
      <c r="V536" s="6">
        <v>6.3586966240310483</v>
      </c>
    </row>
    <row r="537" spans="20:22" x14ac:dyDescent="0.3">
      <c r="T537" s="4" t="s">
        <v>33</v>
      </c>
      <c r="U537" s="6">
        <v>14810.62</v>
      </c>
      <c r="V537" s="6">
        <v>9</v>
      </c>
    </row>
    <row r="538" spans="20:22" x14ac:dyDescent="0.3">
      <c r="T538" s="4" t="s">
        <v>120</v>
      </c>
      <c r="U538" s="6">
        <v>9180.9500000000007</v>
      </c>
      <c r="V538" s="6">
        <v>9</v>
      </c>
    </row>
    <row r="539" spans="20:22" x14ac:dyDescent="0.3">
      <c r="T539" s="4" t="s">
        <v>949</v>
      </c>
      <c r="U539" s="6">
        <v>89036.76</v>
      </c>
      <c r="V539" s="6">
        <v>9</v>
      </c>
    </row>
    <row r="540" spans="20:22" x14ac:dyDescent="0.3">
      <c r="T540" s="4" t="s">
        <v>784</v>
      </c>
      <c r="U540" s="6">
        <v>99250.38</v>
      </c>
      <c r="V540" s="6">
        <v>0.51011623330812417</v>
      </c>
    </row>
    <row r="541" spans="20:22" x14ac:dyDescent="0.3">
      <c r="T541" s="4" t="s">
        <v>692</v>
      </c>
      <c r="U541" s="6">
        <v>68805.2</v>
      </c>
      <c r="V541" s="6">
        <v>9.0000000000000018</v>
      </c>
    </row>
    <row r="542" spans="20:22" x14ac:dyDescent="0.3">
      <c r="T542" s="4" t="s">
        <v>993</v>
      </c>
      <c r="U542" s="6">
        <v>62829.72</v>
      </c>
      <c r="V542" s="6">
        <v>3.0389438310404691</v>
      </c>
    </row>
    <row r="543" spans="20:22" x14ac:dyDescent="0.3">
      <c r="T543" s="4" t="s">
        <v>936</v>
      </c>
      <c r="U543" s="6">
        <v>87937.87</v>
      </c>
      <c r="V543" s="6">
        <v>1.1200124587961935</v>
      </c>
    </row>
    <row r="544" spans="20:22" x14ac:dyDescent="0.3">
      <c r="T544" s="4" t="s">
        <v>221</v>
      </c>
      <c r="U544" s="6">
        <v>96713.47</v>
      </c>
      <c r="V544" s="6">
        <v>9</v>
      </c>
    </row>
    <row r="545" spans="20:22" x14ac:dyDescent="0.3">
      <c r="T545" s="4" t="s">
        <v>664</v>
      </c>
      <c r="U545" s="6">
        <v>80463.240000000005</v>
      </c>
      <c r="V545" s="6">
        <v>8.7024023641106165</v>
      </c>
    </row>
    <row r="546" spans="20:22" x14ac:dyDescent="0.3">
      <c r="T546" s="4" t="s">
        <v>683</v>
      </c>
      <c r="U546" s="6">
        <v>96511.42</v>
      </c>
      <c r="V546" s="6">
        <v>4.4572085873360887</v>
      </c>
    </row>
    <row r="547" spans="20:22" x14ac:dyDescent="0.3">
      <c r="T547" s="4" t="s">
        <v>176</v>
      </c>
      <c r="U547" s="6">
        <v>63911.62</v>
      </c>
      <c r="V547" s="6">
        <v>1.776414836613436</v>
      </c>
    </row>
    <row r="548" spans="20:22" x14ac:dyDescent="0.3">
      <c r="T548" s="4" t="s">
        <v>1007</v>
      </c>
      <c r="U548" s="6">
        <v>17625</v>
      </c>
      <c r="V548" s="6">
        <v>9</v>
      </c>
    </row>
    <row r="549" spans="20:22" x14ac:dyDescent="0.3">
      <c r="T549" s="4" t="s">
        <v>228</v>
      </c>
      <c r="U549" s="6">
        <v>23477.599999999999</v>
      </c>
      <c r="V549" s="6">
        <v>8.3307535693597305</v>
      </c>
    </row>
    <row r="550" spans="20:22" x14ac:dyDescent="0.3">
      <c r="T550" s="4" t="s">
        <v>673</v>
      </c>
      <c r="U550" s="6">
        <v>13418.23</v>
      </c>
      <c r="V550" s="6">
        <v>9</v>
      </c>
    </row>
    <row r="551" spans="20:22" x14ac:dyDescent="0.3">
      <c r="T551" s="4" t="s">
        <v>66</v>
      </c>
      <c r="U551" s="6">
        <v>65447.41</v>
      </c>
      <c r="V551" s="6">
        <v>6.3021645929151351</v>
      </c>
    </row>
    <row r="552" spans="20:22" x14ac:dyDescent="0.3">
      <c r="T552" s="4" t="s">
        <v>615</v>
      </c>
      <c r="U552" s="6">
        <v>39804.32</v>
      </c>
      <c r="V552" s="6">
        <v>9</v>
      </c>
    </row>
    <row r="553" spans="20:22" x14ac:dyDescent="0.3">
      <c r="T553" s="4" t="s">
        <v>78</v>
      </c>
      <c r="U553" s="6">
        <v>53826.21</v>
      </c>
      <c r="V553" s="6">
        <v>9</v>
      </c>
    </row>
    <row r="554" spans="20:22" x14ac:dyDescent="0.3">
      <c r="T554" s="4" t="s">
        <v>701</v>
      </c>
      <c r="U554" s="6">
        <v>38665.1</v>
      </c>
      <c r="V554" s="6">
        <v>0.91497707234689685</v>
      </c>
    </row>
    <row r="555" spans="20:22" x14ac:dyDescent="0.3">
      <c r="T555" s="4" t="s">
        <v>579</v>
      </c>
      <c r="U555" s="6">
        <v>69644.399999999994</v>
      </c>
      <c r="V555" s="6">
        <v>5.1246576896347733</v>
      </c>
    </row>
    <row r="556" spans="20:22" x14ac:dyDescent="0.3">
      <c r="T556" s="4" t="s">
        <v>619</v>
      </c>
      <c r="U556" s="6">
        <v>24300.83</v>
      </c>
      <c r="V556" s="6">
        <v>9</v>
      </c>
    </row>
    <row r="557" spans="20:22" x14ac:dyDescent="0.3">
      <c r="T557" s="4" t="s">
        <v>453</v>
      </c>
      <c r="U557" s="6">
        <v>1810.82</v>
      </c>
      <c r="V557" s="6">
        <v>9</v>
      </c>
    </row>
    <row r="558" spans="20:22" x14ac:dyDescent="0.3">
      <c r="T558" s="4" t="s">
        <v>337</v>
      </c>
      <c r="U558" s="6">
        <v>15971.25</v>
      </c>
      <c r="V558" s="6">
        <v>9</v>
      </c>
    </row>
    <row r="559" spans="20:22" x14ac:dyDescent="0.3">
      <c r="T559" s="4" t="s">
        <v>1013</v>
      </c>
      <c r="U559" s="6">
        <v>50412.87</v>
      </c>
      <c r="V559" s="6">
        <v>5.6313193436517306</v>
      </c>
    </row>
    <row r="560" spans="20:22" x14ac:dyDescent="0.3">
      <c r="T560" s="4" t="s">
        <v>240</v>
      </c>
      <c r="U560" s="6">
        <v>70871.649999999994</v>
      </c>
      <c r="V560" s="6">
        <v>1.7317202294570537</v>
      </c>
    </row>
    <row r="561" spans="20:22" x14ac:dyDescent="0.3">
      <c r="T561" s="4" t="s">
        <v>659</v>
      </c>
      <c r="U561" s="6">
        <v>21006.57</v>
      </c>
      <c r="V561" s="6">
        <v>9</v>
      </c>
    </row>
    <row r="562" spans="20:22" x14ac:dyDescent="0.3">
      <c r="T562" s="4" t="s">
        <v>540</v>
      </c>
      <c r="U562" s="6">
        <v>72744.5</v>
      </c>
      <c r="V562" s="6">
        <v>5.6265174686746082</v>
      </c>
    </row>
    <row r="563" spans="20:22" x14ac:dyDescent="0.3">
      <c r="T563" s="4" t="s">
        <v>391</v>
      </c>
      <c r="U563" s="6">
        <v>7889.64</v>
      </c>
      <c r="V563" s="6">
        <v>9</v>
      </c>
    </row>
    <row r="564" spans="20:22" x14ac:dyDescent="0.3">
      <c r="T564" s="4" t="s">
        <v>702</v>
      </c>
      <c r="U564" s="6">
        <v>21791.46</v>
      </c>
      <c r="V564" s="6">
        <v>9</v>
      </c>
    </row>
    <row r="565" spans="20:22" x14ac:dyDescent="0.3">
      <c r="T565" s="4" t="s">
        <v>135</v>
      </c>
      <c r="U565" s="6">
        <v>44085.8</v>
      </c>
      <c r="V565" s="6">
        <v>1.0143955650118632</v>
      </c>
    </row>
    <row r="566" spans="20:22" x14ac:dyDescent="0.3">
      <c r="T566" s="4" t="s">
        <v>859</v>
      </c>
      <c r="U566" s="6">
        <v>44016.46</v>
      </c>
      <c r="V566" s="6">
        <v>9</v>
      </c>
    </row>
    <row r="567" spans="20:22" x14ac:dyDescent="0.3">
      <c r="T567" s="4" t="s">
        <v>693</v>
      </c>
      <c r="U567" s="6">
        <v>86544.19</v>
      </c>
      <c r="V567" s="6">
        <v>4.4382215605692306</v>
      </c>
    </row>
    <row r="568" spans="20:22" x14ac:dyDescent="0.3">
      <c r="T568" s="4" t="s">
        <v>924</v>
      </c>
      <c r="U568" s="6">
        <v>56844.800000000003</v>
      </c>
      <c r="V568" s="6">
        <v>2.7511496214253541</v>
      </c>
    </row>
    <row r="569" spans="20:22" x14ac:dyDescent="0.3">
      <c r="T569" s="4" t="s">
        <v>285</v>
      </c>
      <c r="U569" s="6">
        <v>91247.27</v>
      </c>
      <c r="V569" s="6">
        <v>5.3478099673557349</v>
      </c>
    </row>
    <row r="570" spans="20:22" x14ac:dyDescent="0.3">
      <c r="T570" s="4" t="s">
        <v>175</v>
      </c>
      <c r="U570" s="6">
        <v>73855.23</v>
      </c>
      <c r="V570" s="6">
        <v>1.9120817848647955</v>
      </c>
    </row>
    <row r="571" spans="20:22" x14ac:dyDescent="0.3">
      <c r="T571" s="4" t="s">
        <v>200</v>
      </c>
      <c r="U571" s="6">
        <v>34303.919999999998</v>
      </c>
      <c r="V571" s="6">
        <v>9</v>
      </c>
    </row>
    <row r="572" spans="20:22" x14ac:dyDescent="0.3">
      <c r="T572" s="4" t="s">
        <v>797</v>
      </c>
      <c r="U572" s="6">
        <v>20309.3</v>
      </c>
      <c r="V572" s="6">
        <v>9.0000000000000018</v>
      </c>
    </row>
    <row r="573" spans="20:22" x14ac:dyDescent="0.3">
      <c r="T573" s="4" t="s">
        <v>531</v>
      </c>
      <c r="U573" s="6">
        <v>23859.94</v>
      </c>
      <c r="V573" s="6">
        <v>9</v>
      </c>
    </row>
    <row r="574" spans="20:22" x14ac:dyDescent="0.3">
      <c r="T574" s="4" t="s">
        <v>759</v>
      </c>
      <c r="U574" s="6">
        <v>31000.36</v>
      </c>
      <c r="V574" s="6">
        <v>9</v>
      </c>
    </row>
    <row r="575" spans="20:22" x14ac:dyDescent="0.3">
      <c r="T575" s="4" t="s">
        <v>359</v>
      </c>
      <c r="U575" s="6">
        <v>68860.820000000007</v>
      </c>
      <c r="V575" s="6">
        <v>4.2379107597034134</v>
      </c>
    </row>
    <row r="576" spans="20:22" x14ac:dyDescent="0.3">
      <c r="T576" s="4" t="s">
        <v>518</v>
      </c>
      <c r="U576" s="6">
        <v>98135.86</v>
      </c>
      <c r="V576" s="6">
        <v>1.4528785909656265</v>
      </c>
    </row>
    <row r="577" spans="20:22" x14ac:dyDescent="0.3">
      <c r="T577" s="4" t="s">
        <v>154</v>
      </c>
      <c r="U577" s="6">
        <v>54331.15</v>
      </c>
      <c r="V577" s="6">
        <v>9</v>
      </c>
    </row>
    <row r="578" spans="20:22" x14ac:dyDescent="0.3">
      <c r="T578" s="4" t="s">
        <v>141</v>
      </c>
      <c r="U578" s="6">
        <v>21795.27</v>
      </c>
      <c r="V578" s="6">
        <v>9</v>
      </c>
    </row>
    <row r="579" spans="20:22" x14ac:dyDescent="0.3">
      <c r="T579" s="4" t="s">
        <v>652</v>
      </c>
      <c r="U579" s="6">
        <v>19393.55</v>
      </c>
      <c r="V579" s="6">
        <v>9.0000000000000018</v>
      </c>
    </row>
    <row r="580" spans="20:22" x14ac:dyDescent="0.3">
      <c r="T580" s="4" t="s">
        <v>953</v>
      </c>
      <c r="U580" s="6">
        <v>95735.11</v>
      </c>
      <c r="V580" s="6">
        <v>2.8554638940718826</v>
      </c>
    </row>
    <row r="581" spans="20:22" x14ac:dyDescent="0.3">
      <c r="T581" s="4" t="s">
        <v>270</v>
      </c>
      <c r="U581" s="6">
        <v>36038.699999999997</v>
      </c>
      <c r="V581" s="6">
        <v>6.1439147361031345</v>
      </c>
    </row>
    <row r="582" spans="20:22" x14ac:dyDescent="0.3">
      <c r="T582" s="4" t="s">
        <v>812</v>
      </c>
      <c r="U582" s="6">
        <v>46790.73</v>
      </c>
      <c r="V582" s="6">
        <v>9</v>
      </c>
    </row>
    <row r="583" spans="20:22" x14ac:dyDescent="0.3">
      <c r="T583" s="4" t="s">
        <v>272</v>
      </c>
      <c r="U583" s="6">
        <v>1052.57</v>
      </c>
      <c r="V583" s="6">
        <v>9</v>
      </c>
    </row>
    <row r="584" spans="20:22" x14ac:dyDescent="0.3">
      <c r="T584" s="4" t="s">
        <v>126</v>
      </c>
      <c r="U584" s="6">
        <v>10659.15</v>
      </c>
      <c r="V584" s="6">
        <v>9</v>
      </c>
    </row>
    <row r="585" spans="20:22" x14ac:dyDescent="0.3">
      <c r="T585" s="4" t="s">
        <v>347</v>
      </c>
      <c r="U585" s="6">
        <v>40458.71</v>
      </c>
      <c r="V585" s="6">
        <v>8.9999999999999982</v>
      </c>
    </row>
    <row r="586" spans="20:22" x14ac:dyDescent="0.3">
      <c r="T586" s="4" t="s">
        <v>402</v>
      </c>
      <c r="U586" s="6">
        <v>38978.720000000001</v>
      </c>
      <c r="V586" s="6">
        <v>9</v>
      </c>
    </row>
    <row r="587" spans="20:22" x14ac:dyDescent="0.3">
      <c r="T587" s="4" t="s">
        <v>123</v>
      </c>
      <c r="U587" s="6">
        <v>12789.78</v>
      </c>
      <c r="V587" s="6">
        <v>9</v>
      </c>
    </row>
    <row r="588" spans="20:22" x14ac:dyDescent="0.3">
      <c r="T588" s="4" t="s">
        <v>715</v>
      </c>
      <c r="U588" s="6">
        <v>43349.83</v>
      </c>
      <c r="V588" s="6">
        <v>4.8841457971115458</v>
      </c>
    </row>
    <row r="589" spans="20:22" x14ac:dyDescent="0.3">
      <c r="T589" s="4" t="s">
        <v>751</v>
      </c>
      <c r="U589" s="6">
        <v>37369.74</v>
      </c>
      <c r="V589" s="6">
        <v>9</v>
      </c>
    </row>
    <row r="590" spans="20:22" x14ac:dyDescent="0.3">
      <c r="T590" s="4" t="s">
        <v>769</v>
      </c>
      <c r="U590" s="6">
        <v>67207.89</v>
      </c>
      <c r="V590" s="6">
        <v>8.9825834436998395</v>
      </c>
    </row>
    <row r="591" spans="20:22" x14ac:dyDescent="0.3">
      <c r="T591" s="4" t="s">
        <v>329</v>
      </c>
      <c r="U591" s="6">
        <v>85190.24</v>
      </c>
      <c r="V591" s="6">
        <v>9</v>
      </c>
    </row>
    <row r="592" spans="20:22" x14ac:dyDescent="0.3">
      <c r="T592" s="4" t="s">
        <v>627</v>
      </c>
      <c r="U592" s="6">
        <v>14858.38</v>
      </c>
      <c r="V592" s="6">
        <v>9</v>
      </c>
    </row>
    <row r="593" spans="20:22" x14ac:dyDescent="0.3">
      <c r="T593" s="4" t="s">
        <v>384</v>
      </c>
      <c r="U593" s="6">
        <v>87100.53</v>
      </c>
      <c r="V593" s="6">
        <v>9</v>
      </c>
    </row>
    <row r="594" spans="20:22" x14ac:dyDescent="0.3">
      <c r="T594" s="4" t="s">
        <v>507</v>
      </c>
      <c r="U594" s="6">
        <v>72368.61</v>
      </c>
      <c r="V594" s="6">
        <v>4.3656994379192859</v>
      </c>
    </row>
    <row r="595" spans="20:22" x14ac:dyDescent="0.3">
      <c r="T595" s="4" t="s">
        <v>920</v>
      </c>
      <c r="U595" s="6">
        <v>41572.75</v>
      </c>
      <c r="V595" s="6">
        <v>9</v>
      </c>
    </row>
    <row r="596" spans="20:22" x14ac:dyDescent="0.3">
      <c r="T596" s="4" t="s">
        <v>231</v>
      </c>
      <c r="U596" s="6">
        <v>44248.38</v>
      </c>
      <c r="V596" s="6">
        <v>6.0826443815570199</v>
      </c>
    </row>
    <row r="597" spans="20:22" x14ac:dyDescent="0.3">
      <c r="T597" s="4" t="s">
        <v>768</v>
      </c>
      <c r="U597" s="6">
        <v>3083.5</v>
      </c>
      <c r="V597" s="6">
        <v>9</v>
      </c>
    </row>
    <row r="598" spans="20:22" x14ac:dyDescent="0.3">
      <c r="T598" s="4" t="s">
        <v>209</v>
      </c>
      <c r="U598" s="6">
        <v>87618.4</v>
      </c>
      <c r="V598" s="6">
        <v>2.1308710270902003</v>
      </c>
    </row>
    <row r="599" spans="20:22" x14ac:dyDescent="0.3">
      <c r="T599" s="4" t="s">
        <v>559</v>
      </c>
      <c r="U599" s="6">
        <v>18458.169999999998</v>
      </c>
      <c r="V599" s="6">
        <v>9</v>
      </c>
    </row>
    <row r="600" spans="20:22" x14ac:dyDescent="0.3">
      <c r="T600" s="4" t="s">
        <v>434</v>
      </c>
      <c r="U600" s="6">
        <v>8627.43</v>
      </c>
      <c r="V600" s="6">
        <v>9</v>
      </c>
    </row>
    <row r="601" spans="20:22" x14ac:dyDescent="0.3">
      <c r="T601" s="4" t="s">
        <v>46</v>
      </c>
      <c r="U601" s="6">
        <v>37344.699999999997</v>
      </c>
      <c r="V601" s="6">
        <v>9</v>
      </c>
    </row>
    <row r="602" spans="20:22" x14ac:dyDescent="0.3">
      <c r="T602" s="4" t="s">
        <v>341</v>
      </c>
      <c r="U602" s="6">
        <v>5479.95</v>
      </c>
      <c r="V602" s="6">
        <v>9</v>
      </c>
    </row>
    <row r="603" spans="20:22" x14ac:dyDescent="0.3">
      <c r="T603" s="4" t="s">
        <v>140</v>
      </c>
      <c r="U603" s="6">
        <v>6806.2</v>
      </c>
      <c r="V603" s="6">
        <v>9</v>
      </c>
    </row>
    <row r="604" spans="20:22" x14ac:dyDescent="0.3">
      <c r="T604" s="4" t="s">
        <v>539</v>
      </c>
      <c r="U604" s="6">
        <v>37473.839999999997</v>
      </c>
      <c r="V604" s="6">
        <v>9</v>
      </c>
    </row>
    <row r="605" spans="20:22" x14ac:dyDescent="0.3">
      <c r="T605" s="4" t="s">
        <v>475</v>
      </c>
      <c r="U605" s="6">
        <v>73916.740000000005</v>
      </c>
      <c r="V605" s="6">
        <v>2.1480739004452847</v>
      </c>
    </row>
    <row r="606" spans="20:22" x14ac:dyDescent="0.3">
      <c r="T606" s="4" t="s">
        <v>971</v>
      </c>
      <c r="U606" s="6">
        <v>55342</v>
      </c>
      <c r="V606" s="6">
        <v>5.338023381879947</v>
      </c>
    </row>
    <row r="607" spans="20:22" x14ac:dyDescent="0.3">
      <c r="T607" s="4" t="s">
        <v>232</v>
      </c>
      <c r="U607" s="6">
        <v>97083.41</v>
      </c>
      <c r="V607" s="6">
        <v>2.8969078239011168</v>
      </c>
    </row>
    <row r="608" spans="20:22" x14ac:dyDescent="0.3">
      <c r="T608" s="4" t="s">
        <v>184</v>
      </c>
      <c r="U608" s="6">
        <v>75262.37</v>
      </c>
      <c r="V608" s="6">
        <v>4.6050224036261422</v>
      </c>
    </row>
    <row r="609" spans="20:22" x14ac:dyDescent="0.3">
      <c r="T609" s="4" t="s">
        <v>181</v>
      </c>
      <c r="U609" s="6">
        <v>26057.53</v>
      </c>
      <c r="V609" s="6">
        <v>5.5207914948193482</v>
      </c>
    </row>
    <row r="610" spans="20:22" x14ac:dyDescent="0.3">
      <c r="T610" s="4" t="s">
        <v>665</v>
      </c>
      <c r="U610" s="6">
        <v>2990.39</v>
      </c>
      <c r="V610" s="6">
        <v>9</v>
      </c>
    </row>
    <row r="611" spans="20:22" x14ac:dyDescent="0.3">
      <c r="T611" s="4" t="s">
        <v>947</v>
      </c>
      <c r="U611" s="6">
        <v>75609.64</v>
      </c>
      <c r="V611" s="6">
        <v>6.6629428469703065</v>
      </c>
    </row>
    <row r="612" spans="20:22" x14ac:dyDescent="0.3">
      <c r="T612" s="4" t="s">
        <v>187</v>
      </c>
      <c r="U612" s="6">
        <v>36457.879999999997</v>
      </c>
      <c r="V612" s="6">
        <v>9</v>
      </c>
    </row>
    <row r="613" spans="20:22" x14ac:dyDescent="0.3">
      <c r="T613" s="4" t="s">
        <v>517</v>
      </c>
      <c r="U613" s="6">
        <v>74447.600000000006</v>
      </c>
      <c r="V613" s="6">
        <v>8.3222842643684949</v>
      </c>
    </row>
    <row r="614" spans="20:22" x14ac:dyDescent="0.3">
      <c r="T614" s="4" t="s">
        <v>379</v>
      </c>
      <c r="U614" s="6">
        <v>38420.97</v>
      </c>
      <c r="V614" s="6">
        <v>9</v>
      </c>
    </row>
    <row r="615" spans="20:22" x14ac:dyDescent="0.3">
      <c r="T615" s="4" t="s">
        <v>388</v>
      </c>
      <c r="U615" s="6">
        <v>96760.38</v>
      </c>
      <c r="V615" s="6">
        <v>2.6507832027943667</v>
      </c>
    </row>
    <row r="616" spans="20:22" x14ac:dyDescent="0.3">
      <c r="T616" s="4" t="s">
        <v>304</v>
      </c>
      <c r="U616" s="6">
        <v>54317.78</v>
      </c>
      <c r="V616" s="6">
        <v>2.5147152552994618</v>
      </c>
    </row>
    <row r="617" spans="20:22" x14ac:dyDescent="0.3">
      <c r="T617" s="4" t="s">
        <v>588</v>
      </c>
      <c r="U617" s="6">
        <v>62167.9</v>
      </c>
      <c r="V617" s="6">
        <v>5.7538414519390226</v>
      </c>
    </row>
    <row r="618" spans="20:22" x14ac:dyDescent="0.3">
      <c r="T618" s="4" t="s">
        <v>28</v>
      </c>
      <c r="U618" s="6">
        <v>40493.879999999997</v>
      </c>
      <c r="V618" s="6">
        <v>9</v>
      </c>
    </row>
    <row r="619" spans="20:22" x14ac:dyDescent="0.3">
      <c r="T619" s="4" t="s">
        <v>594</v>
      </c>
      <c r="U619" s="6">
        <v>11421.4</v>
      </c>
      <c r="V619" s="6">
        <v>9</v>
      </c>
    </row>
    <row r="620" spans="20:22" x14ac:dyDescent="0.3">
      <c r="T620" s="4" t="s">
        <v>748</v>
      </c>
      <c r="U620" s="6">
        <v>70530.3</v>
      </c>
      <c r="V620" s="6">
        <v>8.9999999999999982</v>
      </c>
    </row>
    <row r="621" spans="20:22" x14ac:dyDescent="0.3">
      <c r="T621" s="4" t="s">
        <v>493</v>
      </c>
      <c r="U621" s="6">
        <v>1480.67</v>
      </c>
      <c r="V621" s="6">
        <v>9</v>
      </c>
    </row>
    <row r="622" spans="20:22" x14ac:dyDescent="0.3">
      <c r="T622" s="4" t="s">
        <v>473</v>
      </c>
      <c r="U622" s="6">
        <v>33618.699999999997</v>
      </c>
      <c r="V622" s="6">
        <v>9</v>
      </c>
    </row>
    <row r="623" spans="20:22" x14ac:dyDescent="0.3">
      <c r="T623" s="4" t="s">
        <v>844</v>
      </c>
      <c r="U623" s="6">
        <v>16505.53</v>
      </c>
      <c r="V623" s="6">
        <v>9</v>
      </c>
    </row>
    <row r="624" spans="20:22" x14ac:dyDescent="0.3">
      <c r="T624" s="4" t="s">
        <v>888</v>
      </c>
      <c r="U624" s="6">
        <v>75478.5</v>
      </c>
      <c r="V624" s="6">
        <v>3.9407221924124087</v>
      </c>
    </row>
    <row r="625" spans="20:22" x14ac:dyDescent="0.3">
      <c r="T625" s="4" t="s">
        <v>571</v>
      </c>
      <c r="U625" s="6">
        <v>71007.37</v>
      </c>
      <c r="V625" s="6">
        <v>9</v>
      </c>
    </row>
    <row r="626" spans="20:22" x14ac:dyDescent="0.3">
      <c r="T626" s="4" t="s">
        <v>396</v>
      </c>
      <c r="U626" s="6">
        <v>49418.2</v>
      </c>
      <c r="V626" s="6">
        <v>9</v>
      </c>
    </row>
    <row r="627" spans="20:22" x14ac:dyDescent="0.3">
      <c r="T627" s="4" t="s">
        <v>858</v>
      </c>
      <c r="U627" s="6">
        <v>29965.35</v>
      </c>
      <c r="V627" s="6">
        <v>9.0000000000000018</v>
      </c>
    </row>
    <row r="628" spans="20:22" x14ac:dyDescent="0.3">
      <c r="T628" s="4" t="s">
        <v>721</v>
      </c>
      <c r="U628" s="6">
        <v>7954.2</v>
      </c>
      <c r="V628" s="6">
        <v>9</v>
      </c>
    </row>
    <row r="629" spans="20:22" x14ac:dyDescent="0.3">
      <c r="T629" s="4" t="s">
        <v>420</v>
      </c>
      <c r="U629" s="6">
        <v>28827.53</v>
      </c>
      <c r="V629" s="6">
        <v>9</v>
      </c>
    </row>
    <row r="630" spans="20:22" x14ac:dyDescent="0.3">
      <c r="T630" s="4" t="s">
        <v>326</v>
      </c>
      <c r="U630" s="6">
        <v>54198.81</v>
      </c>
      <c r="V630" s="6">
        <v>9</v>
      </c>
    </row>
    <row r="631" spans="20:22" x14ac:dyDescent="0.3">
      <c r="T631" s="4" t="s">
        <v>741</v>
      </c>
      <c r="U631" s="6">
        <v>76690.899999999994</v>
      </c>
      <c r="V631" s="6">
        <v>8.5676785642103557</v>
      </c>
    </row>
    <row r="632" spans="20:22" x14ac:dyDescent="0.3">
      <c r="T632" s="4" t="s">
        <v>117</v>
      </c>
      <c r="U632" s="6">
        <v>34838.17</v>
      </c>
      <c r="V632" s="6">
        <v>7.2201435953725479</v>
      </c>
    </row>
    <row r="633" spans="20:22" x14ac:dyDescent="0.3">
      <c r="T633" s="4" t="s">
        <v>256</v>
      </c>
      <c r="U633" s="6">
        <v>77240.69</v>
      </c>
      <c r="V633" s="6">
        <v>6.0805016112621466</v>
      </c>
    </row>
    <row r="634" spans="20:22" x14ac:dyDescent="0.3">
      <c r="T634" s="4" t="s">
        <v>68</v>
      </c>
      <c r="U634" s="6">
        <v>8041.9</v>
      </c>
      <c r="V634" s="6">
        <v>9.0000000000000018</v>
      </c>
    </row>
    <row r="635" spans="20:22" x14ac:dyDescent="0.3">
      <c r="T635" s="4" t="s">
        <v>60</v>
      </c>
      <c r="U635" s="6">
        <v>39682.9</v>
      </c>
      <c r="V635" s="6">
        <v>1.935908413951601</v>
      </c>
    </row>
    <row r="636" spans="20:22" x14ac:dyDescent="0.3">
      <c r="T636" s="4" t="s">
        <v>684</v>
      </c>
      <c r="U636" s="6">
        <v>47198.52</v>
      </c>
      <c r="V636" s="6">
        <v>5.2414745208112459</v>
      </c>
    </row>
    <row r="637" spans="20:22" x14ac:dyDescent="0.3">
      <c r="T637" s="4" t="s">
        <v>332</v>
      </c>
      <c r="U637" s="6">
        <v>57845.8</v>
      </c>
      <c r="V637" s="6">
        <v>3.63036970704874</v>
      </c>
    </row>
    <row r="638" spans="20:22" x14ac:dyDescent="0.3">
      <c r="T638" s="4" t="s">
        <v>842</v>
      </c>
      <c r="U638" s="6">
        <v>46184.9</v>
      </c>
      <c r="V638" s="6">
        <v>9</v>
      </c>
    </row>
    <row r="639" spans="20:22" x14ac:dyDescent="0.3">
      <c r="T639" s="4" t="s">
        <v>997</v>
      </c>
      <c r="U639" s="6">
        <v>59160</v>
      </c>
      <c r="V639" s="6">
        <v>5.3590299188640973</v>
      </c>
    </row>
    <row r="640" spans="20:22" x14ac:dyDescent="0.3">
      <c r="T640" s="4" t="s">
        <v>799</v>
      </c>
      <c r="U640" s="6">
        <v>20983.45</v>
      </c>
      <c r="V640" s="6">
        <v>9</v>
      </c>
    </row>
    <row r="641" spans="20:22" x14ac:dyDescent="0.3">
      <c r="T641" s="4" t="s">
        <v>390</v>
      </c>
      <c r="U641" s="6">
        <v>14495.84</v>
      </c>
      <c r="V641" s="6">
        <v>6.2888677027340254</v>
      </c>
    </row>
    <row r="642" spans="20:22" x14ac:dyDescent="0.3">
      <c r="T642" s="4" t="s">
        <v>205</v>
      </c>
      <c r="U642" s="6">
        <v>16290.7</v>
      </c>
      <c r="V642" s="6">
        <v>8.9999999999999982</v>
      </c>
    </row>
    <row r="643" spans="20:22" x14ac:dyDescent="0.3">
      <c r="T643" s="4" t="s">
        <v>563</v>
      </c>
      <c r="U643" s="6">
        <v>5777.28</v>
      </c>
      <c r="V643" s="6">
        <v>9</v>
      </c>
    </row>
    <row r="644" spans="20:22" x14ac:dyDescent="0.3">
      <c r="T644" s="4" t="s">
        <v>737</v>
      </c>
      <c r="U644" s="6">
        <v>74898.2</v>
      </c>
      <c r="V644" s="6">
        <v>5.1746518607923822</v>
      </c>
    </row>
    <row r="645" spans="20:22" x14ac:dyDescent="0.3">
      <c r="T645" s="4" t="s">
        <v>969</v>
      </c>
      <c r="U645" s="6">
        <v>30951.13</v>
      </c>
      <c r="V645" s="6">
        <v>9</v>
      </c>
    </row>
    <row r="646" spans="20:22" x14ac:dyDescent="0.3">
      <c r="T646" s="4" t="s">
        <v>934</v>
      </c>
      <c r="U646" s="6">
        <v>48365.23</v>
      </c>
      <c r="V646" s="6">
        <v>6.0331049805821246</v>
      </c>
    </row>
    <row r="647" spans="20:22" x14ac:dyDescent="0.3">
      <c r="T647" s="4" t="s">
        <v>97</v>
      </c>
      <c r="U647" s="6">
        <v>55985.9</v>
      </c>
      <c r="V647" s="6">
        <v>8.0276646441336119</v>
      </c>
    </row>
    <row r="648" spans="20:22" x14ac:dyDescent="0.3">
      <c r="T648" s="4" t="s">
        <v>343</v>
      </c>
      <c r="U648" s="6">
        <v>7306.71</v>
      </c>
      <c r="V648" s="6">
        <v>9</v>
      </c>
    </row>
    <row r="649" spans="20:22" x14ac:dyDescent="0.3">
      <c r="T649" s="4" t="s">
        <v>144</v>
      </c>
      <c r="U649" s="6">
        <v>46890.76</v>
      </c>
      <c r="V649" s="6">
        <v>4.5222596093558733</v>
      </c>
    </row>
    <row r="650" spans="20:22" x14ac:dyDescent="0.3">
      <c r="T650" s="4" t="s">
        <v>727</v>
      </c>
      <c r="U650" s="6">
        <v>52485.67</v>
      </c>
      <c r="V650" s="6">
        <v>9</v>
      </c>
    </row>
    <row r="651" spans="20:22" x14ac:dyDescent="0.3">
      <c r="T651" s="4" t="s">
        <v>583</v>
      </c>
      <c r="U651" s="6">
        <v>31427.3</v>
      </c>
      <c r="V651" s="6">
        <v>4.5088302208589353</v>
      </c>
    </row>
    <row r="652" spans="20:22" x14ac:dyDescent="0.3">
      <c r="T652" s="4" t="s">
        <v>118</v>
      </c>
      <c r="U652" s="6">
        <v>8209.7999999999993</v>
      </c>
      <c r="V652" s="6">
        <v>9</v>
      </c>
    </row>
    <row r="653" spans="20:22" x14ac:dyDescent="0.3">
      <c r="T653" s="4" t="s">
        <v>394</v>
      </c>
      <c r="U653" s="6">
        <v>88296.95</v>
      </c>
      <c r="V653" s="6">
        <v>9</v>
      </c>
    </row>
    <row r="654" spans="20:22" x14ac:dyDescent="0.3">
      <c r="T654" s="4" t="s">
        <v>451</v>
      </c>
      <c r="U654" s="6">
        <v>37221.22</v>
      </c>
      <c r="V654" s="6">
        <v>9</v>
      </c>
    </row>
    <row r="655" spans="20:22" x14ac:dyDescent="0.3">
      <c r="T655" s="4" t="s">
        <v>981</v>
      </c>
      <c r="U655" s="6">
        <v>18637.27</v>
      </c>
      <c r="V655" s="6">
        <v>4.6528584926869652</v>
      </c>
    </row>
    <row r="656" spans="20:22" x14ac:dyDescent="0.3">
      <c r="T656" s="4" t="s">
        <v>843</v>
      </c>
      <c r="U656" s="6">
        <v>35711.19</v>
      </c>
      <c r="V656" s="6">
        <v>9</v>
      </c>
    </row>
    <row r="657" spans="20:22" x14ac:dyDescent="0.3">
      <c r="T657" s="4" t="s">
        <v>10</v>
      </c>
      <c r="U657" s="6">
        <v>8082.3</v>
      </c>
      <c r="V657" s="6">
        <v>9</v>
      </c>
    </row>
    <row r="658" spans="20:22" x14ac:dyDescent="0.3">
      <c r="T658" s="4" t="s">
        <v>354</v>
      </c>
      <c r="U658" s="6">
        <v>35095.839999999997</v>
      </c>
      <c r="V658" s="6">
        <v>3.3864497900605892</v>
      </c>
    </row>
    <row r="659" spans="20:22" x14ac:dyDescent="0.3">
      <c r="T659" s="4" t="s">
        <v>565</v>
      </c>
      <c r="U659" s="6">
        <v>61172.36</v>
      </c>
      <c r="V659" s="6">
        <v>3.5393906659805179</v>
      </c>
    </row>
    <row r="660" spans="20:22" x14ac:dyDescent="0.3">
      <c r="T660" s="4" t="s">
        <v>509</v>
      </c>
      <c r="U660" s="6">
        <v>6333.7</v>
      </c>
      <c r="V660" s="6">
        <v>9</v>
      </c>
    </row>
    <row r="661" spans="20:22" x14ac:dyDescent="0.3">
      <c r="T661" s="4" t="s">
        <v>166</v>
      </c>
      <c r="U661" s="6">
        <v>4855.9799999999996</v>
      </c>
      <c r="V661" s="6">
        <v>9</v>
      </c>
    </row>
    <row r="662" spans="20:22" x14ac:dyDescent="0.3">
      <c r="T662" s="4" t="s">
        <v>938</v>
      </c>
      <c r="U662" s="6">
        <v>8324.2999999999993</v>
      </c>
      <c r="V662" s="6">
        <v>9</v>
      </c>
    </row>
    <row r="663" spans="20:22" x14ac:dyDescent="0.3">
      <c r="T663" s="4" t="s">
        <v>389</v>
      </c>
      <c r="U663" s="6">
        <v>90020.46</v>
      </c>
      <c r="V663" s="6">
        <v>7.513526924879077</v>
      </c>
    </row>
    <row r="664" spans="20:22" x14ac:dyDescent="0.3">
      <c r="T664" s="4" t="s">
        <v>846</v>
      </c>
      <c r="U664" s="6">
        <v>11092.23</v>
      </c>
      <c r="V664" s="6">
        <v>8.4026863849739861</v>
      </c>
    </row>
    <row r="665" spans="20:22" x14ac:dyDescent="0.3">
      <c r="T665" s="4" t="s">
        <v>148</v>
      </c>
      <c r="U665" s="6">
        <v>51428.639999999999</v>
      </c>
      <c r="V665" s="6">
        <v>1.1548129602493864</v>
      </c>
    </row>
    <row r="666" spans="20:22" x14ac:dyDescent="0.3">
      <c r="T666" s="4" t="s">
        <v>600</v>
      </c>
      <c r="U666" s="6">
        <v>25282.77</v>
      </c>
      <c r="V666" s="6">
        <v>9</v>
      </c>
    </row>
    <row r="667" spans="20:22" x14ac:dyDescent="0.3">
      <c r="T667" s="4" t="s">
        <v>675</v>
      </c>
      <c r="U667" s="6">
        <v>47487.19</v>
      </c>
      <c r="V667" s="6">
        <v>9</v>
      </c>
    </row>
    <row r="668" spans="20:22" x14ac:dyDescent="0.3">
      <c r="T668" s="4" t="s">
        <v>526</v>
      </c>
      <c r="U668" s="6">
        <v>38390.230000000003</v>
      </c>
      <c r="V668" s="6">
        <v>5.8101397152348389</v>
      </c>
    </row>
    <row r="669" spans="20:22" x14ac:dyDescent="0.3">
      <c r="T669" s="4" t="s">
        <v>380</v>
      </c>
      <c r="U669" s="6">
        <v>39225.15</v>
      </c>
      <c r="V669" s="6">
        <v>2.2490662240934705</v>
      </c>
    </row>
    <row r="670" spans="20:22" x14ac:dyDescent="0.3">
      <c r="T670" s="4" t="s">
        <v>926</v>
      </c>
      <c r="U670" s="6">
        <v>86585.56</v>
      </c>
      <c r="V670" s="6">
        <v>2.9676692048882054</v>
      </c>
    </row>
    <row r="671" spans="20:22" x14ac:dyDescent="0.3">
      <c r="T671" s="4" t="s">
        <v>107</v>
      </c>
      <c r="U671" s="6">
        <v>51210.38</v>
      </c>
      <c r="V671" s="6">
        <v>9</v>
      </c>
    </row>
    <row r="672" spans="20:22" x14ac:dyDescent="0.3">
      <c r="T672" s="4" t="s">
        <v>403</v>
      </c>
      <c r="U672" s="6">
        <v>77106.38</v>
      </c>
      <c r="V672" s="6">
        <v>1.4349625802689736</v>
      </c>
    </row>
    <row r="673" spans="20:22" x14ac:dyDescent="0.3">
      <c r="T673" s="4" t="s">
        <v>960</v>
      </c>
      <c r="U673" s="6">
        <v>73328.31</v>
      </c>
      <c r="V673" s="6">
        <v>1.0406519664778855</v>
      </c>
    </row>
    <row r="674" spans="20:22" x14ac:dyDescent="0.3">
      <c r="T674" s="4" t="s">
        <v>137</v>
      </c>
      <c r="U674" s="6">
        <v>34455.949999999997</v>
      </c>
      <c r="V674" s="6">
        <v>9</v>
      </c>
    </row>
    <row r="675" spans="20:22" x14ac:dyDescent="0.3">
      <c r="T675" s="4" t="s">
        <v>310</v>
      </c>
      <c r="U675" s="6">
        <v>75067.13</v>
      </c>
      <c r="V675" s="6">
        <v>9</v>
      </c>
    </row>
    <row r="676" spans="20:22" x14ac:dyDescent="0.3">
      <c r="T676" s="4" t="s">
        <v>442</v>
      </c>
      <c r="U676" s="6">
        <v>72864.67</v>
      </c>
      <c r="V676" s="6">
        <v>3.9460554751706147</v>
      </c>
    </row>
    <row r="677" spans="20:22" x14ac:dyDescent="0.3">
      <c r="T677" s="4" t="s">
        <v>314</v>
      </c>
      <c r="U677" s="6">
        <v>18541.27</v>
      </c>
      <c r="V677" s="6">
        <v>9.0000000000000018</v>
      </c>
    </row>
    <row r="678" spans="20:22" x14ac:dyDescent="0.3">
      <c r="T678" s="4" t="s">
        <v>138</v>
      </c>
      <c r="U678" s="6">
        <v>31468.43</v>
      </c>
      <c r="V678" s="6">
        <v>3.6837484424866447</v>
      </c>
    </row>
    <row r="679" spans="20:22" x14ac:dyDescent="0.3">
      <c r="T679" s="4" t="s">
        <v>580</v>
      </c>
      <c r="U679" s="6">
        <v>66054.48</v>
      </c>
      <c r="V679" s="6">
        <v>9</v>
      </c>
    </row>
    <row r="680" spans="20:22" x14ac:dyDescent="0.3">
      <c r="T680" s="4" t="s">
        <v>190</v>
      </c>
      <c r="U680" s="6">
        <v>34512.86</v>
      </c>
      <c r="V680" s="6">
        <v>9</v>
      </c>
    </row>
    <row r="681" spans="20:22" x14ac:dyDescent="0.3">
      <c r="T681" s="4" t="s">
        <v>646</v>
      </c>
      <c r="U681" s="6">
        <v>55780.6</v>
      </c>
      <c r="V681" s="6">
        <v>9</v>
      </c>
    </row>
    <row r="682" spans="20:22" x14ac:dyDescent="0.3">
      <c r="T682" s="4" t="s">
        <v>201</v>
      </c>
      <c r="U682" s="6">
        <v>52871.17</v>
      </c>
      <c r="V682" s="6">
        <v>9</v>
      </c>
    </row>
    <row r="683" spans="20:22" x14ac:dyDescent="0.3">
      <c r="T683" s="4" t="s">
        <v>868</v>
      </c>
      <c r="U683" s="6">
        <v>55314.879999999997</v>
      </c>
      <c r="V683" s="6">
        <v>5.406898650055826</v>
      </c>
    </row>
    <row r="684" spans="20:22" x14ac:dyDescent="0.3">
      <c r="T684" s="4" t="s">
        <v>704</v>
      </c>
      <c r="U684" s="6">
        <v>5057.3100000000004</v>
      </c>
      <c r="V684" s="6">
        <v>9.0000000000000018</v>
      </c>
    </row>
    <row r="685" spans="20:22" x14ac:dyDescent="0.3">
      <c r="T685" s="4" t="s">
        <v>825</v>
      </c>
      <c r="U685" s="6">
        <v>85490.69</v>
      </c>
      <c r="V685" s="6">
        <v>1.1154034433457021</v>
      </c>
    </row>
    <row r="686" spans="20:22" x14ac:dyDescent="0.3">
      <c r="T686" s="4" t="s">
        <v>501</v>
      </c>
      <c r="U686" s="6">
        <v>11395.3</v>
      </c>
      <c r="V686" s="6">
        <v>9</v>
      </c>
    </row>
    <row r="687" spans="20:22" x14ac:dyDescent="0.3">
      <c r="T687" s="4" t="s">
        <v>273</v>
      </c>
      <c r="U687" s="6">
        <v>81795.53</v>
      </c>
      <c r="V687" s="6">
        <v>7.6610566616537596</v>
      </c>
    </row>
    <row r="688" spans="20:22" x14ac:dyDescent="0.3">
      <c r="T688" s="4" t="s">
        <v>82</v>
      </c>
      <c r="U688" s="6">
        <v>56850.62</v>
      </c>
      <c r="V688" s="6">
        <v>5.7389092678320832</v>
      </c>
    </row>
    <row r="689" spans="20:22" x14ac:dyDescent="0.3">
      <c r="T689" s="4" t="s">
        <v>428</v>
      </c>
      <c r="U689" s="6">
        <v>35286.839999999997</v>
      </c>
      <c r="V689" s="6">
        <v>4.5275349110319887</v>
      </c>
    </row>
    <row r="690" spans="20:22" x14ac:dyDescent="0.3">
      <c r="T690" s="4" t="s">
        <v>266</v>
      </c>
      <c r="U690" s="6">
        <v>23192.5</v>
      </c>
      <c r="V690" s="6">
        <v>9</v>
      </c>
    </row>
    <row r="691" spans="20:22" x14ac:dyDescent="0.3">
      <c r="T691" s="4" t="s">
        <v>412</v>
      </c>
      <c r="U691" s="6">
        <v>83645.539999999994</v>
      </c>
      <c r="V691" s="6">
        <v>6.2683351676610606</v>
      </c>
    </row>
    <row r="692" spans="20:22" x14ac:dyDescent="0.3">
      <c r="T692" s="4" t="s">
        <v>430</v>
      </c>
      <c r="U692" s="6">
        <v>29101.58</v>
      </c>
      <c r="V692" s="6">
        <v>9</v>
      </c>
    </row>
    <row r="693" spans="20:22" x14ac:dyDescent="0.3">
      <c r="T693" s="4" t="s">
        <v>637</v>
      </c>
      <c r="U693" s="6">
        <v>68727.53</v>
      </c>
      <c r="V693" s="6">
        <v>2.8768986751015202</v>
      </c>
    </row>
    <row r="694" spans="20:22" x14ac:dyDescent="0.3">
      <c r="T694" s="4" t="s">
        <v>574</v>
      </c>
      <c r="U694" s="6">
        <v>18530.72</v>
      </c>
      <c r="V694" s="6">
        <v>9</v>
      </c>
    </row>
    <row r="695" spans="20:22" x14ac:dyDescent="0.3">
      <c r="T695" s="4" t="s">
        <v>484</v>
      </c>
      <c r="U695" s="6">
        <v>99120.34</v>
      </c>
      <c r="V695" s="6">
        <v>1.2941620256750532</v>
      </c>
    </row>
    <row r="696" spans="20:22" x14ac:dyDescent="0.3">
      <c r="T696" s="4" t="s">
        <v>657</v>
      </c>
      <c r="U696" s="6">
        <v>14225.39</v>
      </c>
      <c r="V696" s="6">
        <v>9</v>
      </c>
    </row>
    <row r="697" spans="20:22" x14ac:dyDescent="0.3">
      <c r="T697" s="4" t="s">
        <v>497</v>
      </c>
      <c r="U697" s="6">
        <v>30319.57</v>
      </c>
      <c r="V697" s="6">
        <v>9</v>
      </c>
    </row>
    <row r="698" spans="20:22" x14ac:dyDescent="0.3">
      <c r="T698" s="4" t="s">
        <v>668</v>
      </c>
      <c r="U698" s="6">
        <v>14188.58</v>
      </c>
      <c r="V698" s="6">
        <v>8.9999999999999982</v>
      </c>
    </row>
    <row r="699" spans="20:22" x14ac:dyDescent="0.3">
      <c r="T699" s="4" t="s">
        <v>945</v>
      </c>
      <c r="U699" s="6">
        <v>25337.54</v>
      </c>
      <c r="V699" s="6">
        <v>9</v>
      </c>
    </row>
    <row r="700" spans="20:22" x14ac:dyDescent="0.3">
      <c r="T700" s="4" t="s">
        <v>486</v>
      </c>
      <c r="U700" s="6">
        <v>16945.29</v>
      </c>
      <c r="V700" s="6">
        <v>9</v>
      </c>
    </row>
    <row r="701" spans="20:22" x14ac:dyDescent="0.3">
      <c r="T701" s="4" t="s">
        <v>649</v>
      </c>
      <c r="U701" s="6">
        <v>12895.48</v>
      </c>
      <c r="V701" s="6">
        <v>9</v>
      </c>
    </row>
    <row r="702" spans="20:22" x14ac:dyDescent="0.3">
      <c r="T702" s="4" t="s">
        <v>239</v>
      </c>
      <c r="U702" s="6">
        <v>22905.15</v>
      </c>
      <c r="V702" s="6">
        <v>9</v>
      </c>
    </row>
    <row r="703" spans="20:22" x14ac:dyDescent="0.3">
      <c r="T703" s="4" t="s">
        <v>76</v>
      </c>
      <c r="U703" s="6">
        <v>84119.33</v>
      </c>
      <c r="V703" s="6">
        <v>8.707562102551222</v>
      </c>
    </row>
    <row r="704" spans="20:22" x14ac:dyDescent="0.3">
      <c r="T704" s="4" t="s">
        <v>439</v>
      </c>
      <c r="U704" s="6">
        <v>76849</v>
      </c>
      <c r="V704" s="6">
        <v>4.9034014756210231</v>
      </c>
    </row>
    <row r="705" spans="20:22" x14ac:dyDescent="0.3">
      <c r="T705" s="4" t="s">
        <v>633</v>
      </c>
      <c r="U705" s="6">
        <v>86489.51</v>
      </c>
      <c r="V705" s="6">
        <v>8.4296623948962139</v>
      </c>
    </row>
    <row r="706" spans="20:22" x14ac:dyDescent="0.3">
      <c r="T706" s="4" t="s">
        <v>821</v>
      </c>
      <c r="U706" s="6">
        <v>29617.85</v>
      </c>
      <c r="V706" s="6">
        <v>9.0000000000000018</v>
      </c>
    </row>
    <row r="707" spans="20:22" x14ac:dyDescent="0.3">
      <c r="T707" s="4" t="s">
        <v>212</v>
      </c>
      <c r="U707" s="6">
        <v>8473.58</v>
      </c>
      <c r="V707" s="6">
        <v>9</v>
      </c>
    </row>
    <row r="708" spans="20:22" x14ac:dyDescent="0.3">
      <c r="T708" s="4" t="s">
        <v>387</v>
      </c>
      <c r="U708" s="6">
        <v>93538.7</v>
      </c>
      <c r="V708" s="6">
        <v>9</v>
      </c>
    </row>
    <row r="709" spans="20:22" x14ac:dyDescent="0.3">
      <c r="T709" s="4" t="s">
        <v>325</v>
      </c>
      <c r="U709" s="6">
        <v>95263.32</v>
      </c>
      <c r="V709" s="6">
        <v>2.7019039437214656</v>
      </c>
    </row>
    <row r="710" spans="20:22" x14ac:dyDescent="0.3">
      <c r="T710" s="4" t="s">
        <v>357</v>
      </c>
      <c r="U710" s="6">
        <v>60761.56</v>
      </c>
      <c r="V710" s="6">
        <v>8.2313725980702266</v>
      </c>
    </row>
    <row r="711" spans="20:22" x14ac:dyDescent="0.3">
      <c r="T711" s="4" t="s">
        <v>695</v>
      </c>
      <c r="U711" s="6">
        <v>46919.95</v>
      </c>
      <c r="V711" s="6">
        <v>9</v>
      </c>
    </row>
    <row r="712" spans="20:22" x14ac:dyDescent="0.3">
      <c r="T712" s="4" t="s">
        <v>525</v>
      </c>
      <c r="U712" s="6">
        <v>70889.3</v>
      </c>
      <c r="V712" s="6">
        <v>2.6723694549106849</v>
      </c>
    </row>
    <row r="713" spans="20:22" x14ac:dyDescent="0.3">
      <c r="T713" s="4" t="s">
        <v>237</v>
      </c>
      <c r="U713" s="6">
        <v>49973.41</v>
      </c>
      <c r="V713" s="6">
        <v>5.1051903402229302</v>
      </c>
    </row>
    <row r="714" spans="20:22" x14ac:dyDescent="0.3">
      <c r="T714" s="4" t="s">
        <v>708</v>
      </c>
      <c r="U714" s="6">
        <v>49256.5</v>
      </c>
      <c r="V714" s="6">
        <v>5.3337681321246944</v>
      </c>
    </row>
    <row r="715" spans="20:22" x14ac:dyDescent="0.3">
      <c r="T715" s="4" t="s">
        <v>466</v>
      </c>
      <c r="U715" s="6">
        <v>28051.5</v>
      </c>
      <c r="V715" s="6">
        <v>9</v>
      </c>
    </row>
    <row r="716" spans="20:22" x14ac:dyDescent="0.3">
      <c r="T716" s="4" t="s">
        <v>169</v>
      </c>
      <c r="U716" s="6">
        <v>14419.22</v>
      </c>
      <c r="V716" s="6">
        <v>6.4957868733537598</v>
      </c>
    </row>
    <row r="717" spans="20:22" x14ac:dyDescent="0.3">
      <c r="T717" s="4" t="s">
        <v>788</v>
      </c>
      <c r="U717" s="6">
        <v>86154.71</v>
      </c>
      <c r="V717" s="6">
        <v>9</v>
      </c>
    </row>
    <row r="718" spans="20:22" x14ac:dyDescent="0.3">
      <c r="T718" s="4" t="s">
        <v>711</v>
      </c>
      <c r="U718" s="6">
        <v>41672.129999999997</v>
      </c>
      <c r="V718" s="6">
        <v>5.287650763231925</v>
      </c>
    </row>
    <row r="719" spans="20:22" x14ac:dyDescent="0.3">
      <c r="T719" s="4" t="s">
        <v>216</v>
      </c>
      <c r="U719" s="6">
        <v>59532.42</v>
      </c>
      <c r="V719" s="6">
        <v>8.9999999999999982</v>
      </c>
    </row>
    <row r="720" spans="20:22" x14ac:dyDescent="0.3">
      <c r="T720" s="4" t="s">
        <v>250</v>
      </c>
      <c r="U720" s="6">
        <v>90656.1</v>
      </c>
      <c r="V720" s="6">
        <v>8.7766056558797469</v>
      </c>
    </row>
    <row r="721" spans="20:22" x14ac:dyDescent="0.3">
      <c r="T721" s="4" t="s">
        <v>513</v>
      </c>
      <c r="U721" s="6">
        <v>38080.5</v>
      </c>
      <c r="V721" s="6">
        <v>9</v>
      </c>
    </row>
    <row r="722" spans="20:22" x14ac:dyDescent="0.3">
      <c r="T722" s="4" t="s">
        <v>70</v>
      </c>
      <c r="U722" s="6">
        <v>6124.7</v>
      </c>
      <c r="V722" s="6">
        <v>9</v>
      </c>
    </row>
    <row r="723" spans="20:22" x14ac:dyDescent="0.3">
      <c r="T723" s="4" t="s">
        <v>311</v>
      </c>
      <c r="U723" s="6">
        <v>46839.92</v>
      </c>
      <c r="V723" s="6">
        <v>2.5868831543691795</v>
      </c>
    </row>
    <row r="724" spans="20:22" x14ac:dyDescent="0.3">
      <c r="T724" s="4" t="s">
        <v>244</v>
      </c>
      <c r="U724" s="6">
        <v>32622.799999999999</v>
      </c>
      <c r="V724" s="6">
        <v>9</v>
      </c>
    </row>
    <row r="725" spans="20:22" x14ac:dyDescent="0.3">
      <c r="T725" s="4" t="s">
        <v>132</v>
      </c>
      <c r="U725" s="6">
        <v>99406.41</v>
      </c>
      <c r="V725" s="6">
        <v>3.8819581151758724</v>
      </c>
    </row>
    <row r="726" spans="20:22" x14ac:dyDescent="0.3">
      <c r="T726" s="4" t="s">
        <v>1000</v>
      </c>
      <c r="U726" s="6">
        <v>35539.129999999997</v>
      </c>
      <c r="V726" s="6">
        <v>9</v>
      </c>
    </row>
    <row r="727" spans="20:22" x14ac:dyDescent="0.3">
      <c r="T727" s="4" t="s">
        <v>732</v>
      </c>
      <c r="U727" s="6">
        <v>82832.929999999993</v>
      </c>
      <c r="V727" s="6">
        <v>9</v>
      </c>
    </row>
    <row r="728" spans="20:22" x14ac:dyDescent="0.3">
      <c r="T728" s="4" t="s">
        <v>371</v>
      </c>
      <c r="U728" s="6">
        <v>72683.100000000006</v>
      </c>
      <c r="V728" s="6">
        <v>9</v>
      </c>
    </row>
    <row r="729" spans="20:22" x14ac:dyDescent="0.3">
      <c r="T729" s="4" t="s">
        <v>985</v>
      </c>
      <c r="U729" s="6">
        <v>3854.95</v>
      </c>
      <c r="V729" s="6">
        <v>9.0000000000000018</v>
      </c>
    </row>
    <row r="730" spans="20:22" x14ac:dyDescent="0.3">
      <c r="T730" s="4" t="s">
        <v>942</v>
      </c>
      <c r="U730" s="6">
        <v>5833.99</v>
      </c>
      <c r="V730" s="6">
        <v>9</v>
      </c>
    </row>
    <row r="731" spans="20:22" x14ac:dyDescent="0.3">
      <c r="T731" s="4" t="s">
        <v>800</v>
      </c>
      <c r="U731" s="6">
        <v>23498.46</v>
      </c>
      <c r="V731" s="6">
        <v>9</v>
      </c>
    </row>
    <row r="732" spans="20:22" x14ac:dyDescent="0.3">
      <c r="T732" s="4" t="s">
        <v>599</v>
      </c>
      <c r="U732" s="6">
        <v>88518.7</v>
      </c>
      <c r="V732" s="6">
        <v>1.0080902679320869</v>
      </c>
    </row>
    <row r="733" spans="20:22" x14ac:dyDescent="0.3">
      <c r="T733" s="4" t="s">
        <v>852</v>
      </c>
      <c r="U733" s="6">
        <v>35179.9</v>
      </c>
      <c r="V733" s="6">
        <v>2.3968078362928829</v>
      </c>
    </row>
    <row r="734" spans="20:22" x14ac:dyDescent="0.3">
      <c r="T734" s="4" t="s">
        <v>284</v>
      </c>
      <c r="U734" s="6">
        <v>91764.9</v>
      </c>
      <c r="V734" s="6">
        <v>8.6919349337273832</v>
      </c>
    </row>
    <row r="735" spans="20:22" x14ac:dyDescent="0.3">
      <c r="T735" s="4" t="s">
        <v>815</v>
      </c>
      <c r="U735" s="6">
        <v>9472.4500000000007</v>
      </c>
      <c r="V735" s="6">
        <v>9</v>
      </c>
    </row>
    <row r="736" spans="20:22" x14ac:dyDescent="0.3">
      <c r="T736" s="4" t="s">
        <v>223</v>
      </c>
      <c r="U736" s="6">
        <v>19561.669999999998</v>
      </c>
      <c r="V736" s="6">
        <v>18</v>
      </c>
    </row>
    <row r="737" spans="20:22" x14ac:dyDescent="0.3">
      <c r="T737" s="4" t="s">
        <v>743</v>
      </c>
      <c r="U737" s="6">
        <v>41516.78</v>
      </c>
      <c r="V737" s="6">
        <v>5.5588720994258223</v>
      </c>
    </row>
    <row r="738" spans="20:22" x14ac:dyDescent="0.3">
      <c r="T738" s="4" t="s">
        <v>183</v>
      </c>
      <c r="U738" s="6">
        <v>57815.1</v>
      </c>
      <c r="V738" s="6">
        <v>9</v>
      </c>
    </row>
    <row r="739" spans="20:22" x14ac:dyDescent="0.3">
      <c r="T739" s="4" t="s">
        <v>572</v>
      </c>
      <c r="U739" s="6">
        <v>65209.95</v>
      </c>
      <c r="V739" s="6">
        <v>0.83795571074659625</v>
      </c>
    </row>
    <row r="740" spans="20:22" x14ac:dyDescent="0.3">
      <c r="T740" s="4" t="s">
        <v>220</v>
      </c>
      <c r="U740" s="6">
        <v>62406.71</v>
      </c>
      <c r="V740" s="6">
        <v>0.98565010076640802</v>
      </c>
    </row>
    <row r="741" spans="20:22" x14ac:dyDescent="0.3">
      <c r="T741" s="4" t="s">
        <v>542</v>
      </c>
      <c r="U741" s="6">
        <v>84406.19</v>
      </c>
      <c r="V741" s="6">
        <v>7.7182396219992864</v>
      </c>
    </row>
    <row r="742" spans="20:22" x14ac:dyDescent="0.3">
      <c r="T742" s="4" t="s">
        <v>529</v>
      </c>
      <c r="U742" s="6">
        <v>71463.45</v>
      </c>
      <c r="V742" s="6">
        <v>1.0975132043023392</v>
      </c>
    </row>
    <row r="743" spans="20:22" x14ac:dyDescent="0.3">
      <c r="T743" s="4" t="s">
        <v>83</v>
      </c>
      <c r="U743" s="6">
        <v>94856.15</v>
      </c>
      <c r="V743" s="6">
        <v>1.9909622096195132</v>
      </c>
    </row>
    <row r="744" spans="20:22" x14ac:dyDescent="0.3">
      <c r="T744" s="4" t="s">
        <v>845</v>
      </c>
      <c r="U744" s="6">
        <v>9929.7999999999993</v>
      </c>
      <c r="V744" s="6">
        <v>9</v>
      </c>
    </row>
    <row r="745" spans="20:22" x14ac:dyDescent="0.3">
      <c r="T745" s="4" t="s">
        <v>330</v>
      </c>
      <c r="U745" s="6">
        <v>87931.71</v>
      </c>
      <c r="V745" s="6">
        <v>2.282247325794073</v>
      </c>
    </row>
    <row r="746" spans="20:22" x14ac:dyDescent="0.3">
      <c r="T746" s="4" t="s">
        <v>625</v>
      </c>
      <c r="U746" s="6">
        <v>97758.67</v>
      </c>
      <c r="V746" s="6">
        <v>5.3879706014822011</v>
      </c>
    </row>
    <row r="747" spans="20:22" x14ac:dyDescent="0.3">
      <c r="T747" s="4" t="s">
        <v>528</v>
      </c>
      <c r="U747" s="6">
        <v>21179.55</v>
      </c>
      <c r="V747" s="6">
        <v>9</v>
      </c>
    </row>
    <row r="748" spans="20:22" x14ac:dyDescent="0.3">
      <c r="T748" s="4" t="s">
        <v>999</v>
      </c>
      <c r="U748" s="6">
        <v>31330.31</v>
      </c>
      <c r="V748" s="6">
        <v>9</v>
      </c>
    </row>
    <row r="749" spans="20:22" x14ac:dyDescent="0.3">
      <c r="T749" s="4" t="s">
        <v>481</v>
      </c>
      <c r="U749" s="6">
        <v>92395.78</v>
      </c>
      <c r="V749" s="6">
        <v>9</v>
      </c>
    </row>
    <row r="750" spans="20:22" x14ac:dyDescent="0.3">
      <c r="T750" s="4" t="s">
        <v>351</v>
      </c>
      <c r="U750" s="6">
        <v>35936.699999999997</v>
      </c>
      <c r="V750" s="6">
        <v>9</v>
      </c>
    </row>
    <row r="751" spans="20:22" x14ac:dyDescent="0.3">
      <c r="T751" s="4" t="s">
        <v>252</v>
      </c>
      <c r="U751" s="6">
        <v>61961.66</v>
      </c>
      <c r="V751" s="6">
        <v>9</v>
      </c>
    </row>
    <row r="752" spans="20:22" x14ac:dyDescent="0.3">
      <c r="T752" s="4" t="s">
        <v>436</v>
      </c>
      <c r="U752" s="6">
        <v>42804.51</v>
      </c>
      <c r="V752" s="6">
        <v>9</v>
      </c>
    </row>
    <row r="753" spans="20:22" x14ac:dyDescent="0.3">
      <c r="T753" s="4" t="s">
        <v>634</v>
      </c>
      <c r="U753" s="6">
        <v>67375.899999999994</v>
      </c>
      <c r="V753" s="6">
        <v>6.6246318045473247</v>
      </c>
    </row>
    <row r="754" spans="20:22" x14ac:dyDescent="0.3">
      <c r="T754" s="4" t="s">
        <v>820</v>
      </c>
      <c r="U754" s="6">
        <v>95291.59</v>
      </c>
      <c r="V754" s="6">
        <v>7.446123104882604</v>
      </c>
    </row>
    <row r="755" spans="20:22" x14ac:dyDescent="0.3">
      <c r="T755" s="4" t="s">
        <v>837</v>
      </c>
      <c r="U755" s="6">
        <v>5211.43</v>
      </c>
      <c r="V755" s="6">
        <v>9</v>
      </c>
    </row>
    <row r="756" spans="20:22" x14ac:dyDescent="0.3">
      <c r="T756" s="4" t="s">
        <v>764</v>
      </c>
      <c r="U756" s="6">
        <v>55331.1</v>
      </c>
      <c r="V756" s="6">
        <v>5.3928000708462331</v>
      </c>
    </row>
    <row r="757" spans="20:22" x14ac:dyDescent="0.3">
      <c r="T757" s="4" t="s">
        <v>219</v>
      </c>
      <c r="U757" s="6">
        <v>36824.239999999998</v>
      </c>
      <c r="V757" s="6">
        <v>9</v>
      </c>
    </row>
    <row r="758" spans="20:22" x14ac:dyDescent="0.3">
      <c r="T758" s="4" t="s">
        <v>873</v>
      </c>
      <c r="U758" s="6">
        <v>4459.25</v>
      </c>
      <c r="V758" s="6">
        <v>9</v>
      </c>
    </row>
    <row r="759" spans="20:22" x14ac:dyDescent="0.3">
      <c r="T759" s="4" t="s">
        <v>698</v>
      </c>
      <c r="U759" s="6">
        <v>88036.35</v>
      </c>
      <c r="V759" s="6">
        <v>3.2277931786131524</v>
      </c>
    </row>
    <row r="760" spans="20:22" x14ac:dyDescent="0.3">
      <c r="T760" s="4" t="s">
        <v>775</v>
      </c>
      <c r="U760" s="6">
        <v>67575.94</v>
      </c>
      <c r="V760" s="6">
        <v>9</v>
      </c>
    </row>
    <row r="761" spans="20:22" x14ac:dyDescent="0.3">
      <c r="T761" s="4" t="s">
        <v>63</v>
      </c>
      <c r="U761" s="6">
        <v>28323.41</v>
      </c>
      <c r="V761" s="6">
        <v>8.9999999999999982</v>
      </c>
    </row>
    <row r="762" spans="20:22" x14ac:dyDescent="0.3">
      <c r="T762" s="4" t="s">
        <v>827</v>
      </c>
      <c r="U762" s="6">
        <v>20179.61</v>
      </c>
      <c r="V762" s="6">
        <v>9</v>
      </c>
    </row>
    <row r="763" spans="20:22" x14ac:dyDescent="0.3">
      <c r="T763" s="4" t="s">
        <v>912</v>
      </c>
      <c r="U763" s="6">
        <v>89833.97</v>
      </c>
      <c r="V763" s="6">
        <v>4.9366156254699645</v>
      </c>
    </row>
    <row r="764" spans="20:22" x14ac:dyDescent="0.3">
      <c r="T764" s="4" t="s">
        <v>573</v>
      </c>
      <c r="U764" s="6">
        <v>54554.48</v>
      </c>
      <c r="V764" s="6">
        <v>3.0827299609491279</v>
      </c>
    </row>
    <row r="765" spans="20:22" x14ac:dyDescent="0.3">
      <c r="T765" s="4" t="s">
        <v>306</v>
      </c>
      <c r="U765" s="6">
        <v>16261.19</v>
      </c>
      <c r="V765" s="6">
        <v>9</v>
      </c>
    </row>
    <row r="766" spans="20:22" x14ac:dyDescent="0.3">
      <c r="T766" s="4" t="s">
        <v>561</v>
      </c>
      <c r="U766" s="6">
        <v>94502.9</v>
      </c>
      <c r="V766" s="6">
        <v>7.715402596110807</v>
      </c>
    </row>
    <row r="767" spans="20:22" x14ac:dyDescent="0.3">
      <c r="T767" s="4" t="s">
        <v>157</v>
      </c>
      <c r="U767" s="6">
        <v>68885.7</v>
      </c>
      <c r="V767" s="6">
        <v>1.3530403262215525</v>
      </c>
    </row>
    <row r="768" spans="20:22" x14ac:dyDescent="0.3">
      <c r="T768" s="4" t="s">
        <v>879</v>
      </c>
      <c r="U768" s="6">
        <v>63478.39</v>
      </c>
      <c r="V768" s="6">
        <v>7.8750284939488857</v>
      </c>
    </row>
    <row r="769" spans="20:22" x14ac:dyDescent="0.3">
      <c r="T769" s="4" t="s">
        <v>568</v>
      </c>
      <c r="U769" s="6">
        <v>20786.400000000001</v>
      </c>
      <c r="V769" s="6">
        <v>9</v>
      </c>
    </row>
    <row r="770" spans="20:22" x14ac:dyDescent="0.3">
      <c r="T770" s="4" t="s">
        <v>93</v>
      </c>
      <c r="U770" s="6">
        <v>47906.32</v>
      </c>
      <c r="V770" s="6">
        <v>9</v>
      </c>
    </row>
    <row r="771" spans="20:22" x14ac:dyDescent="0.3">
      <c r="T771" s="4" t="s">
        <v>52</v>
      </c>
      <c r="U771" s="6">
        <v>71277.100000000006</v>
      </c>
      <c r="V771" s="6">
        <v>9</v>
      </c>
    </row>
    <row r="772" spans="20:22" x14ac:dyDescent="0.3">
      <c r="T772" s="4" t="s">
        <v>964</v>
      </c>
      <c r="U772" s="6">
        <v>20492.32</v>
      </c>
      <c r="V772" s="6">
        <v>9</v>
      </c>
    </row>
    <row r="773" spans="20:22" x14ac:dyDescent="0.3">
      <c r="T773" s="4" t="s">
        <v>462</v>
      </c>
      <c r="U773" s="6">
        <v>51394.97</v>
      </c>
      <c r="V773" s="6">
        <v>9</v>
      </c>
    </row>
    <row r="774" spans="20:22" x14ac:dyDescent="0.3">
      <c r="T774" s="4" t="s">
        <v>982</v>
      </c>
      <c r="U774" s="6">
        <v>57858.79</v>
      </c>
      <c r="V774" s="6">
        <v>9</v>
      </c>
    </row>
    <row r="775" spans="20:22" x14ac:dyDescent="0.3">
      <c r="T775" s="4" t="s">
        <v>236</v>
      </c>
      <c r="U775" s="6">
        <v>55644.28</v>
      </c>
      <c r="V775" s="6">
        <v>9</v>
      </c>
    </row>
    <row r="776" spans="20:22" x14ac:dyDescent="0.3">
      <c r="T776" s="4" t="s">
        <v>869</v>
      </c>
      <c r="U776" s="6">
        <v>91275.199999999997</v>
      </c>
      <c r="V776" s="6">
        <v>7.3410388583098154</v>
      </c>
    </row>
    <row r="777" spans="20:22" x14ac:dyDescent="0.3">
      <c r="T777" s="4" t="s">
        <v>1001</v>
      </c>
      <c r="U777" s="6">
        <v>43792.4</v>
      </c>
      <c r="V777" s="6">
        <v>0.60638307103515665</v>
      </c>
    </row>
    <row r="778" spans="20:22" x14ac:dyDescent="0.3">
      <c r="T778" s="4" t="s">
        <v>115</v>
      </c>
      <c r="U778" s="6">
        <v>29781.93</v>
      </c>
      <c r="V778" s="6">
        <v>9</v>
      </c>
    </row>
    <row r="779" spans="20:22" x14ac:dyDescent="0.3">
      <c r="T779" s="4" t="s">
        <v>265</v>
      </c>
      <c r="U779" s="6">
        <v>96004.64</v>
      </c>
      <c r="V779" s="6">
        <v>5.1783070068280033</v>
      </c>
    </row>
    <row r="780" spans="20:22" x14ac:dyDescent="0.3">
      <c r="T780" s="4" t="s">
        <v>51</v>
      </c>
      <c r="U780" s="6">
        <v>53935.8</v>
      </c>
      <c r="V780" s="6">
        <v>9</v>
      </c>
    </row>
    <row r="781" spans="20:22" x14ac:dyDescent="0.3">
      <c r="T781" s="4" t="s">
        <v>939</v>
      </c>
      <c r="U781" s="6">
        <v>10216.93</v>
      </c>
      <c r="V781" s="6">
        <v>9</v>
      </c>
    </row>
    <row r="782" spans="20:22" x14ac:dyDescent="0.3">
      <c r="T782" s="4" t="s">
        <v>677</v>
      </c>
      <c r="U782" s="6">
        <v>93037.93</v>
      </c>
      <c r="V782" s="6">
        <v>6.1920785425901022</v>
      </c>
    </row>
    <row r="783" spans="20:22" x14ac:dyDescent="0.3">
      <c r="T783" s="4" t="s">
        <v>62</v>
      </c>
      <c r="U783" s="6">
        <v>96917.97</v>
      </c>
      <c r="V783" s="6">
        <v>4.9016638503674814</v>
      </c>
    </row>
    <row r="784" spans="20:22" x14ac:dyDescent="0.3">
      <c r="T784" s="4" t="s">
        <v>681</v>
      </c>
      <c r="U784" s="6">
        <v>70705.990000000005</v>
      </c>
      <c r="V784" s="6">
        <v>9</v>
      </c>
    </row>
    <row r="785" spans="20:22" x14ac:dyDescent="0.3">
      <c r="T785" s="4" t="s">
        <v>395</v>
      </c>
      <c r="U785" s="6">
        <v>42970.96</v>
      </c>
      <c r="V785" s="6">
        <v>7.0408096537754794</v>
      </c>
    </row>
    <row r="786" spans="20:22" x14ac:dyDescent="0.3">
      <c r="T786" s="4" t="s">
        <v>127</v>
      </c>
      <c r="U786" s="6">
        <v>71211.28</v>
      </c>
      <c r="V786" s="6">
        <v>7.8219506797237743</v>
      </c>
    </row>
    <row r="787" spans="20:22" x14ac:dyDescent="0.3">
      <c r="T787" s="4" t="s">
        <v>41</v>
      </c>
      <c r="U787" s="6">
        <v>60274.59</v>
      </c>
      <c r="V787" s="6">
        <v>9</v>
      </c>
    </row>
    <row r="788" spans="20:22" x14ac:dyDescent="0.3">
      <c r="T788" s="4" t="s">
        <v>612</v>
      </c>
      <c r="U788" s="6">
        <v>17049.14</v>
      </c>
      <c r="V788" s="6">
        <v>9</v>
      </c>
    </row>
    <row r="789" spans="20:22" x14ac:dyDescent="0.3">
      <c r="T789" s="4" t="s">
        <v>614</v>
      </c>
      <c r="U789" s="6">
        <v>55709.15</v>
      </c>
      <c r="V789" s="6">
        <v>9</v>
      </c>
    </row>
    <row r="790" spans="20:22" x14ac:dyDescent="0.3">
      <c r="T790" s="4" t="s">
        <v>903</v>
      </c>
      <c r="U790" s="6">
        <v>95378.2</v>
      </c>
      <c r="V790" s="6">
        <v>6.8018548263649352</v>
      </c>
    </row>
    <row r="791" spans="20:22" x14ac:dyDescent="0.3">
      <c r="T791" s="4" t="s">
        <v>785</v>
      </c>
      <c r="U791" s="6">
        <v>3884.46</v>
      </c>
      <c r="V791" s="6">
        <v>9</v>
      </c>
    </row>
    <row r="792" spans="20:22" x14ac:dyDescent="0.3">
      <c r="T792" s="4" t="s">
        <v>277</v>
      </c>
      <c r="U792" s="6">
        <v>8645.67</v>
      </c>
      <c r="V792" s="6">
        <v>9</v>
      </c>
    </row>
    <row r="793" spans="20:22" x14ac:dyDescent="0.3">
      <c r="T793" s="4" t="s">
        <v>355</v>
      </c>
      <c r="U793" s="6">
        <v>89591.74</v>
      </c>
      <c r="V793" s="6">
        <v>6.9018140511614128</v>
      </c>
    </row>
    <row r="794" spans="20:22" x14ac:dyDescent="0.3">
      <c r="T794" s="4" t="s">
        <v>340</v>
      </c>
      <c r="U794" s="6">
        <v>49505.24</v>
      </c>
      <c r="V794" s="6">
        <v>9</v>
      </c>
    </row>
    <row r="795" spans="20:22" x14ac:dyDescent="0.3">
      <c r="T795" s="4" t="s">
        <v>736</v>
      </c>
      <c r="U795" s="6">
        <v>24433.75</v>
      </c>
      <c r="V795" s="6">
        <v>6.5673071059497623</v>
      </c>
    </row>
    <row r="796" spans="20:22" x14ac:dyDescent="0.3">
      <c r="T796" s="4" t="s">
        <v>906</v>
      </c>
      <c r="U796" s="6">
        <v>39380.230000000003</v>
      </c>
      <c r="V796" s="6">
        <v>9.0000000000000018</v>
      </c>
    </row>
    <row r="797" spans="20:22" x14ac:dyDescent="0.3">
      <c r="T797" s="4" t="s">
        <v>789</v>
      </c>
      <c r="U797" s="6">
        <v>88536.97</v>
      </c>
      <c r="V797" s="6">
        <v>1.5917264844279173</v>
      </c>
    </row>
    <row r="798" spans="20:22" x14ac:dyDescent="0.3">
      <c r="T798" s="4" t="s">
        <v>870</v>
      </c>
      <c r="U798" s="6">
        <v>67716.570000000007</v>
      </c>
      <c r="V798" s="6">
        <v>0.77861046417442559</v>
      </c>
    </row>
    <row r="799" spans="20:22" x14ac:dyDescent="0.3">
      <c r="T799" s="4" t="s">
        <v>562</v>
      </c>
      <c r="U799" s="6">
        <v>90021.62</v>
      </c>
      <c r="V799" s="6">
        <v>4.0502920298479408</v>
      </c>
    </row>
    <row r="800" spans="20:22" x14ac:dyDescent="0.3">
      <c r="T800" s="4" t="s">
        <v>98</v>
      </c>
      <c r="U800" s="6">
        <v>23212.27</v>
      </c>
      <c r="V800" s="6">
        <v>9</v>
      </c>
    </row>
    <row r="801" spans="20:22" x14ac:dyDescent="0.3">
      <c r="T801" s="4" t="s">
        <v>342</v>
      </c>
      <c r="U801" s="6">
        <v>13686.9</v>
      </c>
      <c r="V801" s="6">
        <v>9</v>
      </c>
    </row>
    <row r="802" spans="20:22" x14ac:dyDescent="0.3">
      <c r="T802" s="4" t="s">
        <v>147</v>
      </c>
      <c r="U802" s="6">
        <v>31531.599999999999</v>
      </c>
      <c r="V802" s="6">
        <v>9.0000000000000018</v>
      </c>
    </row>
    <row r="803" spans="20:22" x14ac:dyDescent="0.3">
      <c r="T803" s="4" t="s">
        <v>854</v>
      </c>
      <c r="U803" s="6">
        <v>11545.73</v>
      </c>
      <c r="V803" s="6">
        <v>1.6015384042412217</v>
      </c>
    </row>
    <row r="804" spans="20:22" x14ac:dyDescent="0.3">
      <c r="T804" s="4" t="s">
        <v>213</v>
      </c>
      <c r="U804" s="6">
        <v>20951.3</v>
      </c>
      <c r="V804" s="6">
        <v>9</v>
      </c>
    </row>
    <row r="805" spans="20:22" x14ac:dyDescent="0.3">
      <c r="T805" s="4" t="s">
        <v>109</v>
      </c>
      <c r="U805" s="6">
        <v>89383.19</v>
      </c>
      <c r="V805" s="6">
        <v>8.2742623081588373</v>
      </c>
    </row>
    <row r="806" spans="20:22" x14ac:dyDescent="0.3">
      <c r="T806" s="4" t="s">
        <v>899</v>
      </c>
      <c r="U806" s="6">
        <v>8570.41</v>
      </c>
      <c r="V806" s="6">
        <v>9</v>
      </c>
    </row>
    <row r="807" spans="20:22" x14ac:dyDescent="0.3">
      <c r="T807" s="4" t="s">
        <v>288</v>
      </c>
      <c r="U807" s="6">
        <v>18364.990000000002</v>
      </c>
      <c r="V807" s="6">
        <v>9.0000000000000018</v>
      </c>
    </row>
    <row r="808" spans="20:22" x14ac:dyDescent="0.3">
      <c r="T808" s="4" t="s">
        <v>836</v>
      </c>
      <c r="U808" s="6">
        <v>47307.68</v>
      </c>
      <c r="V808" s="6">
        <v>9</v>
      </c>
    </row>
    <row r="809" spans="20:22" x14ac:dyDescent="0.3">
      <c r="T809" s="4" t="s">
        <v>835</v>
      </c>
      <c r="U809" s="6">
        <v>11068.74</v>
      </c>
      <c r="V809" s="6">
        <v>9</v>
      </c>
    </row>
    <row r="810" spans="20:22" x14ac:dyDescent="0.3">
      <c r="T810" s="4" t="s">
        <v>186</v>
      </c>
      <c r="U810" s="6">
        <v>84506.27</v>
      </c>
      <c r="V810" s="6">
        <v>3.4453906201279501</v>
      </c>
    </row>
    <row r="811" spans="20:22" x14ac:dyDescent="0.3">
      <c r="T811" s="4" t="s">
        <v>553</v>
      </c>
      <c r="U811" s="6">
        <v>35614.300000000003</v>
      </c>
      <c r="V811" s="6">
        <v>9</v>
      </c>
    </row>
    <row r="812" spans="20:22" x14ac:dyDescent="0.3">
      <c r="T812" s="4" t="s">
        <v>814</v>
      </c>
      <c r="U812" s="6">
        <v>49546.42</v>
      </c>
      <c r="V812" s="6">
        <v>9</v>
      </c>
    </row>
    <row r="813" spans="20:22" x14ac:dyDescent="0.3">
      <c r="T813" s="4" t="s">
        <v>662</v>
      </c>
      <c r="U813" s="6">
        <v>10894.5</v>
      </c>
      <c r="V813" s="6">
        <v>5.8512689889393723</v>
      </c>
    </row>
    <row r="814" spans="20:22" x14ac:dyDescent="0.3">
      <c r="T814" s="4" t="s">
        <v>856</v>
      </c>
      <c r="U814" s="6">
        <v>41687.29</v>
      </c>
      <c r="V814" s="6">
        <v>6.3534540144010325</v>
      </c>
    </row>
    <row r="815" spans="20:22" x14ac:dyDescent="0.3">
      <c r="T815" s="4" t="s">
        <v>335</v>
      </c>
      <c r="U815" s="6">
        <v>2554.1799999999998</v>
      </c>
      <c r="V815" s="6">
        <v>9</v>
      </c>
    </row>
    <row r="816" spans="20:22" x14ac:dyDescent="0.3">
      <c r="T816" s="4" t="s">
        <v>766</v>
      </c>
      <c r="U816" s="6">
        <v>82520.55</v>
      </c>
      <c r="V816" s="6">
        <v>8.9683507926207469</v>
      </c>
    </row>
    <row r="817" spans="20:22" x14ac:dyDescent="0.3">
      <c r="T817" s="4" t="s">
        <v>816</v>
      </c>
      <c r="U817" s="6">
        <v>41792.480000000003</v>
      </c>
      <c r="V817" s="6">
        <v>9</v>
      </c>
    </row>
    <row r="818" spans="20:22" x14ac:dyDescent="0.3">
      <c r="T818" s="4" t="s">
        <v>286</v>
      </c>
      <c r="U818" s="6">
        <v>59201.77</v>
      </c>
      <c r="V818" s="6">
        <v>9</v>
      </c>
    </row>
    <row r="819" spans="20:22" x14ac:dyDescent="0.3">
      <c r="T819" s="4" t="s">
        <v>162</v>
      </c>
      <c r="U819" s="6">
        <v>52686.92</v>
      </c>
      <c r="V819" s="6">
        <v>7.409479050967489</v>
      </c>
    </row>
    <row r="820" spans="20:22" x14ac:dyDescent="0.3">
      <c r="T820" s="4" t="s">
        <v>446</v>
      </c>
      <c r="U820" s="6">
        <v>72566.45</v>
      </c>
      <c r="V820" s="6">
        <v>8.8259038439940234</v>
      </c>
    </row>
    <row r="821" spans="20:22" x14ac:dyDescent="0.3">
      <c r="T821" s="4" t="s">
        <v>492</v>
      </c>
      <c r="U821" s="6">
        <v>3104.48</v>
      </c>
      <c r="V821" s="6">
        <v>9</v>
      </c>
    </row>
    <row r="822" spans="20:22" x14ac:dyDescent="0.3">
      <c r="T822" s="4" t="s">
        <v>323</v>
      </c>
      <c r="U822" s="6">
        <v>57635.88</v>
      </c>
      <c r="V822" s="6">
        <v>2.340309022782336</v>
      </c>
    </row>
    <row r="823" spans="20:22" x14ac:dyDescent="0.3">
      <c r="T823" s="4" t="s">
        <v>415</v>
      </c>
      <c r="U823" s="6">
        <v>46310.28</v>
      </c>
      <c r="V823" s="6">
        <v>9</v>
      </c>
    </row>
    <row r="824" spans="20:22" x14ac:dyDescent="0.3">
      <c r="T824" s="4" t="s">
        <v>880</v>
      </c>
      <c r="U824" s="6">
        <v>93236.34</v>
      </c>
      <c r="V824" s="6">
        <v>4.8559676409434349</v>
      </c>
    </row>
    <row r="825" spans="20:22" x14ac:dyDescent="0.3">
      <c r="T825" s="4" t="s">
        <v>226</v>
      </c>
      <c r="U825" s="6">
        <v>59590.26</v>
      </c>
      <c r="V825" s="6">
        <v>8.6443573161117264</v>
      </c>
    </row>
    <row r="826" spans="20:22" x14ac:dyDescent="0.3">
      <c r="T826" s="4" t="s">
        <v>598</v>
      </c>
      <c r="U826" s="6">
        <v>9569.17</v>
      </c>
      <c r="V826" s="6">
        <v>9</v>
      </c>
    </row>
    <row r="827" spans="20:22" x14ac:dyDescent="0.3">
      <c r="T827" s="4" t="s">
        <v>643</v>
      </c>
      <c r="U827" s="6">
        <v>59805.35</v>
      </c>
      <c r="V827" s="6">
        <v>9</v>
      </c>
    </row>
    <row r="828" spans="20:22" x14ac:dyDescent="0.3">
      <c r="T828" s="4" t="s">
        <v>460</v>
      </c>
      <c r="U828" s="6">
        <v>95913.4</v>
      </c>
      <c r="V828" s="6">
        <v>5.7966513542424725</v>
      </c>
    </row>
    <row r="829" spans="20:22" x14ac:dyDescent="0.3">
      <c r="T829" s="4" t="s">
        <v>1014</v>
      </c>
      <c r="U829" s="6">
        <v>93586.76</v>
      </c>
      <c r="V829" s="6">
        <v>5.4324005874335217</v>
      </c>
    </row>
    <row r="830" spans="20:22" x14ac:dyDescent="0.3">
      <c r="T830" s="4" t="s">
        <v>150</v>
      </c>
      <c r="U830" s="6">
        <v>85417.27</v>
      </c>
      <c r="V830" s="6">
        <v>4.9660862493029798</v>
      </c>
    </row>
    <row r="831" spans="20:22" x14ac:dyDescent="0.3">
      <c r="T831" s="4" t="s">
        <v>962</v>
      </c>
      <c r="U831" s="6">
        <v>24555.69</v>
      </c>
      <c r="V831" s="6">
        <v>9</v>
      </c>
    </row>
    <row r="832" spans="20:22" x14ac:dyDescent="0.3">
      <c r="T832" s="4" t="s">
        <v>177</v>
      </c>
      <c r="U832" s="6">
        <v>50124.39</v>
      </c>
      <c r="V832" s="6">
        <v>9</v>
      </c>
    </row>
    <row r="833" spans="20:22" x14ac:dyDescent="0.3">
      <c r="T833" s="4" t="s">
        <v>671</v>
      </c>
      <c r="U833" s="6">
        <v>58913.37</v>
      </c>
      <c r="V833" s="6">
        <v>7.7926012380551306</v>
      </c>
    </row>
    <row r="834" spans="20:22" x14ac:dyDescent="0.3">
      <c r="T834" s="4" t="s">
        <v>666</v>
      </c>
      <c r="U834" s="6">
        <v>43575.1</v>
      </c>
      <c r="V834" s="6">
        <v>9</v>
      </c>
    </row>
    <row r="835" spans="20:22" x14ac:dyDescent="0.3">
      <c r="T835" s="4" t="s">
        <v>907</v>
      </c>
      <c r="U835" s="6">
        <v>1223.82</v>
      </c>
      <c r="V835" s="6">
        <v>9</v>
      </c>
    </row>
    <row r="836" spans="20:22" x14ac:dyDescent="0.3">
      <c r="T836" s="4" t="s">
        <v>543</v>
      </c>
      <c r="U836" s="6">
        <v>88977.21</v>
      </c>
      <c r="V836" s="6">
        <v>3.454142808029157</v>
      </c>
    </row>
    <row r="837" spans="20:22" x14ac:dyDescent="0.3">
      <c r="T837" s="4" t="s">
        <v>119</v>
      </c>
      <c r="U837" s="6">
        <v>13024.35</v>
      </c>
      <c r="V837" s="6">
        <v>9</v>
      </c>
    </row>
    <row r="838" spans="20:22" x14ac:dyDescent="0.3">
      <c r="T838" s="4" t="s">
        <v>680</v>
      </c>
      <c r="U838" s="6">
        <v>26419.1</v>
      </c>
      <c r="V838" s="6">
        <v>1.4379445174135381</v>
      </c>
    </row>
    <row r="839" spans="20:22" x14ac:dyDescent="0.3">
      <c r="T839" s="4" t="s">
        <v>297</v>
      </c>
      <c r="U839" s="6">
        <v>28984.240000000002</v>
      </c>
      <c r="V839" s="6">
        <v>6.7425121376306567</v>
      </c>
    </row>
    <row r="840" spans="20:22" x14ac:dyDescent="0.3">
      <c r="T840" s="4" t="s">
        <v>192</v>
      </c>
      <c r="U840" s="6">
        <v>61343.199999999997</v>
      </c>
      <c r="V840" s="6">
        <v>9.0000000000000018</v>
      </c>
    </row>
    <row r="841" spans="20:22" x14ac:dyDescent="0.3">
      <c r="T841" s="4" t="s">
        <v>399</v>
      </c>
      <c r="U841" s="6">
        <v>22787.98</v>
      </c>
      <c r="V841" s="6">
        <v>9</v>
      </c>
    </row>
    <row r="842" spans="20:22" x14ac:dyDescent="0.3">
      <c r="T842" s="4" t="s">
        <v>503</v>
      </c>
      <c r="U842" s="6">
        <v>59973.81</v>
      </c>
      <c r="V842" s="6">
        <v>4.24894433086709</v>
      </c>
    </row>
    <row r="843" spans="20:22" x14ac:dyDescent="0.3">
      <c r="T843" s="4" t="s">
        <v>875</v>
      </c>
      <c r="U843" s="6">
        <v>29527.93</v>
      </c>
      <c r="V843" s="6">
        <v>3.8321582312068609</v>
      </c>
    </row>
    <row r="844" spans="20:22" x14ac:dyDescent="0.3">
      <c r="T844" s="4" t="s">
        <v>116</v>
      </c>
      <c r="U844" s="6">
        <v>89003.41</v>
      </c>
      <c r="V844" s="6">
        <v>6.2304843151515197</v>
      </c>
    </row>
    <row r="845" spans="20:22" x14ac:dyDescent="0.3">
      <c r="T845" s="4" t="s">
        <v>636</v>
      </c>
      <c r="U845" s="6">
        <v>22675.22</v>
      </c>
      <c r="V845" s="6">
        <v>9</v>
      </c>
    </row>
    <row r="846" spans="20:22" x14ac:dyDescent="0.3">
      <c r="T846" s="4" t="s">
        <v>295</v>
      </c>
      <c r="U846" s="6">
        <v>78034.3</v>
      </c>
      <c r="V846" s="6">
        <v>8.2131478080792668</v>
      </c>
    </row>
    <row r="847" spans="20:22" x14ac:dyDescent="0.3">
      <c r="T847" s="4" t="s">
        <v>774</v>
      </c>
      <c r="U847" s="6">
        <v>23901.39</v>
      </c>
      <c r="V847" s="6">
        <v>9</v>
      </c>
    </row>
    <row r="848" spans="20:22" x14ac:dyDescent="0.3">
      <c r="T848" s="4" t="s">
        <v>470</v>
      </c>
      <c r="U848" s="6">
        <v>40958.699999999997</v>
      </c>
      <c r="V848" s="6">
        <v>9</v>
      </c>
    </row>
    <row r="849" spans="20:22" x14ac:dyDescent="0.3">
      <c r="T849" s="4" t="s">
        <v>383</v>
      </c>
      <c r="U849" s="6">
        <v>94432.87</v>
      </c>
      <c r="V849" s="6">
        <v>4.5584740779349397</v>
      </c>
    </row>
    <row r="850" spans="20:22" x14ac:dyDescent="0.3">
      <c r="T850" s="4" t="s">
        <v>163</v>
      </c>
      <c r="U850" s="6">
        <v>16420.77</v>
      </c>
      <c r="V850" s="6">
        <v>9.0000000000000018</v>
      </c>
    </row>
    <row r="851" spans="20:22" x14ac:dyDescent="0.3">
      <c r="T851" s="4" t="s">
        <v>409</v>
      </c>
      <c r="U851" s="6">
        <v>1793.79</v>
      </c>
      <c r="V851" s="6">
        <v>9</v>
      </c>
    </row>
    <row r="852" spans="20:22" x14ac:dyDescent="0.3">
      <c r="T852" s="4" t="s">
        <v>545</v>
      </c>
      <c r="U852" s="6">
        <v>9611.89</v>
      </c>
      <c r="V852" s="6">
        <v>9</v>
      </c>
    </row>
    <row r="853" spans="20:22" x14ac:dyDescent="0.3">
      <c r="T853" s="4" t="s">
        <v>113</v>
      </c>
      <c r="U853" s="6">
        <v>43643.99</v>
      </c>
      <c r="V853" s="6">
        <v>9</v>
      </c>
    </row>
    <row r="854" spans="20:22" x14ac:dyDescent="0.3">
      <c r="T854" s="4" t="s">
        <v>746</v>
      </c>
      <c r="U854" s="6">
        <v>2970.45</v>
      </c>
      <c r="V854" s="6">
        <v>9</v>
      </c>
    </row>
    <row r="855" spans="20:22" x14ac:dyDescent="0.3">
      <c r="T855" s="4" t="s">
        <v>928</v>
      </c>
      <c r="U855" s="6">
        <v>56098.87</v>
      </c>
      <c r="V855" s="6">
        <v>9.0000000000000018</v>
      </c>
    </row>
    <row r="856" spans="20:22" x14ac:dyDescent="0.3">
      <c r="T856" s="4" t="s">
        <v>401</v>
      </c>
      <c r="U856" s="6">
        <v>55219.7</v>
      </c>
      <c r="V856" s="6">
        <v>9</v>
      </c>
    </row>
    <row r="857" spans="20:22" x14ac:dyDescent="0.3">
      <c r="T857" s="4" t="s">
        <v>156</v>
      </c>
      <c r="U857" s="6">
        <v>40881.17</v>
      </c>
      <c r="V857" s="6">
        <v>9</v>
      </c>
    </row>
    <row r="858" spans="20:22" x14ac:dyDescent="0.3">
      <c r="T858" s="4" t="s">
        <v>334</v>
      </c>
      <c r="U858" s="6">
        <v>69996.240000000005</v>
      </c>
      <c r="V858" s="6">
        <v>9</v>
      </c>
    </row>
    <row r="859" spans="20:22" x14ac:dyDescent="0.3">
      <c r="T859" s="4" t="s">
        <v>328</v>
      </c>
      <c r="U859" s="6">
        <v>85772.21</v>
      </c>
      <c r="V859" s="6">
        <v>7.8110220081772397</v>
      </c>
    </row>
    <row r="860" spans="20:22" x14ac:dyDescent="0.3">
      <c r="T860" s="4" t="s">
        <v>933</v>
      </c>
      <c r="U860" s="6">
        <v>11441.68</v>
      </c>
      <c r="V860" s="6">
        <v>9</v>
      </c>
    </row>
    <row r="861" spans="20:22" x14ac:dyDescent="0.3">
      <c r="T861" s="4" t="s">
        <v>275</v>
      </c>
      <c r="U861" s="6">
        <v>32997.589999999997</v>
      </c>
      <c r="V861" s="6">
        <v>3.3934835847102778</v>
      </c>
    </row>
    <row r="862" spans="20:22" x14ac:dyDescent="0.3">
      <c r="T862" s="4" t="s">
        <v>506</v>
      </c>
      <c r="U862" s="6">
        <v>6304.42</v>
      </c>
      <c r="V862" s="6">
        <v>9</v>
      </c>
    </row>
    <row r="863" spans="20:22" x14ac:dyDescent="0.3">
      <c r="T863" s="4" t="s">
        <v>650</v>
      </c>
      <c r="U863" s="6">
        <v>20586.89</v>
      </c>
      <c r="V863" s="6">
        <v>9</v>
      </c>
    </row>
    <row r="864" spans="20:22" x14ac:dyDescent="0.3">
      <c r="T864" s="4" t="s">
        <v>672</v>
      </c>
      <c r="U864" s="6">
        <v>63015.1</v>
      </c>
      <c r="V864" s="6">
        <v>4.9654882718586508</v>
      </c>
    </row>
    <row r="865" spans="20:22" x14ac:dyDescent="0.3">
      <c r="T865" s="4" t="s">
        <v>257</v>
      </c>
      <c r="U865" s="6">
        <v>27897.65</v>
      </c>
      <c r="V865" s="6">
        <v>9</v>
      </c>
    </row>
    <row r="866" spans="20:22" x14ac:dyDescent="0.3">
      <c r="T866" s="4" t="s">
        <v>125</v>
      </c>
      <c r="U866" s="6">
        <v>77090.58</v>
      </c>
      <c r="V866" s="6">
        <v>9.0000000000000018</v>
      </c>
    </row>
    <row r="867" spans="20:22" x14ac:dyDescent="0.3">
      <c r="T867" s="4" t="s">
        <v>433</v>
      </c>
      <c r="U867" s="6">
        <v>28468.75</v>
      </c>
      <c r="V867" s="6">
        <v>4.3195837541163558</v>
      </c>
    </row>
    <row r="868" spans="20:22" x14ac:dyDescent="0.3">
      <c r="T868" s="4" t="s">
        <v>782</v>
      </c>
      <c r="U868" s="6">
        <v>26990.81</v>
      </c>
      <c r="V868" s="6">
        <v>7.4629379407287137</v>
      </c>
    </row>
    <row r="869" spans="20:22" x14ac:dyDescent="0.3">
      <c r="T869" s="4" t="s">
        <v>578</v>
      </c>
      <c r="U869" s="6">
        <v>6793.37</v>
      </c>
      <c r="V869" s="6">
        <v>9</v>
      </c>
    </row>
    <row r="870" spans="20:22" x14ac:dyDescent="0.3">
      <c r="T870" s="4" t="s">
        <v>547</v>
      </c>
      <c r="U870" s="6">
        <v>81254.509999999995</v>
      </c>
      <c r="V870" s="6">
        <v>7.4381017127541593</v>
      </c>
    </row>
    <row r="871" spans="20:22" x14ac:dyDescent="0.3">
      <c r="T871" s="4" t="s">
        <v>645</v>
      </c>
      <c r="U871" s="6">
        <v>35082.9</v>
      </c>
      <c r="V871" s="6">
        <v>4.5179480601660638</v>
      </c>
    </row>
    <row r="872" spans="20:22" x14ac:dyDescent="0.3">
      <c r="T872" s="4" t="s">
        <v>1010</v>
      </c>
      <c r="U872" s="6">
        <v>47196.25</v>
      </c>
      <c r="V872" s="6">
        <v>9</v>
      </c>
    </row>
    <row r="873" spans="20:22" x14ac:dyDescent="0.3">
      <c r="T873" s="4" t="s">
        <v>550</v>
      </c>
      <c r="U873" s="6">
        <v>78803.16</v>
      </c>
      <c r="V873" s="6">
        <v>6.1345460004395758</v>
      </c>
    </row>
    <row r="874" spans="20:22" x14ac:dyDescent="0.3">
      <c r="T874" s="4" t="s">
        <v>972</v>
      </c>
      <c r="U874" s="6">
        <v>83667.240000000005</v>
      </c>
      <c r="V874" s="6">
        <v>4.504358695231252</v>
      </c>
    </row>
    <row r="875" spans="20:22" x14ac:dyDescent="0.3">
      <c r="T875" s="4" t="s">
        <v>398</v>
      </c>
      <c r="U875" s="6">
        <v>96955.19</v>
      </c>
      <c r="V875" s="6">
        <v>5.2412084386612001</v>
      </c>
    </row>
    <row r="876" spans="20:22" x14ac:dyDescent="0.3">
      <c r="T876" s="4" t="s">
        <v>197</v>
      </c>
      <c r="U876" s="6">
        <v>62752.63</v>
      </c>
      <c r="V876" s="6">
        <v>3.8987634462491849</v>
      </c>
    </row>
    <row r="877" spans="20:22" x14ac:dyDescent="0.3">
      <c r="T877" s="4" t="s">
        <v>282</v>
      </c>
      <c r="U877" s="6">
        <v>37166.31</v>
      </c>
      <c r="V877" s="6">
        <v>9</v>
      </c>
    </row>
    <row r="878" spans="20:22" x14ac:dyDescent="0.3">
      <c r="T878" s="4" t="s">
        <v>952</v>
      </c>
      <c r="U878" s="6">
        <v>71516.899999999994</v>
      </c>
      <c r="V878" s="6">
        <v>9</v>
      </c>
    </row>
    <row r="879" spans="20:22" x14ac:dyDescent="0.3">
      <c r="T879" s="4" t="s">
        <v>980</v>
      </c>
      <c r="U879" s="6">
        <v>20606.52</v>
      </c>
      <c r="V879" s="6">
        <v>9</v>
      </c>
    </row>
    <row r="880" spans="20:22" x14ac:dyDescent="0.3">
      <c r="T880" s="4" t="s">
        <v>406</v>
      </c>
      <c r="U880" s="6">
        <v>80372.5</v>
      </c>
      <c r="V880" s="6">
        <v>2.2374779930946533</v>
      </c>
    </row>
    <row r="881" spans="20:22" x14ac:dyDescent="0.3">
      <c r="T881" s="4" t="s">
        <v>871</v>
      </c>
      <c r="U881" s="6">
        <v>15390.47</v>
      </c>
      <c r="V881" s="6">
        <v>9</v>
      </c>
    </row>
    <row r="882" spans="20:22" x14ac:dyDescent="0.3">
      <c r="T882" s="4" t="s">
        <v>171</v>
      </c>
      <c r="U882" s="6">
        <v>5197.6099999999997</v>
      </c>
      <c r="V882" s="6">
        <v>9</v>
      </c>
    </row>
    <row r="883" spans="20:22" x14ac:dyDescent="0.3">
      <c r="T883" s="4" t="s">
        <v>674</v>
      </c>
      <c r="U883" s="6">
        <v>78420.98</v>
      </c>
      <c r="V883" s="6">
        <v>8.2225801054768777</v>
      </c>
    </row>
    <row r="884" spans="20:22" x14ac:dyDescent="0.3">
      <c r="T884" s="4" t="s">
        <v>755</v>
      </c>
      <c r="U884" s="6">
        <v>78294.27</v>
      </c>
      <c r="V884" s="6">
        <v>7.2161808265151457</v>
      </c>
    </row>
    <row r="885" spans="20:22" x14ac:dyDescent="0.3">
      <c r="T885" s="4" t="s">
        <v>979</v>
      </c>
      <c r="U885" s="6">
        <v>17051.21</v>
      </c>
      <c r="V885" s="6">
        <v>9</v>
      </c>
    </row>
    <row r="886" spans="20:22" x14ac:dyDescent="0.3">
      <c r="T886" s="4" t="s">
        <v>584</v>
      </c>
      <c r="U886" s="6">
        <v>80418.44</v>
      </c>
      <c r="V886" s="6">
        <v>4.9214893996948961</v>
      </c>
    </row>
    <row r="887" spans="20:22" x14ac:dyDescent="0.3">
      <c r="T887" s="4" t="s">
        <v>966</v>
      </c>
      <c r="U887" s="6">
        <v>44021.7</v>
      </c>
      <c r="V887" s="6">
        <v>5.0982742601944047</v>
      </c>
    </row>
    <row r="888" spans="20:22" x14ac:dyDescent="0.3">
      <c r="T888" s="4" t="s">
        <v>24</v>
      </c>
      <c r="U888" s="6">
        <v>75569.279999999999</v>
      </c>
      <c r="V888" s="6">
        <v>6.3879506328497504</v>
      </c>
    </row>
    <row r="889" spans="20:22" x14ac:dyDescent="0.3">
      <c r="T889" s="4" t="s">
        <v>130</v>
      </c>
      <c r="U889" s="6">
        <v>28460.11</v>
      </c>
      <c r="V889" s="6">
        <v>9</v>
      </c>
    </row>
    <row r="890" spans="20:22" x14ac:dyDescent="0.3">
      <c r="T890" s="4" t="s">
        <v>146</v>
      </c>
      <c r="U890" s="6">
        <v>46635.4</v>
      </c>
      <c r="V890" s="6">
        <v>9</v>
      </c>
    </row>
    <row r="891" spans="20:22" x14ac:dyDescent="0.3">
      <c r="T891" s="4" t="s">
        <v>363</v>
      </c>
      <c r="U891" s="6">
        <v>65932.3</v>
      </c>
      <c r="V891" s="6">
        <v>8.9999999999999982</v>
      </c>
    </row>
    <row r="892" spans="20:22" x14ac:dyDescent="0.3">
      <c r="T892" s="4" t="s">
        <v>922</v>
      </c>
      <c r="U892" s="6">
        <v>26043.99</v>
      </c>
      <c r="V892" s="6">
        <v>9</v>
      </c>
    </row>
    <row r="893" spans="20:22" x14ac:dyDescent="0.3">
      <c r="T893" s="4" t="s">
        <v>348</v>
      </c>
      <c r="U893" s="6">
        <v>85035.31</v>
      </c>
      <c r="V893" s="6">
        <v>5.8669056419033456</v>
      </c>
    </row>
    <row r="894" spans="20:22" x14ac:dyDescent="0.3">
      <c r="T894" s="4" t="s">
        <v>892</v>
      </c>
      <c r="U894" s="6">
        <v>43439.29</v>
      </c>
      <c r="V894" s="6">
        <v>9</v>
      </c>
    </row>
    <row r="895" spans="20:22" x14ac:dyDescent="0.3">
      <c r="T895" s="4" t="s">
        <v>862</v>
      </c>
      <c r="U895" s="6">
        <v>64165.51</v>
      </c>
      <c r="V895" s="6">
        <v>3.5236899075531385</v>
      </c>
    </row>
    <row r="896" spans="20:22" x14ac:dyDescent="0.3">
      <c r="T896" s="4" t="s">
        <v>770</v>
      </c>
      <c r="U896" s="6">
        <v>57934.37</v>
      </c>
      <c r="V896" s="6">
        <v>9</v>
      </c>
    </row>
    <row r="897" spans="20:22" x14ac:dyDescent="0.3">
      <c r="T897" s="4" t="s">
        <v>894</v>
      </c>
      <c r="U897" s="6">
        <v>7795.44</v>
      </c>
      <c r="V897" s="6">
        <v>9</v>
      </c>
    </row>
    <row r="898" spans="20:22" x14ac:dyDescent="0.3">
      <c r="T898" s="4" t="s">
        <v>718</v>
      </c>
      <c r="U898" s="6">
        <v>99343.38</v>
      </c>
      <c r="V898" s="6">
        <v>3.6935036838891531</v>
      </c>
    </row>
    <row r="899" spans="20:22" x14ac:dyDescent="0.3">
      <c r="T899" s="4" t="s">
        <v>834</v>
      </c>
      <c r="U899" s="6">
        <v>5702.93</v>
      </c>
      <c r="V899" s="6">
        <v>9</v>
      </c>
    </row>
    <row r="900" spans="20:22" x14ac:dyDescent="0.3">
      <c r="T900" s="4" t="s">
        <v>1018</v>
      </c>
      <c r="U900" s="6">
        <v>11168.71</v>
      </c>
      <c r="V900" s="6">
        <v>9</v>
      </c>
    </row>
    <row r="901" spans="20:22" x14ac:dyDescent="0.3">
      <c r="T901" s="4" t="s">
        <v>808</v>
      </c>
      <c r="U901" s="6">
        <v>82727.289999999994</v>
      </c>
      <c r="V901" s="6">
        <v>8.7186999598318771</v>
      </c>
    </row>
    <row r="902" spans="20:22" x14ac:dyDescent="0.3">
      <c r="T902" s="4" t="s">
        <v>963</v>
      </c>
      <c r="U902" s="6">
        <v>83793.279999999999</v>
      </c>
      <c r="V902" s="6">
        <v>9</v>
      </c>
    </row>
    <row r="903" spans="20:22" x14ac:dyDescent="0.3">
      <c r="T903" s="4" t="s">
        <v>996</v>
      </c>
      <c r="U903" s="6">
        <v>29206.799999999999</v>
      </c>
      <c r="V903" s="6">
        <v>9</v>
      </c>
    </row>
    <row r="904" spans="20:22" x14ac:dyDescent="0.3">
      <c r="T904" s="4" t="s">
        <v>291</v>
      </c>
      <c r="U904" s="6">
        <v>41022.86</v>
      </c>
      <c r="V904" s="6">
        <v>9</v>
      </c>
    </row>
    <row r="905" spans="20:22" x14ac:dyDescent="0.3">
      <c r="T905" s="4" t="s">
        <v>73</v>
      </c>
      <c r="U905" s="6">
        <v>99957.15</v>
      </c>
      <c r="V905" s="6">
        <v>3.3068278757447565</v>
      </c>
    </row>
    <row r="906" spans="20:22" x14ac:dyDescent="0.3">
      <c r="T906" s="4" t="s">
        <v>867</v>
      </c>
      <c r="U906" s="6">
        <v>40594.89</v>
      </c>
      <c r="V906" s="6">
        <v>6.7184224418393548</v>
      </c>
    </row>
    <row r="907" spans="20:22" x14ac:dyDescent="0.3">
      <c r="T907" s="4" t="s">
        <v>809</v>
      </c>
      <c r="U907" s="6">
        <v>40776.29</v>
      </c>
      <c r="V907" s="6">
        <v>9.0000000000000018</v>
      </c>
    </row>
    <row r="908" spans="20:22" x14ac:dyDescent="0.3">
      <c r="T908" s="4" t="s">
        <v>128</v>
      </c>
      <c r="U908" s="6">
        <v>55105.95</v>
      </c>
      <c r="V908" s="6">
        <v>9</v>
      </c>
    </row>
    <row r="909" spans="20:22" x14ac:dyDescent="0.3">
      <c r="T909" s="4" t="s">
        <v>67</v>
      </c>
      <c r="U909" s="6">
        <v>20328.53</v>
      </c>
      <c r="V909" s="6">
        <v>9</v>
      </c>
    </row>
    <row r="910" spans="20:22" x14ac:dyDescent="0.3">
      <c r="T910" s="4" t="s">
        <v>27</v>
      </c>
      <c r="U910" s="6">
        <v>36800.58</v>
      </c>
      <c r="V910" s="6">
        <v>4.6042991713717552</v>
      </c>
    </row>
    <row r="911" spans="20:22" x14ac:dyDescent="0.3">
      <c r="T911" s="4" t="s">
        <v>606</v>
      </c>
      <c r="U911" s="6">
        <v>29071.82</v>
      </c>
      <c r="V911" s="6">
        <v>6.9215718176570986</v>
      </c>
    </row>
    <row r="912" spans="20:22" x14ac:dyDescent="0.3">
      <c r="T912" s="4" t="s">
        <v>591</v>
      </c>
      <c r="U912" s="6">
        <v>44567.53</v>
      </c>
      <c r="V912" s="6">
        <v>3.7512727315155225</v>
      </c>
    </row>
    <row r="913" spans="20:22" x14ac:dyDescent="0.3">
      <c r="T913" s="4" t="s">
        <v>1003</v>
      </c>
      <c r="U913" s="6">
        <v>93319.78</v>
      </c>
      <c r="V913" s="6">
        <v>6.910911170172068</v>
      </c>
    </row>
    <row r="914" spans="20:22" x14ac:dyDescent="0.3">
      <c r="T914" s="4" t="s">
        <v>791</v>
      </c>
      <c r="U914" s="6">
        <v>61599.99</v>
      </c>
      <c r="V914" s="6">
        <v>5.4275253940787982</v>
      </c>
    </row>
    <row r="915" spans="20:22" x14ac:dyDescent="0.3">
      <c r="T915" s="4" t="s">
        <v>229</v>
      </c>
      <c r="U915" s="6">
        <v>9666.1299999999992</v>
      </c>
      <c r="V915" s="6">
        <v>4.4871929096753309</v>
      </c>
    </row>
    <row r="916" spans="20:22" x14ac:dyDescent="0.3">
      <c r="T916" s="4" t="s">
        <v>499</v>
      </c>
      <c r="U916" s="6">
        <v>64733</v>
      </c>
      <c r="V916" s="6">
        <v>9</v>
      </c>
    </row>
    <row r="917" spans="20:22" x14ac:dyDescent="0.3">
      <c r="T917" s="4" t="s">
        <v>558</v>
      </c>
      <c r="U917" s="6">
        <v>78873.149999999994</v>
      </c>
      <c r="V917" s="6">
        <v>2.6450323082062783</v>
      </c>
    </row>
    <row r="918" spans="20:22" x14ac:dyDescent="0.3">
      <c r="T918" s="4" t="s">
        <v>560</v>
      </c>
      <c r="U918" s="6">
        <v>37360.800000000003</v>
      </c>
      <c r="V918" s="6">
        <v>9</v>
      </c>
    </row>
    <row r="919" spans="20:22" x14ac:dyDescent="0.3">
      <c r="T919" s="4" t="s">
        <v>874</v>
      </c>
      <c r="U919" s="6">
        <v>30382.560000000001</v>
      </c>
      <c r="V919" s="6">
        <v>9</v>
      </c>
    </row>
    <row r="920" spans="20:22" x14ac:dyDescent="0.3">
      <c r="T920" s="4" t="s">
        <v>895</v>
      </c>
      <c r="U920" s="6">
        <v>93728.56</v>
      </c>
      <c r="V920" s="6">
        <v>2.9652835805863229</v>
      </c>
    </row>
    <row r="921" spans="20:22" x14ac:dyDescent="0.3">
      <c r="T921" s="4" t="s">
        <v>471</v>
      </c>
      <c r="U921" s="6">
        <v>21009.79</v>
      </c>
      <c r="V921" s="6">
        <v>9</v>
      </c>
    </row>
    <row r="922" spans="20:22" x14ac:dyDescent="0.3">
      <c r="T922" s="4" t="s">
        <v>931</v>
      </c>
      <c r="U922" s="6">
        <v>83088.320000000007</v>
      </c>
      <c r="V922" s="6">
        <v>5.7949368816218687</v>
      </c>
    </row>
    <row r="923" spans="20:22" x14ac:dyDescent="0.3">
      <c r="T923" s="4" t="s">
        <v>853</v>
      </c>
      <c r="U923" s="6">
        <v>24546.35</v>
      </c>
      <c r="V923" s="6">
        <v>9</v>
      </c>
    </row>
    <row r="924" spans="20:22" x14ac:dyDescent="0.3">
      <c r="T924" s="4" t="s">
        <v>961</v>
      </c>
      <c r="U924" s="6">
        <v>50036.800000000003</v>
      </c>
      <c r="V924" s="6">
        <v>9</v>
      </c>
    </row>
    <row r="925" spans="20:22" x14ac:dyDescent="0.3">
      <c r="T925" s="4" t="s">
        <v>801</v>
      </c>
      <c r="U925" s="6">
        <v>40761.620000000003</v>
      </c>
      <c r="V925" s="6">
        <v>9</v>
      </c>
    </row>
    <row r="926" spans="20:22" x14ac:dyDescent="0.3">
      <c r="T926" s="4" t="s">
        <v>392</v>
      </c>
      <c r="U926" s="6">
        <v>53658.92</v>
      </c>
      <c r="V926" s="6">
        <v>9</v>
      </c>
    </row>
    <row r="927" spans="20:22" x14ac:dyDescent="0.3">
      <c r="T927" s="4" t="s">
        <v>339</v>
      </c>
      <c r="U927" s="6">
        <v>24501.77</v>
      </c>
      <c r="V927" s="6">
        <v>9</v>
      </c>
    </row>
    <row r="928" spans="20:22" x14ac:dyDescent="0.3">
      <c r="T928" s="4" t="s">
        <v>106</v>
      </c>
      <c r="U928" s="6">
        <v>15463.29</v>
      </c>
      <c r="V928" s="6">
        <v>9</v>
      </c>
    </row>
    <row r="929" spans="20:22" x14ac:dyDescent="0.3">
      <c r="T929" s="4" t="s">
        <v>151</v>
      </c>
      <c r="U929" s="6">
        <v>44082.14</v>
      </c>
      <c r="V929" s="6">
        <v>9</v>
      </c>
    </row>
    <row r="930" spans="20:22" x14ac:dyDescent="0.3">
      <c r="T930" s="4" t="s">
        <v>705</v>
      </c>
      <c r="U930" s="6">
        <v>77036.39</v>
      </c>
      <c r="V930" s="6">
        <v>2.2526552710998011</v>
      </c>
    </row>
    <row r="931" spans="20:22" x14ac:dyDescent="0.3">
      <c r="T931" s="4" t="s">
        <v>204</v>
      </c>
      <c r="U931" s="6">
        <v>98706.34</v>
      </c>
      <c r="V931" s="6">
        <v>4.0620699744312274</v>
      </c>
    </row>
    <row r="932" spans="20:22" x14ac:dyDescent="0.3">
      <c r="T932" s="4" t="s">
        <v>331</v>
      </c>
      <c r="U932" s="6">
        <v>34658.910000000003</v>
      </c>
      <c r="V932" s="6">
        <v>9</v>
      </c>
    </row>
    <row r="933" spans="20:22" x14ac:dyDescent="0.3">
      <c r="T933" s="4" t="s">
        <v>261</v>
      </c>
      <c r="U933" s="6">
        <v>1580.69</v>
      </c>
      <c r="V933" s="6">
        <v>9</v>
      </c>
    </row>
    <row r="934" spans="20:22" x14ac:dyDescent="0.3">
      <c r="T934" s="4" t="s">
        <v>364</v>
      </c>
      <c r="U934" s="6">
        <v>2939.44</v>
      </c>
      <c r="V934" s="6">
        <v>9</v>
      </c>
    </row>
    <row r="935" spans="20:22" x14ac:dyDescent="0.3">
      <c r="T935" s="4" t="s">
        <v>316</v>
      </c>
      <c r="U935" s="6">
        <v>60705.69</v>
      </c>
      <c r="V935" s="6">
        <v>8.4745705056642944</v>
      </c>
    </row>
    <row r="936" spans="20:22" x14ac:dyDescent="0.3">
      <c r="T936" s="4" t="s">
        <v>74</v>
      </c>
      <c r="U936" s="6">
        <v>27675.42</v>
      </c>
      <c r="V936" s="6">
        <v>9</v>
      </c>
    </row>
    <row r="937" spans="20:22" x14ac:dyDescent="0.3">
      <c r="T937" s="4" t="s">
        <v>992</v>
      </c>
      <c r="U937" s="6">
        <v>88113.95</v>
      </c>
      <c r="V937" s="6">
        <v>4.9951250624901053</v>
      </c>
    </row>
    <row r="938" spans="20:22" x14ac:dyDescent="0.3">
      <c r="T938" s="4" t="s">
        <v>145</v>
      </c>
      <c r="U938" s="6">
        <v>81853.53</v>
      </c>
      <c r="V938" s="6">
        <v>9</v>
      </c>
    </row>
    <row r="939" spans="20:22" x14ac:dyDescent="0.3">
      <c r="T939" s="4" t="s">
        <v>911</v>
      </c>
      <c r="U939" s="6">
        <v>80963.14</v>
      </c>
      <c r="V939" s="6">
        <v>5.4323009211352229</v>
      </c>
    </row>
    <row r="940" spans="20:22" x14ac:dyDescent="0.3">
      <c r="T940" s="4" t="s">
        <v>970</v>
      </c>
      <c r="U940" s="6">
        <v>4675.43</v>
      </c>
      <c r="V940" s="6">
        <v>9</v>
      </c>
    </row>
    <row r="941" spans="20:22" x14ac:dyDescent="0.3">
      <c r="T941" s="4" t="s">
        <v>974</v>
      </c>
      <c r="U941" s="6">
        <v>68203.64</v>
      </c>
      <c r="V941" s="6">
        <v>9</v>
      </c>
    </row>
    <row r="942" spans="20:22" x14ac:dyDescent="0.3">
      <c r="T942" s="4" t="s">
        <v>758</v>
      </c>
      <c r="U942" s="6">
        <v>87595.32</v>
      </c>
      <c r="V942" s="6">
        <v>1.2235425362907515</v>
      </c>
    </row>
    <row r="943" spans="20:22" x14ac:dyDescent="0.3">
      <c r="T943" s="4" t="s">
        <v>793</v>
      </c>
      <c r="U943" s="6">
        <v>36063.47</v>
      </c>
      <c r="V943" s="6">
        <v>9</v>
      </c>
    </row>
    <row r="944" spans="20:22" x14ac:dyDescent="0.3">
      <c r="T944" s="4" t="s">
        <v>760</v>
      </c>
      <c r="U944" s="6">
        <v>25100.93</v>
      </c>
      <c r="V944" s="6">
        <v>9</v>
      </c>
    </row>
    <row r="945" spans="20:22" x14ac:dyDescent="0.3">
      <c r="T945" s="4" t="s">
        <v>375</v>
      </c>
      <c r="U945" s="6">
        <v>35717.61</v>
      </c>
      <c r="V945" s="6">
        <v>3.0902218821472101</v>
      </c>
    </row>
    <row r="946" spans="20:22" x14ac:dyDescent="0.3">
      <c r="T946" s="4" t="s">
        <v>535</v>
      </c>
      <c r="U946" s="6">
        <v>84482.9</v>
      </c>
      <c r="V946" s="6">
        <v>2.1784975421061543</v>
      </c>
    </row>
    <row r="947" spans="20:22" x14ac:dyDescent="0.3">
      <c r="T947" s="4" t="s">
        <v>544</v>
      </c>
      <c r="U947" s="6">
        <v>41408.949999999997</v>
      </c>
      <c r="V947" s="6">
        <v>2.8210072943168085</v>
      </c>
    </row>
    <row r="948" spans="20:22" x14ac:dyDescent="0.3">
      <c r="T948" s="4" t="s">
        <v>1011</v>
      </c>
      <c r="U948" s="6">
        <v>4072.67</v>
      </c>
      <c r="V948" s="6">
        <v>0.87506967173868733</v>
      </c>
    </row>
    <row r="949" spans="20:22" x14ac:dyDescent="0.3">
      <c r="T949" s="4" t="s">
        <v>58</v>
      </c>
      <c r="U949" s="6">
        <v>1309.17</v>
      </c>
      <c r="V949" s="6">
        <v>9</v>
      </c>
    </row>
    <row r="950" spans="20:22" x14ac:dyDescent="0.3">
      <c r="T950" s="4" t="s">
        <v>750</v>
      </c>
      <c r="U950" s="6">
        <v>76029.539999999994</v>
      </c>
      <c r="V950" s="6">
        <v>2.5181325574243911</v>
      </c>
    </row>
    <row r="951" spans="20:22" x14ac:dyDescent="0.3">
      <c r="T951" s="4" t="s">
        <v>438</v>
      </c>
      <c r="U951" s="6">
        <v>68514.740000000005</v>
      </c>
      <c r="V951" s="6">
        <v>0.79620064237272148</v>
      </c>
    </row>
    <row r="952" spans="20:22" x14ac:dyDescent="0.3">
      <c r="T952" s="4" t="s">
        <v>56</v>
      </c>
      <c r="U952" s="6">
        <v>9147.7900000000009</v>
      </c>
      <c r="V952" s="6">
        <v>3.5966238840200742</v>
      </c>
    </row>
    <row r="953" spans="20:22" x14ac:dyDescent="0.3">
      <c r="T953" s="4" t="s">
        <v>806</v>
      </c>
      <c r="U953" s="6">
        <v>88865.19</v>
      </c>
      <c r="V953" s="6">
        <v>3.2691399185665388</v>
      </c>
    </row>
    <row r="954" spans="20:22" x14ac:dyDescent="0.3">
      <c r="T954" s="4" t="s">
        <v>465</v>
      </c>
      <c r="U954" s="6">
        <v>84055.7</v>
      </c>
      <c r="V954" s="6">
        <v>2.6010913001735751</v>
      </c>
    </row>
    <row r="955" spans="20:22" x14ac:dyDescent="0.3">
      <c r="T955" s="4" t="s">
        <v>474</v>
      </c>
      <c r="U955" s="6">
        <v>55436.7</v>
      </c>
      <c r="V955" s="6">
        <v>9</v>
      </c>
    </row>
    <row r="956" spans="20:22" x14ac:dyDescent="0.3">
      <c r="T956" s="4" t="s">
        <v>1004</v>
      </c>
      <c r="U956" s="6">
        <v>25534.3</v>
      </c>
      <c r="V956" s="6">
        <v>4.5517069197119175</v>
      </c>
    </row>
    <row r="957" spans="20:22" x14ac:dyDescent="0.3">
      <c r="T957" s="4" t="s">
        <v>1025</v>
      </c>
      <c r="U957" s="6">
        <v>44911354.25000003</v>
      </c>
      <c r="V957" s="6">
        <v>6632.9001697270551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A58E-A216-4063-B2AB-6C2520BA0D9B}">
  <dimension ref="A1"/>
  <sheetViews>
    <sheetView tabSelected="1" zoomScale="79" workbookViewId="0">
      <selection activeCell="AA13" sqref="AA13"/>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3149B-7079-4A0C-B795-2AA8ABCDD61B}">
  <dimension ref="A1:O1001"/>
  <sheetViews>
    <sheetView topLeftCell="I1" zoomScale="133" workbookViewId="0">
      <selection activeCell="P10" sqref="P10"/>
    </sheetView>
  </sheetViews>
  <sheetFormatPr defaultRowHeight="14.4" x14ac:dyDescent="0.3"/>
  <cols>
    <col min="1" max="1" width="15.88671875" customWidth="1"/>
    <col min="2" max="2" width="10.6640625" style="1" customWidth="1"/>
    <col min="3" max="3" width="10.33203125" style="1" bestFit="1" customWidth="1"/>
    <col min="5" max="5" width="9.77734375" customWidth="1"/>
    <col min="7" max="7" width="15.77734375" customWidth="1"/>
    <col min="9" max="9" width="15.6640625" customWidth="1"/>
    <col min="10" max="10" width="9" customWidth="1"/>
    <col min="12" max="12" width="17.6640625" style="2" bestFit="1" customWidth="1"/>
    <col min="13" max="13" width="14" style="2" bestFit="1" customWidth="1"/>
    <col min="14" max="14" width="12.6640625" bestFit="1" customWidth="1"/>
    <col min="15" max="15" width="16.109375" style="2" bestFit="1" customWidth="1"/>
  </cols>
  <sheetData>
    <row r="1" spans="1:15" x14ac:dyDescent="0.3">
      <c r="A1" t="s">
        <v>0</v>
      </c>
      <c r="B1" s="1" t="s">
        <v>1</v>
      </c>
      <c r="C1" s="1" t="s">
        <v>2</v>
      </c>
      <c r="D1" t="s">
        <v>3</v>
      </c>
      <c r="E1" t="s">
        <v>4</v>
      </c>
      <c r="F1" t="s">
        <v>5</v>
      </c>
      <c r="G1" t="s">
        <v>6</v>
      </c>
      <c r="H1" t="s">
        <v>7</v>
      </c>
      <c r="I1" t="s">
        <v>8</v>
      </c>
      <c r="J1" t="s">
        <v>9</v>
      </c>
      <c r="K1" t="s">
        <v>1019</v>
      </c>
      <c r="L1" s="2" t="s">
        <v>1020</v>
      </c>
      <c r="M1" s="2" t="s">
        <v>1021</v>
      </c>
      <c r="N1" t="s">
        <v>1022</v>
      </c>
      <c r="O1" s="2" t="s">
        <v>1023</v>
      </c>
    </row>
    <row r="2" spans="1:15" x14ac:dyDescent="0.3">
      <c r="A2" t="s">
        <v>10</v>
      </c>
      <c r="B2" s="1">
        <v>45017</v>
      </c>
      <c r="C2" s="1">
        <v>45345</v>
      </c>
      <c r="D2">
        <v>8082.3</v>
      </c>
      <c r="E2" s="2">
        <f>(Table2[[#This Row],[revenue]]-Table2[[#This Row],[budget]])/Table2[[#This Row],[budget]]</f>
        <v>86.795983816487876</v>
      </c>
      <c r="F2" t="s">
        <v>11</v>
      </c>
      <c r="G2" t="s">
        <v>12</v>
      </c>
      <c r="H2" t="s">
        <v>13</v>
      </c>
      <c r="I2">
        <v>0.4</v>
      </c>
      <c r="J2">
        <v>709593.48</v>
      </c>
      <c r="K2">
        <f>Table2[[#This Row],[revenue]]/Table2[[#This Row],[budget]]</f>
        <v>87.795983816487876</v>
      </c>
      <c r="L2" s="2">
        <f t="shared" ref="L2:L65" si="0">MIN(MAX(J2, D2*0.5), D2*10)</f>
        <v>80823</v>
      </c>
      <c r="M2" s="2">
        <f>(Table2[[#This Row],[Adjusted revenue]]-Table2[[#This Row],[budget]])/Table2[[#This Row],[budget]]</f>
        <v>9</v>
      </c>
      <c r="N2" t="str">
        <f t="shared" ref="N2:N65" si="1">IF(M2&lt;0.5,"Failed",IF(M2&gt;10,"Suspicious","OK"))</f>
        <v>OK</v>
      </c>
      <c r="O2" s="2">
        <f t="shared" ref="O2:O65" si="2">((M2 - (-0.5)) / (9 - (-0.5))) * (1 - (-1)) + (-1)</f>
        <v>1</v>
      </c>
    </row>
    <row r="3" spans="1:15" x14ac:dyDescent="0.3">
      <c r="A3" t="s">
        <v>14</v>
      </c>
      <c r="B3" s="1">
        <v>44972</v>
      </c>
      <c r="C3" s="1">
        <v>45404</v>
      </c>
      <c r="D3">
        <v>17712.98</v>
      </c>
      <c r="E3" s="2">
        <f>(Table2[[#This Row],[revenue]]-Table2[[#This Row],[budget]])/Table2[[#This Row],[budget]]</f>
        <v>28.165566719998555</v>
      </c>
      <c r="F3" t="s">
        <v>11</v>
      </c>
      <c r="G3" t="s">
        <v>15</v>
      </c>
      <c r="H3" t="s">
        <v>16</v>
      </c>
      <c r="I3">
        <v>0.66</v>
      </c>
      <c r="J3">
        <v>516609.1</v>
      </c>
      <c r="K3">
        <f>Table2[[#This Row],[revenue]]/Table2[[#This Row],[budget]]</f>
        <v>29.165566719998555</v>
      </c>
      <c r="L3" s="2">
        <f t="shared" si="0"/>
        <v>177129.8</v>
      </c>
      <c r="M3" s="2">
        <f>(Table2[[#This Row],[Adjusted revenue]]-Table2[[#This Row],[budget]])/Table2[[#This Row],[budget]]</f>
        <v>8.9999999999999982</v>
      </c>
      <c r="N3" t="str">
        <f t="shared" si="1"/>
        <v>OK</v>
      </c>
      <c r="O3" s="2">
        <f t="shared" si="2"/>
        <v>0.99999999999999956</v>
      </c>
    </row>
    <row r="4" spans="1:15" x14ac:dyDescent="0.3">
      <c r="A4" t="s">
        <v>17</v>
      </c>
      <c r="B4" s="1">
        <v>44915</v>
      </c>
      <c r="C4" s="1">
        <v>45210</v>
      </c>
      <c r="D4">
        <v>84643.1</v>
      </c>
      <c r="E4" s="2">
        <f>(Table2[[#This Row],[revenue]]-Table2[[#This Row],[budget]])/Table2[[#This Row],[budget]]</f>
        <v>4.4136417498886491</v>
      </c>
      <c r="F4" t="s">
        <v>18</v>
      </c>
      <c r="G4" t="s">
        <v>12</v>
      </c>
      <c r="H4" t="s">
        <v>19</v>
      </c>
      <c r="I4">
        <v>0.28000000000000003</v>
      </c>
      <c r="J4">
        <v>458227.42</v>
      </c>
      <c r="K4">
        <f>Table2[[#This Row],[revenue]]/Table2[[#This Row],[budget]]</f>
        <v>5.4136417498886491</v>
      </c>
      <c r="L4" s="2">
        <f t="shared" si="0"/>
        <v>458227.42</v>
      </c>
      <c r="M4" s="2">
        <f>(Table2[[#This Row],[Adjusted revenue]]-Table2[[#This Row],[budget]])/Table2[[#This Row],[budget]]</f>
        <v>4.4136417498886491</v>
      </c>
      <c r="N4" t="str">
        <f t="shared" si="1"/>
        <v>OK</v>
      </c>
      <c r="O4" s="2">
        <f t="shared" si="2"/>
        <v>3.4450894713399904E-2</v>
      </c>
    </row>
    <row r="5" spans="1:15" x14ac:dyDescent="0.3">
      <c r="A5" t="s">
        <v>20</v>
      </c>
      <c r="B5" s="1">
        <v>44830</v>
      </c>
      <c r="C5" s="1">
        <v>45196</v>
      </c>
      <c r="D5">
        <v>14589.75</v>
      </c>
      <c r="E5" s="2">
        <f>(Table2[[#This Row],[revenue]]-Table2[[#This Row],[budget]])/Table2[[#This Row],[budget]]</f>
        <v>5.1658856388903169</v>
      </c>
      <c r="F5" t="s">
        <v>21</v>
      </c>
      <c r="G5" t="s">
        <v>12</v>
      </c>
      <c r="H5" t="s">
        <v>13</v>
      </c>
      <c r="I5">
        <v>0.19</v>
      </c>
      <c r="J5">
        <v>89958.73</v>
      </c>
      <c r="K5">
        <f>Table2[[#This Row],[revenue]]/Table2[[#This Row],[budget]]</f>
        <v>6.1658856388903169</v>
      </c>
      <c r="L5" s="2">
        <f t="shared" si="0"/>
        <v>89958.73</v>
      </c>
      <c r="M5" s="2">
        <f>(Table2[[#This Row],[Adjusted revenue]]-Table2[[#This Row],[budget]])/Table2[[#This Row],[budget]]</f>
        <v>5.1658856388903169</v>
      </c>
      <c r="N5" t="str">
        <f t="shared" si="1"/>
        <v>OK</v>
      </c>
      <c r="O5" s="2">
        <f t="shared" si="2"/>
        <v>0.19281802924006675</v>
      </c>
    </row>
    <row r="6" spans="1:15" x14ac:dyDescent="0.3">
      <c r="A6" t="s">
        <v>22</v>
      </c>
      <c r="B6" s="1">
        <v>45114</v>
      </c>
      <c r="C6" s="1">
        <v>45427</v>
      </c>
      <c r="D6">
        <v>39291.9</v>
      </c>
      <c r="E6" s="2">
        <f>(Table2[[#This Row],[revenue]]-Table2[[#This Row],[budget]])/Table2[[#This Row],[budget]]</f>
        <v>0.20918942581040867</v>
      </c>
      <c r="F6" t="s">
        <v>23</v>
      </c>
      <c r="G6" t="s">
        <v>12</v>
      </c>
      <c r="H6" t="s">
        <v>16</v>
      </c>
      <c r="I6">
        <v>0.81</v>
      </c>
      <c r="J6">
        <v>47511.35</v>
      </c>
      <c r="K6">
        <f>Table2[[#This Row],[revenue]]/Table2[[#This Row],[budget]]</f>
        <v>1.2091894258104088</v>
      </c>
      <c r="L6" s="2">
        <f t="shared" si="0"/>
        <v>47511.35</v>
      </c>
      <c r="M6" s="2">
        <f>(Table2[[#This Row],[Adjusted revenue]]-Table2[[#This Row],[budget]])/Table2[[#This Row],[budget]]</f>
        <v>0.20918942581040867</v>
      </c>
      <c r="N6" t="str">
        <f t="shared" si="1"/>
        <v>Failed</v>
      </c>
      <c r="O6" s="2">
        <f t="shared" si="2"/>
        <v>-0.85069696298728237</v>
      </c>
    </row>
    <row r="7" spans="1:15" x14ac:dyDescent="0.3">
      <c r="A7" t="s">
        <v>24</v>
      </c>
      <c r="B7" s="1">
        <v>45106</v>
      </c>
      <c r="C7" s="1">
        <v>45273</v>
      </c>
      <c r="D7">
        <v>75569.279999999999</v>
      </c>
      <c r="E7" s="2">
        <f>(Table2[[#This Row],[revenue]]-Table2[[#This Row],[budget]])/Table2[[#This Row],[budget]]</f>
        <v>6.3879506328497504</v>
      </c>
      <c r="F7" t="s">
        <v>23</v>
      </c>
      <c r="G7" t="s">
        <v>15</v>
      </c>
      <c r="H7" t="s">
        <v>25</v>
      </c>
      <c r="I7">
        <v>0.67</v>
      </c>
      <c r="J7">
        <v>558302.11</v>
      </c>
      <c r="K7">
        <f>Table2[[#This Row],[revenue]]/Table2[[#This Row],[budget]]</f>
        <v>7.3879506328497504</v>
      </c>
      <c r="L7" s="2">
        <f t="shared" si="0"/>
        <v>558302.11</v>
      </c>
      <c r="M7" s="2">
        <f>(Table2[[#This Row],[Adjusted revenue]]-Table2[[#This Row],[budget]])/Table2[[#This Row],[budget]]</f>
        <v>6.3879506328497504</v>
      </c>
      <c r="N7" t="str">
        <f t="shared" si="1"/>
        <v>OK</v>
      </c>
      <c r="O7" s="2">
        <f t="shared" si="2"/>
        <v>0.45009487007363158</v>
      </c>
    </row>
    <row r="8" spans="1:15" x14ac:dyDescent="0.3">
      <c r="A8" t="s">
        <v>26</v>
      </c>
      <c r="B8" s="1">
        <v>44986</v>
      </c>
      <c r="C8" s="1">
        <v>45345</v>
      </c>
      <c r="D8">
        <v>28964.45</v>
      </c>
      <c r="E8" s="2">
        <f>(Table2[[#This Row],[revenue]]-Table2[[#This Row],[budget]])/Table2[[#This Row],[budget]]</f>
        <v>4.9687855284667926</v>
      </c>
      <c r="F8" t="s">
        <v>11</v>
      </c>
      <c r="G8" t="s">
        <v>15</v>
      </c>
      <c r="H8" t="s">
        <v>25</v>
      </c>
      <c r="I8">
        <v>0.17</v>
      </c>
      <c r="J8">
        <v>172882.59</v>
      </c>
      <c r="K8">
        <f>Table2[[#This Row],[revenue]]/Table2[[#This Row],[budget]]</f>
        <v>5.9687855284667926</v>
      </c>
      <c r="L8" s="2">
        <f t="shared" si="0"/>
        <v>172882.59</v>
      </c>
      <c r="M8" s="2">
        <f>(Table2[[#This Row],[Adjusted revenue]]-Table2[[#This Row],[budget]])/Table2[[#This Row],[budget]]</f>
        <v>4.9687855284667926</v>
      </c>
      <c r="N8" t="str">
        <f t="shared" si="1"/>
        <v>OK</v>
      </c>
      <c r="O8" s="2">
        <f t="shared" si="2"/>
        <v>0.15132326915090366</v>
      </c>
    </row>
    <row r="9" spans="1:15" x14ac:dyDescent="0.3">
      <c r="A9" t="s">
        <v>27</v>
      </c>
      <c r="B9" s="1">
        <v>44932</v>
      </c>
      <c r="C9" s="1">
        <v>45271</v>
      </c>
      <c r="D9">
        <v>36800.58</v>
      </c>
      <c r="E9" s="2">
        <f>(Table2[[#This Row],[revenue]]-Table2[[#This Row],[budget]])/Table2[[#This Row],[budget]]</f>
        <v>4.6042991713717552</v>
      </c>
      <c r="F9" t="s">
        <v>21</v>
      </c>
      <c r="G9" t="s">
        <v>15</v>
      </c>
      <c r="H9" t="s">
        <v>16</v>
      </c>
      <c r="I9">
        <v>0.52</v>
      </c>
      <c r="J9">
        <v>206241.46</v>
      </c>
      <c r="K9">
        <f>Table2[[#This Row],[revenue]]/Table2[[#This Row],[budget]]</f>
        <v>5.6042991713717552</v>
      </c>
      <c r="L9" s="2">
        <f t="shared" si="0"/>
        <v>206241.46</v>
      </c>
      <c r="M9" s="2">
        <f>(Table2[[#This Row],[Adjusted revenue]]-Table2[[#This Row],[budget]])/Table2[[#This Row],[budget]]</f>
        <v>4.6042991713717552</v>
      </c>
      <c r="N9" t="str">
        <f t="shared" si="1"/>
        <v>OK</v>
      </c>
      <c r="O9" s="2">
        <f t="shared" si="2"/>
        <v>7.4589299236158979E-2</v>
      </c>
    </row>
    <row r="10" spans="1:15" x14ac:dyDescent="0.3">
      <c r="A10" t="s">
        <v>28</v>
      </c>
      <c r="B10" s="1">
        <v>44810</v>
      </c>
      <c r="C10" s="1">
        <v>45302</v>
      </c>
      <c r="D10">
        <v>40493.879999999997</v>
      </c>
      <c r="E10" s="2">
        <f>(Table2[[#This Row],[revenue]]-Table2[[#This Row],[budget]])/Table2[[#This Row],[budget]]</f>
        <v>17.144859420732221</v>
      </c>
      <c r="F10" t="s">
        <v>21</v>
      </c>
      <c r="G10" t="s">
        <v>15</v>
      </c>
      <c r="H10" t="s">
        <v>13</v>
      </c>
      <c r="I10">
        <v>0.47</v>
      </c>
      <c r="J10">
        <v>734755.76</v>
      </c>
      <c r="K10">
        <f>Table2[[#This Row],[revenue]]/Table2[[#This Row],[budget]]</f>
        <v>18.144859420732221</v>
      </c>
      <c r="L10" s="2">
        <f t="shared" si="0"/>
        <v>404938.8</v>
      </c>
      <c r="M10" s="2">
        <f>(Table2[[#This Row],[Adjusted revenue]]-Table2[[#This Row],[budget]])/Table2[[#This Row],[budget]]</f>
        <v>9</v>
      </c>
      <c r="N10" t="str">
        <f t="shared" si="1"/>
        <v>OK</v>
      </c>
      <c r="O10" s="2">
        <f t="shared" si="2"/>
        <v>1</v>
      </c>
    </row>
    <row r="11" spans="1:15" x14ac:dyDescent="0.3">
      <c r="A11" t="s">
        <v>29</v>
      </c>
      <c r="B11" s="1">
        <v>44890</v>
      </c>
      <c r="C11" s="1">
        <v>45386</v>
      </c>
      <c r="D11">
        <v>1816.22</v>
      </c>
      <c r="E11" s="2">
        <f>(Table2[[#This Row],[revenue]]-Table2[[#This Row],[budget]])/Table2[[#This Row],[budget]]</f>
        <v>309.13880477034724</v>
      </c>
      <c r="F11" t="s">
        <v>23</v>
      </c>
      <c r="G11" t="s">
        <v>15</v>
      </c>
      <c r="H11" t="s">
        <v>25</v>
      </c>
      <c r="I11">
        <v>0.85</v>
      </c>
      <c r="J11">
        <v>563280.30000000005</v>
      </c>
      <c r="K11">
        <f>Table2[[#This Row],[revenue]]/Table2[[#This Row],[budget]]</f>
        <v>310.13880477034724</v>
      </c>
      <c r="L11" s="2">
        <f t="shared" si="0"/>
        <v>18162.2</v>
      </c>
      <c r="M11" s="2">
        <f>(Table2[[#This Row],[Adjusted revenue]]-Table2[[#This Row],[budget]])/Table2[[#This Row],[budget]]</f>
        <v>9</v>
      </c>
      <c r="N11" t="str">
        <f t="shared" si="1"/>
        <v>OK</v>
      </c>
      <c r="O11" s="2">
        <f t="shared" si="2"/>
        <v>1</v>
      </c>
    </row>
    <row r="12" spans="1:15" x14ac:dyDescent="0.3">
      <c r="A12" t="s">
        <v>30</v>
      </c>
      <c r="B12" s="1">
        <v>45092</v>
      </c>
      <c r="C12" s="1">
        <v>45458</v>
      </c>
      <c r="D12">
        <v>94084.21</v>
      </c>
      <c r="E12" s="2">
        <f>(Table2[[#This Row],[revenue]]-Table2[[#This Row],[budget]])/Table2[[#This Row],[budget]]</f>
        <v>3.3208394904947385</v>
      </c>
      <c r="F12" t="s">
        <v>18</v>
      </c>
      <c r="G12" t="s">
        <v>12</v>
      </c>
      <c r="H12" t="s">
        <v>25</v>
      </c>
      <c r="I12">
        <v>0.23</v>
      </c>
      <c r="J12">
        <v>406522.77</v>
      </c>
      <c r="K12">
        <f>Table2[[#This Row],[revenue]]/Table2[[#This Row],[budget]]</f>
        <v>4.3208394904947385</v>
      </c>
      <c r="L12" s="2">
        <f t="shared" si="0"/>
        <v>406522.77</v>
      </c>
      <c r="M12" s="2">
        <f>(Table2[[#This Row],[Adjusted revenue]]-Table2[[#This Row],[budget]])/Table2[[#This Row],[budget]]</f>
        <v>3.3208394904947385</v>
      </c>
      <c r="N12" t="str">
        <f t="shared" si="1"/>
        <v>OK</v>
      </c>
      <c r="O12" s="2">
        <f t="shared" si="2"/>
        <v>-0.19561273884321295</v>
      </c>
    </row>
    <row r="13" spans="1:15" x14ac:dyDescent="0.3">
      <c r="A13" t="s">
        <v>31</v>
      </c>
      <c r="B13" s="1">
        <v>45128</v>
      </c>
      <c r="C13" s="1">
        <v>45234</v>
      </c>
      <c r="D13">
        <v>64041.37</v>
      </c>
      <c r="E13" s="2">
        <f>(Table2[[#This Row],[revenue]]-Table2[[#This Row],[budget]])/Table2[[#This Row],[budget]]</f>
        <v>1.7242151440545386</v>
      </c>
      <c r="F13" t="s">
        <v>23</v>
      </c>
      <c r="G13" t="s">
        <v>12</v>
      </c>
      <c r="H13" t="s">
        <v>16</v>
      </c>
      <c r="I13">
        <v>0.55000000000000004</v>
      </c>
      <c r="J13">
        <v>174462.47</v>
      </c>
      <c r="K13">
        <f>Table2[[#This Row],[revenue]]/Table2[[#This Row],[budget]]</f>
        <v>2.7242151440545386</v>
      </c>
      <c r="L13" s="2">
        <f t="shared" si="0"/>
        <v>174462.47</v>
      </c>
      <c r="M13" s="2">
        <f>(Table2[[#This Row],[Adjusted revenue]]-Table2[[#This Row],[budget]])/Table2[[#This Row],[budget]]</f>
        <v>1.7242151440545386</v>
      </c>
      <c r="N13" t="str">
        <f t="shared" si="1"/>
        <v>OK</v>
      </c>
      <c r="O13" s="2">
        <f t="shared" si="2"/>
        <v>-0.53174418019904457</v>
      </c>
    </row>
    <row r="14" spans="1:15" x14ac:dyDescent="0.3">
      <c r="A14" t="s">
        <v>32</v>
      </c>
      <c r="B14" s="1">
        <v>45001</v>
      </c>
      <c r="C14" s="1">
        <v>45174</v>
      </c>
      <c r="D14">
        <v>49375.81</v>
      </c>
      <c r="E14" s="2">
        <f>(Table2[[#This Row],[revenue]]-Table2[[#This Row],[budget]])/Table2[[#This Row],[budget]]</f>
        <v>12.780369375206201</v>
      </c>
      <c r="F14" t="s">
        <v>23</v>
      </c>
      <c r="G14" t="s">
        <v>12</v>
      </c>
      <c r="H14" t="s">
        <v>13</v>
      </c>
      <c r="I14">
        <v>0.95</v>
      </c>
      <c r="J14">
        <v>680416.9</v>
      </c>
      <c r="K14">
        <f>Table2[[#This Row],[revenue]]/Table2[[#This Row],[budget]]</f>
        <v>13.780369375206201</v>
      </c>
      <c r="L14" s="2">
        <f t="shared" si="0"/>
        <v>493758.1</v>
      </c>
      <c r="M14" s="2">
        <f>(Table2[[#This Row],[Adjusted revenue]]-Table2[[#This Row],[budget]])/Table2[[#This Row],[budget]]</f>
        <v>9</v>
      </c>
      <c r="N14" t="str">
        <f t="shared" si="1"/>
        <v>OK</v>
      </c>
      <c r="O14" s="2">
        <f t="shared" si="2"/>
        <v>1</v>
      </c>
    </row>
    <row r="15" spans="1:15" x14ac:dyDescent="0.3">
      <c r="A15" t="s">
        <v>33</v>
      </c>
      <c r="B15" s="1">
        <v>45111</v>
      </c>
      <c r="C15" s="1">
        <v>45418</v>
      </c>
      <c r="D15">
        <v>14810.62</v>
      </c>
      <c r="E15" s="2">
        <f>(Table2[[#This Row],[revenue]]-Table2[[#This Row],[budget]])/Table2[[#This Row],[budget]]</f>
        <v>31.24228762874208</v>
      </c>
      <c r="F15" t="s">
        <v>21</v>
      </c>
      <c r="G15" t="s">
        <v>12</v>
      </c>
      <c r="H15" t="s">
        <v>25</v>
      </c>
      <c r="I15">
        <v>0.45</v>
      </c>
      <c r="J15">
        <v>477528.27</v>
      </c>
      <c r="K15">
        <f>Table2[[#This Row],[revenue]]/Table2[[#This Row],[budget]]</f>
        <v>32.242287628742076</v>
      </c>
      <c r="L15" s="2">
        <f t="shared" si="0"/>
        <v>148106.20000000001</v>
      </c>
      <c r="M15" s="2">
        <f>(Table2[[#This Row],[Adjusted revenue]]-Table2[[#This Row],[budget]])/Table2[[#This Row],[budget]]</f>
        <v>9</v>
      </c>
      <c r="N15" t="str">
        <f t="shared" si="1"/>
        <v>OK</v>
      </c>
      <c r="O15" s="2">
        <f t="shared" si="2"/>
        <v>1</v>
      </c>
    </row>
    <row r="16" spans="1:15" x14ac:dyDescent="0.3">
      <c r="A16" t="s">
        <v>34</v>
      </c>
      <c r="B16" s="1">
        <v>44870</v>
      </c>
      <c r="C16" s="1">
        <v>45174</v>
      </c>
      <c r="D16">
        <v>36848.300000000003</v>
      </c>
      <c r="E16" s="2">
        <f>(Table2[[#This Row],[revenue]]-Table2[[#This Row],[budget]])/Table2[[#This Row],[budget]]</f>
        <v>-0.88626476662424047</v>
      </c>
      <c r="F16" t="s">
        <v>21</v>
      </c>
      <c r="G16" t="s">
        <v>15</v>
      </c>
      <c r="H16" t="s">
        <v>25</v>
      </c>
      <c r="I16">
        <v>0.1</v>
      </c>
      <c r="J16">
        <v>4190.95</v>
      </c>
      <c r="K16">
        <f>Table2[[#This Row],[revenue]]/Table2[[#This Row],[budget]]</f>
        <v>0.11373523337575953</v>
      </c>
      <c r="L16" s="2">
        <f t="shared" si="0"/>
        <v>18424.150000000001</v>
      </c>
      <c r="M16" s="2">
        <f>(Table2[[#This Row],[Adjusted revenue]]-Table2[[#This Row],[budget]])/Table2[[#This Row],[budget]]</f>
        <v>-0.5</v>
      </c>
      <c r="N16" t="str">
        <f t="shared" si="1"/>
        <v>Failed</v>
      </c>
      <c r="O16" s="2">
        <f t="shared" si="2"/>
        <v>-1</v>
      </c>
    </row>
    <row r="17" spans="1:15" x14ac:dyDescent="0.3">
      <c r="A17" t="s">
        <v>35</v>
      </c>
      <c r="B17" s="1">
        <v>45008</v>
      </c>
      <c r="C17" s="1">
        <v>45237</v>
      </c>
      <c r="D17">
        <v>21510.43</v>
      </c>
      <c r="E17" s="2">
        <f>(Table2[[#This Row],[revenue]]-Table2[[#This Row],[budget]])/Table2[[#This Row],[budget]]</f>
        <v>7.7470324861009202E-2</v>
      </c>
      <c r="F17" t="s">
        <v>11</v>
      </c>
      <c r="G17" t="s">
        <v>12</v>
      </c>
      <c r="H17" t="s">
        <v>25</v>
      </c>
      <c r="I17">
        <v>0.92</v>
      </c>
      <c r="J17">
        <v>23176.85</v>
      </c>
      <c r="K17">
        <f>Table2[[#This Row],[revenue]]/Table2[[#This Row],[budget]]</f>
        <v>1.0774703248610091</v>
      </c>
      <c r="L17" s="2">
        <f t="shared" si="0"/>
        <v>23176.85</v>
      </c>
      <c r="M17" s="2">
        <f>(Table2[[#This Row],[Adjusted revenue]]-Table2[[#This Row],[budget]])/Table2[[#This Row],[budget]]</f>
        <v>7.7470324861009202E-2</v>
      </c>
      <c r="N17" t="str">
        <f t="shared" si="1"/>
        <v>Failed</v>
      </c>
      <c r="O17" s="2">
        <f t="shared" si="2"/>
        <v>-0.87842730002926117</v>
      </c>
    </row>
    <row r="18" spans="1:15" x14ac:dyDescent="0.3">
      <c r="A18" t="s">
        <v>36</v>
      </c>
      <c r="B18" s="1">
        <v>44818</v>
      </c>
      <c r="C18" s="1">
        <v>45316</v>
      </c>
      <c r="D18">
        <v>99520.93</v>
      </c>
      <c r="E18" s="2">
        <f>(Table2[[#This Row],[revenue]]-Table2[[#This Row],[budget]])/Table2[[#This Row],[budget]]</f>
        <v>2.8799270665979511</v>
      </c>
      <c r="F18" t="s">
        <v>18</v>
      </c>
      <c r="G18" t="s">
        <v>15</v>
      </c>
      <c r="H18" t="s">
        <v>19</v>
      </c>
      <c r="I18">
        <v>0.65</v>
      </c>
      <c r="J18">
        <v>386133.95</v>
      </c>
      <c r="K18">
        <f>Table2[[#This Row],[revenue]]/Table2[[#This Row],[budget]]</f>
        <v>3.8799270665979511</v>
      </c>
      <c r="L18" s="2">
        <f t="shared" si="0"/>
        <v>386133.95</v>
      </c>
      <c r="M18" s="2">
        <f>(Table2[[#This Row],[Adjusted revenue]]-Table2[[#This Row],[budget]])/Table2[[#This Row],[budget]]</f>
        <v>2.8799270665979511</v>
      </c>
      <c r="N18" t="str">
        <f t="shared" si="1"/>
        <v>OK</v>
      </c>
      <c r="O18" s="2">
        <f t="shared" si="2"/>
        <v>-0.28843640703201034</v>
      </c>
    </row>
    <row r="19" spans="1:15" x14ac:dyDescent="0.3">
      <c r="A19" t="s">
        <v>37</v>
      </c>
      <c r="B19" s="1">
        <v>45101</v>
      </c>
      <c r="C19" s="1">
        <v>45378</v>
      </c>
      <c r="D19">
        <v>19213.46</v>
      </c>
      <c r="E19" s="2">
        <f>(Table2[[#This Row],[revenue]]-Table2[[#This Row],[budget]])/Table2[[#This Row],[budget]]</f>
        <v>47.157621271754287</v>
      </c>
      <c r="F19" t="s">
        <v>11</v>
      </c>
      <c r="G19" t="s">
        <v>12</v>
      </c>
      <c r="H19" t="s">
        <v>13</v>
      </c>
      <c r="I19">
        <v>0.96</v>
      </c>
      <c r="J19">
        <v>925274.53</v>
      </c>
      <c r="K19">
        <f>Table2[[#This Row],[revenue]]/Table2[[#This Row],[budget]]</f>
        <v>48.157621271754287</v>
      </c>
      <c r="L19" s="2">
        <f t="shared" si="0"/>
        <v>192134.59999999998</v>
      </c>
      <c r="M19" s="2">
        <f>(Table2[[#This Row],[Adjusted revenue]]-Table2[[#This Row],[budget]])/Table2[[#This Row],[budget]]</f>
        <v>9</v>
      </c>
      <c r="N19" t="str">
        <f t="shared" si="1"/>
        <v>OK</v>
      </c>
      <c r="O19" s="2">
        <f t="shared" si="2"/>
        <v>1</v>
      </c>
    </row>
    <row r="20" spans="1:15" x14ac:dyDescent="0.3">
      <c r="A20" t="s">
        <v>38</v>
      </c>
      <c r="B20" s="1">
        <v>45123</v>
      </c>
      <c r="C20" s="1">
        <v>45155</v>
      </c>
      <c r="D20">
        <v>17573.23</v>
      </c>
      <c r="E20" s="2">
        <f>(Table2[[#This Row],[revenue]]-Table2[[#This Row],[budget]])/Table2[[#This Row],[budget]]</f>
        <v>25.208030054804951</v>
      </c>
      <c r="F20" t="s">
        <v>11</v>
      </c>
      <c r="G20" t="s">
        <v>12</v>
      </c>
      <c r="H20" t="s">
        <v>16</v>
      </c>
      <c r="I20">
        <v>0.79</v>
      </c>
      <c r="J20">
        <v>460559.74</v>
      </c>
      <c r="K20">
        <f>Table2[[#This Row],[revenue]]/Table2[[#This Row],[budget]]</f>
        <v>26.208030054804951</v>
      </c>
      <c r="L20" s="2">
        <f t="shared" si="0"/>
        <v>175732.3</v>
      </c>
      <c r="M20" s="2">
        <f>(Table2[[#This Row],[Adjusted revenue]]-Table2[[#This Row],[budget]])/Table2[[#This Row],[budget]]</f>
        <v>8.9999999999999982</v>
      </c>
      <c r="N20" t="str">
        <f t="shared" si="1"/>
        <v>OK</v>
      </c>
      <c r="O20" s="2">
        <f t="shared" si="2"/>
        <v>0.99999999999999956</v>
      </c>
    </row>
    <row r="21" spans="1:15" x14ac:dyDescent="0.3">
      <c r="A21" t="s">
        <v>39</v>
      </c>
      <c r="B21" s="1">
        <v>44830</v>
      </c>
      <c r="C21" s="1">
        <v>45442</v>
      </c>
      <c r="D21">
        <v>25396.400000000001</v>
      </c>
      <c r="E21" s="2">
        <f>(Table2[[#This Row],[revenue]]-Table2[[#This Row],[budget]])/Table2[[#This Row],[budget]]</f>
        <v>10.532561701658501</v>
      </c>
      <c r="F21" t="s">
        <v>11</v>
      </c>
      <c r="G21" t="s">
        <v>15</v>
      </c>
      <c r="H21" t="s">
        <v>16</v>
      </c>
      <c r="I21">
        <v>0.1</v>
      </c>
      <c r="J21">
        <v>292885.55</v>
      </c>
      <c r="K21">
        <f>Table2[[#This Row],[revenue]]/Table2[[#This Row],[budget]]</f>
        <v>11.532561701658501</v>
      </c>
      <c r="L21" s="2">
        <f t="shared" si="0"/>
        <v>253964</v>
      </c>
      <c r="M21" s="2">
        <f>(Table2[[#This Row],[Adjusted revenue]]-Table2[[#This Row],[budget]])/Table2[[#This Row],[budget]]</f>
        <v>9</v>
      </c>
      <c r="N21" t="str">
        <f t="shared" si="1"/>
        <v>OK</v>
      </c>
      <c r="O21" s="2">
        <f t="shared" si="2"/>
        <v>1</v>
      </c>
    </row>
    <row r="22" spans="1:15" x14ac:dyDescent="0.3">
      <c r="A22" t="s">
        <v>40</v>
      </c>
      <c r="B22" s="1">
        <v>44964</v>
      </c>
      <c r="C22" s="1">
        <v>45329</v>
      </c>
      <c r="D22">
        <v>34644.22</v>
      </c>
      <c r="E22" s="2">
        <f>(Table2[[#This Row],[revenue]]-Table2[[#This Row],[budget]])/Table2[[#This Row],[budget]]</f>
        <v>12.825692424306276</v>
      </c>
      <c r="F22" t="s">
        <v>18</v>
      </c>
      <c r="G22" t="s">
        <v>12</v>
      </c>
      <c r="H22" t="s">
        <v>25</v>
      </c>
      <c r="I22">
        <v>0.72</v>
      </c>
      <c r="J22">
        <v>478980.33</v>
      </c>
      <c r="K22">
        <f>Table2[[#This Row],[revenue]]/Table2[[#This Row],[budget]]</f>
        <v>13.825692424306277</v>
      </c>
      <c r="L22" s="2">
        <f t="shared" si="0"/>
        <v>346442.2</v>
      </c>
      <c r="M22" s="2">
        <f>(Table2[[#This Row],[Adjusted revenue]]-Table2[[#This Row],[budget]])/Table2[[#This Row],[budget]]</f>
        <v>9</v>
      </c>
      <c r="N22" t="str">
        <f t="shared" si="1"/>
        <v>OK</v>
      </c>
      <c r="O22" s="2">
        <f t="shared" si="2"/>
        <v>1</v>
      </c>
    </row>
    <row r="23" spans="1:15" x14ac:dyDescent="0.3">
      <c r="A23" t="s">
        <v>41</v>
      </c>
      <c r="B23" s="1">
        <v>45036</v>
      </c>
      <c r="C23" s="1">
        <v>45300</v>
      </c>
      <c r="D23">
        <v>60274.59</v>
      </c>
      <c r="E23" s="2">
        <f>(Table2[[#This Row],[revenue]]-Table2[[#This Row],[budget]])/Table2[[#This Row],[budget]]</f>
        <v>15.160026306275995</v>
      </c>
      <c r="F23" t="s">
        <v>21</v>
      </c>
      <c r="G23" t="s">
        <v>12</v>
      </c>
      <c r="H23" t="s">
        <v>13</v>
      </c>
      <c r="I23">
        <v>0.91</v>
      </c>
      <c r="J23">
        <v>974038.96</v>
      </c>
      <c r="K23">
        <f>Table2[[#This Row],[revenue]]/Table2[[#This Row],[budget]]</f>
        <v>16.160026306275995</v>
      </c>
      <c r="L23" s="2">
        <f t="shared" si="0"/>
        <v>602745.89999999991</v>
      </c>
      <c r="M23" s="2">
        <f>(Table2[[#This Row],[Adjusted revenue]]-Table2[[#This Row],[budget]])/Table2[[#This Row],[budget]]</f>
        <v>9</v>
      </c>
      <c r="N23" t="str">
        <f t="shared" si="1"/>
        <v>OK</v>
      </c>
      <c r="O23" s="2">
        <f t="shared" si="2"/>
        <v>1</v>
      </c>
    </row>
    <row r="24" spans="1:15" x14ac:dyDescent="0.3">
      <c r="A24" t="s">
        <v>42</v>
      </c>
      <c r="B24" s="1">
        <v>44942</v>
      </c>
      <c r="C24" s="1">
        <v>45488</v>
      </c>
      <c r="D24">
        <v>79680.62</v>
      </c>
      <c r="E24" s="2">
        <f>(Table2[[#This Row],[revenue]]-Table2[[#This Row],[budget]])/Table2[[#This Row],[budget]]</f>
        <v>4.4658756420319019</v>
      </c>
      <c r="F24" t="s">
        <v>11</v>
      </c>
      <c r="G24" t="s">
        <v>12</v>
      </c>
      <c r="H24" t="s">
        <v>16</v>
      </c>
      <c r="I24">
        <v>0.96</v>
      </c>
      <c r="J24">
        <v>435524.36</v>
      </c>
      <c r="K24">
        <f>Table2[[#This Row],[revenue]]/Table2[[#This Row],[budget]]</f>
        <v>5.4658756420319019</v>
      </c>
      <c r="L24" s="2">
        <f t="shared" si="0"/>
        <v>435524.36</v>
      </c>
      <c r="M24" s="2">
        <f>(Table2[[#This Row],[Adjusted revenue]]-Table2[[#This Row],[budget]])/Table2[[#This Row],[budget]]</f>
        <v>4.4658756420319019</v>
      </c>
      <c r="N24" t="str">
        <f t="shared" si="1"/>
        <v>OK</v>
      </c>
      <c r="O24" s="2">
        <f t="shared" si="2"/>
        <v>4.5447503585663629E-2</v>
      </c>
    </row>
    <row r="25" spans="1:15" x14ac:dyDescent="0.3">
      <c r="A25" t="s">
        <v>43</v>
      </c>
      <c r="B25" s="1">
        <v>45139</v>
      </c>
      <c r="C25" s="1">
        <v>45149</v>
      </c>
      <c r="D25">
        <v>46775.63</v>
      </c>
      <c r="E25" s="2">
        <f>(Table2[[#This Row],[revenue]]-Table2[[#This Row],[budget]])/Table2[[#This Row],[budget]]</f>
        <v>16.41659663375993</v>
      </c>
      <c r="F25" t="s">
        <v>21</v>
      </c>
      <c r="G25" t="s">
        <v>12</v>
      </c>
      <c r="H25" t="s">
        <v>25</v>
      </c>
      <c r="I25">
        <v>0.75</v>
      </c>
      <c r="J25">
        <v>814672.28</v>
      </c>
      <c r="K25">
        <f>Table2[[#This Row],[revenue]]/Table2[[#This Row],[budget]]</f>
        <v>17.41659663375993</v>
      </c>
      <c r="L25" s="2">
        <f t="shared" si="0"/>
        <v>467756.3</v>
      </c>
      <c r="M25" s="2">
        <f>(Table2[[#This Row],[Adjusted revenue]]-Table2[[#This Row],[budget]])/Table2[[#This Row],[budget]]</f>
        <v>9</v>
      </c>
      <c r="N25" t="str">
        <f t="shared" si="1"/>
        <v>OK</v>
      </c>
      <c r="O25" s="2">
        <f t="shared" si="2"/>
        <v>1</v>
      </c>
    </row>
    <row r="26" spans="1:15" x14ac:dyDescent="0.3">
      <c r="A26" t="s">
        <v>44</v>
      </c>
      <c r="B26" s="1">
        <v>44799</v>
      </c>
      <c r="C26" s="1">
        <v>45497</v>
      </c>
      <c r="D26">
        <v>48366.5</v>
      </c>
      <c r="E26" s="2">
        <f>(Table2[[#This Row],[revenue]]-Table2[[#This Row],[budget]])/Table2[[#This Row],[budget]]</f>
        <v>-0.15220348795137137</v>
      </c>
      <c r="F26" t="s">
        <v>23</v>
      </c>
      <c r="G26" t="s">
        <v>12</v>
      </c>
      <c r="H26" t="s">
        <v>16</v>
      </c>
      <c r="I26">
        <v>0.87</v>
      </c>
      <c r="J26">
        <v>41004.949999999997</v>
      </c>
      <c r="K26">
        <f>Table2[[#This Row],[revenue]]/Table2[[#This Row],[budget]]</f>
        <v>0.8477965120486286</v>
      </c>
      <c r="L26" s="2">
        <f t="shared" si="0"/>
        <v>41004.949999999997</v>
      </c>
      <c r="M26" s="2">
        <f>(Table2[[#This Row],[Adjusted revenue]]-Table2[[#This Row],[budget]])/Table2[[#This Row],[budget]]</f>
        <v>-0.15220348795137137</v>
      </c>
      <c r="N26" t="str">
        <f t="shared" si="1"/>
        <v>Failed</v>
      </c>
      <c r="O26" s="2">
        <f t="shared" si="2"/>
        <v>-0.92677968167397295</v>
      </c>
    </row>
    <row r="27" spans="1:15" x14ac:dyDescent="0.3">
      <c r="A27" t="s">
        <v>45</v>
      </c>
      <c r="B27" s="1">
        <v>45103</v>
      </c>
      <c r="C27" s="1">
        <v>45319</v>
      </c>
      <c r="D27">
        <v>84973.4</v>
      </c>
      <c r="E27" s="2">
        <f>(Table2[[#This Row],[revenue]]-Table2[[#This Row],[budget]])/Table2[[#This Row],[budget]]</f>
        <v>3.5983406571938983</v>
      </c>
      <c r="F27" t="s">
        <v>18</v>
      </c>
      <c r="G27" t="s">
        <v>15</v>
      </c>
      <c r="H27" t="s">
        <v>13</v>
      </c>
      <c r="I27">
        <v>0.16</v>
      </c>
      <c r="J27">
        <v>390736.64000000001</v>
      </c>
      <c r="K27">
        <f>Table2[[#This Row],[revenue]]/Table2[[#This Row],[budget]]</f>
        <v>4.5983406571938987</v>
      </c>
      <c r="L27" s="2">
        <f t="shared" si="0"/>
        <v>390736.64000000001</v>
      </c>
      <c r="M27" s="2">
        <f>(Table2[[#This Row],[Adjusted revenue]]-Table2[[#This Row],[budget]])/Table2[[#This Row],[budget]]</f>
        <v>3.5983406571938983</v>
      </c>
      <c r="N27" t="str">
        <f t="shared" si="1"/>
        <v>OK</v>
      </c>
      <c r="O27" s="2">
        <f t="shared" si="2"/>
        <v>-0.13719144059075838</v>
      </c>
    </row>
    <row r="28" spans="1:15" x14ac:dyDescent="0.3">
      <c r="A28" t="s">
        <v>46</v>
      </c>
      <c r="B28" s="1">
        <v>44972</v>
      </c>
      <c r="C28" s="1">
        <v>45247</v>
      </c>
      <c r="D28">
        <v>37344.699999999997</v>
      </c>
      <c r="E28" s="2">
        <f>(Table2[[#This Row],[revenue]]-Table2[[#This Row],[budget]])/Table2[[#This Row],[budget]]</f>
        <v>11.412510476720927</v>
      </c>
      <c r="F28" t="s">
        <v>11</v>
      </c>
      <c r="G28" t="s">
        <v>15</v>
      </c>
      <c r="H28" t="s">
        <v>13</v>
      </c>
      <c r="I28">
        <v>0.43</v>
      </c>
      <c r="J28">
        <v>463541.48</v>
      </c>
      <c r="K28">
        <f>Table2[[#This Row],[revenue]]/Table2[[#This Row],[budget]]</f>
        <v>12.412510476720927</v>
      </c>
      <c r="L28" s="2">
        <f t="shared" si="0"/>
        <v>373447</v>
      </c>
      <c r="M28" s="2">
        <f>(Table2[[#This Row],[Adjusted revenue]]-Table2[[#This Row],[budget]])/Table2[[#This Row],[budget]]</f>
        <v>9</v>
      </c>
      <c r="N28" t="str">
        <f t="shared" si="1"/>
        <v>OK</v>
      </c>
      <c r="O28" s="2">
        <f t="shared" si="2"/>
        <v>1</v>
      </c>
    </row>
    <row r="29" spans="1:15" x14ac:dyDescent="0.3">
      <c r="A29" t="s">
        <v>47</v>
      </c>
      <c r="B29" s="1">
        <v>45112</v>
      </c>
      <c r="C29" s="1">
        <v>45208</v>
      </c>
      <c r="D29">
        <v>14391.98</v>
      </c>
      <c r="E29" s="2">
        <f>(Table2[[#This Row],[revenue]]-Table2[[#This Row],[budget]])/Table2[[#This Row],[budget]]</f>
        <v>30.721653309690542</v>
      </c>
      <c r="F29" t="s">
        <v>11</v>
      </c>
      <c r="G29" t="s">
        <v>15</v>
      </c>
      <c r="H29" t="s">
        <v>16</v>
      </c>
      <c r="I29">
        <v>0.83</v>
      </c>
      <c r="J29">
        <v>456537.4</v>
      </c>
      <c r="K29">
        <f>Table2[[#This Row],[revenue]]/Table2[[#This Row],[budget]]</f>
        <v>31.721653309690538</v>
      </c>
      <c r="L29" s="2">
        <f t="shared" si="0"/>
        <v>143919.79999999999</v>
      </c>
      <c r="M29" s="2">
        <f>(Table2[[#This Row],[Adjusted revenue]]-Table2[[#This Row],[budget]])/Table2[[#This Row],[budget]]</f>
        <v>9</v>
      </c>
      <c r="N29" t="str">
        <f t="shared" si="1"/>
        <v>OK</v>
      </c>
      <c r="O29" s="2">
        <f t="shared" si="2"/>
        <v>1</v>
      </c>
    </row>
    <row r="30" spans="1:15" x14ac:dyDescent="0.3">
      <c r="A30" t="s">
        <v>48</v>
      </c>
      <c r="B30" s="1">
        <v>44883</v>
      </c>
      <c r="C30" s="1">
        <v>45204</v>
      </c>
      <c r="D30">
        <v>99838.63</v>
      </c>
      <c r="E30" s="2">
        <f>(Table2[[#This Row],[revenue]]-Table2[[#This Row],[budget]])/Table2[[#This Row],[budget]]</f>
        <v>-0.85903662740564457</v>
      </c>
      <c r="F30" t="s">
        <v>11</v>
      </c>
      <c r="G30" t="s">
        <v>12</v>
      </c>
      <c r="H30" t="s">
        <v>13</v>
      </c>
      <c r="I30">
        <v>0.18</v>
      </c>
      <c r="J30">
        <v>14073.59</v>
      </c>
      <c r="K30">
        <f>Table2[[#This Row],[revenue]]/Table2[[#This Row],[budget]]</f>
        <v>0.14096337259435551</v>
      </c>
      <c r="L30" s="2">
        <f t="shared" si="0"/>
        <v>49919.315000000002</v>
      </c>
      <c r="M30" s="2">
        <f>(Table2[[#This Row],[Adjusted revenue]]-Table2[[#This Row],[budget]])/Table2[[#This Row],[budget]]</f>
        <v>-0.5</v>
      </c>
      <c r="N30" t="str">
        <f t="shared" si="1"/>
        <v>Failed</v>
      </c>
      <c r="O30" s="2">
        <f t="shared" si="2"/>
        <v>-1</v>
      </c>
    </row>
    <row r="31" spans="1:15" x14ac:dyDescent="0.3">
      <c r="A31" t="s">
        <v>49</v>
      </c>
      <c r="B31" s="1">
        <v>44851</v>
      </c>
      <c r="C31" s="1">
        <v>45476</v>
      </c>
      <c r="D31">
        <v>29076.12</v>
      </c>
      <c r="E31" s="2">
        <f>(Table2[[#This Row],[revenue]]-Table2[[#This Row],[budget]])/Table2[[#This Row],[budget]]</f>
        <v>31.614721290185901</v>
      </c>
      <c r="F31" t="s">
        <v>23</v>
      </c>
      <c r="G31" t="s">
        <v>12</v>
      </c>
      <c r="H31" t="s">
        <v>25</v>
      </c>
      <c r="I31">
        <v>0.1</v>
      </c>
      <c r="J31">
        <v>948309.55</v>
      </c>
      <c r="K31">
        <f>Table2[[#This Row],[revenue]]/Table2[[#This Row],[budget]]</f>
        <v>32.614721290185898</v>
      </c>
      <c r="L31" s="2">
        <f t="shared" si="0"/>
        <v>290761.2</v>
      </c>
      <c r="M31" s="2">
        <f>(Table2[[#This Row],[Adjusted revenue]]-Table2[[#This Row],[budget]])/Table2[[#This Row],[budget]]</f>
        <v>9</v>
      </c>
      <c r="N31" t="str">
        <f t="shared" si="1"/>
        <v>OK</v>
      </c>
      <c r="O31" s="2">
        <f t="shared" si="2"/>
        <v>1</v>
      </c>
    </row>
    <row r="32" spans="1:15" x14ac:dyDescent="0.3">
      <c r="A32" t="s">
        <v>50</v>
      </c>
      <c r="B32" s="1">
        <v>45035</v>
      </c>
      <c r="C32" s="1">
        <v>45189</v>
      </c>
      <c r="D32">
        <v>87963.28</v>
      </c>
      <c r="E32" s="2">
        <f>(Table2[[#This Row],[revenue]]-Table2[[#This Row],[budget]])/Table2[[#This Row],[budget]]</f>
        <v>10.299109924050127</v>
      </c>
      <c r="F32" t="s">
        <v>18</v>
      </c>
      <c r="G32" t="s">
        <v>12</v>
      </c>
      <c r="H32" t="s">
        <v>16</v>
      </c>
      <c r="I32">
        <v>0.56999999999999995</v>
      </c>
      <c r="J32">
        <v>993906.77</v>
      </c>
      <c r="K32">
        <f>Table2[[#This Row],[revenue]]/Table2[[#This Row],[budget]]</f>
        <v>11.299109924050127</v>
      </c>
      <c r="L32" s="2">
        <f t="shared" si="0"/>
        <v>879632.8</v>
      </c>
      <c r="M32" s="2">
        <f>(Table2[[#This Row],[Adjusted revenue]]-Table2[[#This Row],[budget]])/Table2[[#This Row],[budget]]</f>
        <v>9</v>
      </c>
      <c r="N32" t="str">
        <f t="shared" si="1"/>
        <v>OK</v>
      </c>
      <c r="O32" s="2">
        <f t="shared" si="2"/>
        <v>1</v>
      </c>
    </row>
    <row r="33" spans="1:15" x14ac:dyDescent="0.3">
      <c r="A33" t="s">
        <v>51</v>
      </c>
      <c r="B33" s="1">
        <v>45071</v>
      </c>
      <c r="C33" s="1">
        <v>45272</v>
      </c>
      <c r="D33">
        <v>53935.8</v>
      </c>
      <c r="E33" s="2">
        <f>(Table2[[#This Row],[revenue]]-Table2[[#This Row],[budget]])/Table2[[#This Row],[budget]]</f>
        <v>16.773985367789109</v>
      </c>
      <c r="F33" t="s">
        <v>23</v>
      </c>
      <c r="G33" t="s">
        <v>15</v>
      </c>
      <c r="H33" t="s">
        <v>19</v>
      </c>
      <c r="I33">
        <v>0.4</v>
      </c>
      <c r="J33">
        <v>958654.12</v>
      </c>
      <c r="K33">
        <f>Table2[[#This Row],[revenue]]/Table2[[#This Row],[budget]]</f>
        <v>17.773985367789113</v>
      </c>
      <c r="L33" s="2">
        <f t="shared" si="0"/>
        <v>539358</v>
      </c>
      <c r="M33" s="2">
        <f>(Table2[[#This Row],[Adjusted revenue]]-Table2[[#This Row],[budget]])/Table2[[#This Row],[budget]]</f>
        <v>9</v>
      </c>
      <c r="N33" t="str">
        <f t="shared" si="1"/>
        <v>OK</v>
      </c>
      <c r="O33" s="2">
        <f t="shared" si="2"/>
        <v>1</v>
      </c>
    </row>
    <row r="34" spans="1:15" x14ac:dyDescent="0.3">
      <c r="A34" t="s">
        <v>52</v>
      </c>
      <c r="B34" s="1">
        <v>44785</v>
      </c>
      <c r="C34" s="1">
        <v>45492</v>
      </c>
      <c r="D34">
        <v>71277.100000000006</v>
      </c>
      <c r="E34" s="2">
        <f>(Table2[[#This Row],[revenue]]-Table2[[#This Row],[budget]])/Table2[[#This Row],[budget]]</f>
        <v>12.087297463000038</v>
      </c>
      <c r="F34" t="s">
        <v>11</v>
      </c>
      <c r="G34" t="s">
        <v>12</v>
      </c>
      <c r="H34" t="s">
        <v>19</v>
      </c>
      <c r="I34">
        <v>0.56000000000000005</v>
      </c>
      <c r="J34">
        <v>932824.61</v>
      </c>
      <c r="K34">
        <f>Table2[[#This Row],[revenue]]/Table2[[#This Row],[budget]]</f>
        <v>13.087297463000036</v>
      </c>
      <c r="L34" s="2">
        <f t="shared" si="0"/>
        <v>712771</v>
      </c>
      <c r="M34" s="2">
        <f>(Table2[[#This Row],[Adjusted revenue]]-Table2[[#This Row],[budget]])/Table2[[#This Row],[budget]]</f>
        <v>9</v>
      </c>
      <c r="N34" t="str">
        <f t="shared" si="1"/>
        <v>OK</v>
      </c>
      <c r="O34" s="2">
        <f t="shared" si="2"/>
        <v>1</v>
      </c>
    </row>
    <row r="35" spans="1:15" x14ac:dyDescent="0.3">
      <c r="A35" t="s">
        <v>53</v>
      </c>
      <c r="B35" s="1">
        <v>44836</v>
      </c>
      <c r="C35" s="1">
        <v>45360</v>
      </c>
      <c r="D35">
        <v>15968.2</v>
      </c>
      <c r="E35" s="2">
        <f>(Table2[[#This Row],[revenue]]-Table2[[#This Row],[budget]])/Table2[[#This Row],[budget]]</f>
        <v>25.928977592966017</v>
      </c>
      <c r="F35" t="s">
        <v>23</v>
      </c>
      <c r="G35" t="s">
        <v>15</v>
      </c>
      <c r="H35" t="s">
        <v>19</v>
      </c>
      <c r="I35">
        <v>0.15</v>
      </c>
      <c r="J35">
        <v>430007.3</v>
      </c>
      <c r="K35">
        <f>Table2[[#This Row],[revenue]]/Table2[[#This Row],[budget]]</f>
        <v>26.928977592966017</v>
      </c>
      <c r="L35" s="2">
        <f t="shared" si="0"/>
        <v>159682</v>
      </c>
      <c r="M35" s="2">
        <f>(Table2[[#This Row],[Adjusted revenue]]-Table2[[#This Row],[budget]])/Table2[[#This Row],[budget]]</f>
        <v>8.9999999999999982</v>
      </c>
      <c r="N35" t="str">
        <f t="shared" si="1"/>
        <v>OK</v>
      </c>
      <c r="O35" s="2">
        <f t="shared" si="2"/>
        <v>0.99999999999999956</v>
      </c>
    </row>
    <row r="36" spans="1:15" x14ac:dyDescent="0.3">
      <c r="A36" t="s">
        <v>54</v>
      </c>
      <c r="B36" s="1">
        <v>44946</v>
      </c>
      <c r="C36" s="1">
        <v>45154</v>
      </c>
      <c r="D36">
        <v>54468.41</v>
      </c>
      <c r="E36" s="2">
        <f>(Table2[[#This Row],[revenue]]-Table2[[#This Row],[budget]])/Table2[[#This Row],[budget]]</f>
        <v>15.966793963693817</v>
      </c>
      <c r="F36" t="s">
        <v>23</v>
      </c>
      <c r="G36" t="s">
        <v>15</v>
      </c>
      <c r="H36" t="s">
        <v>19</v>
      </c>
      <c r="I36">
        <v>0.7</v>
      </c>
      <c r="J36">
        <v>924154.29</v>
      </c>
      <c r="K36">
        <f>Table2[[#This Row],[revenue]]/Table2[[#This Row],[budget]]</f>
        <v>16.966793963693817</v>
      </c>
      <c r="L36" s="2">
        <f t="shared" si="0"/>
        <v>544684.10000000009</v>
      </c>
      <c r="M36" s="2">
        <f>(Table2[[#This Row],[Adjusted revenue]]-Table2[[#This Row],[budget]])/Table2[[#This Row],[budget]]</f>
        <v>9</v>
      </c>
      <c r="N36" t="str">
        <f t="shared" si="1"/>
        <v>OK</v>
      </c>
      <c r="O36" s="2">
        <f t="shared" si="2"/>
        <v>1</v>
      </c>
    </row>
    <row r="37" spans="1:15" x14ac:dyDescent="0.3">
      <c r="A37" t="s">
        <v>55</v>
      </c>
      <c r="B37" s="1">
        <v>45134</v>
      </c>
      <c r="C37" s="1">
        <v>45337</v>
      </c>
      <c r="D37">
        <v>29393.78</v>
      </c>
      <c r="E37" s="2">
        <f>(Table2[[#This Row],[revenue]]-Table2[[#This Row],[budget]])/Table2[[#This Row],[budget]]</f>
        <v>1.460515115782999</v>
      </c>
      <c r="F37" t="s">
        <v>18</v>
      </c>
      <c r="G37" t="s">
        <v>12</v>
      </c>
      <c r="H37" t="s">
        <v>16</v>
      </c>
      <c r="I37">
        <v>0.8</v>
      </c>
      <c r="J37">
        <v>72323.839999999997</v>
      </c>
      <c r="K37">
        <f>Table2[[#This Row],[revenue]]/Table2[[#This Row],[budget]]</f>
        <v>2.4605151157829988</v>
      </c>
      <c r="L37" s="2">
        <f t="shared" si="0"/>
        <v>72323.839999999997</v>
      </c>
      <c r="M37" s="2">
        <f>(Table2[[#This Row],[Adjusted revenue]]-Table2[[#This Row],[budget]])/Table2[[#This Row],[budget]]</f>
        <v>1.460515115782999</v>
      </c>
      <c r="N37" t="str">
        <f t="shared" si="1"/>
        <v>OK</v>
      </c>
      <c r="O37" s="2">
        <f t="shared" si="2"/>
        <v>-0.58725997562463172</v>
      </c>
    </row>
    <row r="38" spans="1:15" x14ac:dyDescent="0.3">
      <c r="A38" t="s">
        <v>56</v>
      </c>
      <c r="B38" s="1">
        <v>44889</v>
      </c>
      <c r="C38" s="1">
        <v>45373</v>
      </c>
      <c r="D38">
        <v>9147.7900000000009</v>
      </c>
      <c r="E38" s="2">
        <f>(Table2[[#This Row],[revenue]]-Table2[[#This Row],[budget]])/Table2[[#This Row],[budget]]</f>
        <v>3.5966238840200742</v>
      </c>
      <c r="F38" t="s">
        <v>11</v>
      </c>
      <c r="G38" t="s">
        <v>12</v>
      </c>
      <c r="H38" t="s">
        <v>25</v>
      </c>
      <c r="I38">
        <v>0.28000000000000003</v>
      </c>
      <c r="J38">
        <v>42048.95</v>
      </c>
      <c r="K38">
        <f>Table2[[#This Row],[revenue]]/Table2[[#This Row],[budget]]</f>
        <v>4.5966238840200742</v>
      </c>
      <c r="L38" s="2">
        <f t="shared" si="0"/>
        <v>42048.95</v>
      </c>
      <c r="M38" s="2">
        <f>(Table2[[#This Row],[Adjusted revenue]]-Table2[[#This Row],[budget]])/Table2[[#This Row],[budget]]</f>
        <v>3.5966238840200742</v>
      </c>
      <c r="N38" t="str">
        <f t="shared" si="1"/>
        <v>OK</v>
      </c>
      <c r="O38" s="2">
        <f t="shared" si="2"/>
        <v>-0.13755286652208965</v>
      </c>
    </row>
    <row r="39" spans="1:15" x14ac:dyDescent="0.3">
      <c r="A39" t="s">
        <v>57</v>
      </c>
      <c r="B39" s="1">
        <v>44911</v>
      </c>
      <c r="C39" s="1">
        <v>45376</v>
      </c>
      <c r="D39">
        <v>68801.22</v>
      </c>
      <c r="E39" s="2">
        <f>(Table2[[#This Row],[revenue]]-Table2[[#This Row],[budget]])/Table2[[#This Row],[budget]]</f>
        <v>6.0088430117954301</v>
      </c>
      <c r="F39" t="s">
        <v>23</v>
      </c>
      <c r="G39" t="s">
        <v>12</v>
      </c>
      <c r="H39" t="s">
        <v>13</v>
      </c>
      <c r="I39">
        <v>0.65</v>
      </c>
      <c r="J39">
        <v>482216.95</v>
      </c>
      <c r="K39">
        <f>Table2[[#This Row],[revenue]]/Table2[[#This Row],[budget]]</f>
        <v>7.0088430117954301</v>
      </c>
      <c r="L39" s="2">
        <f t="shared" si="0"/>
        <v>482216.95</v>
      </c>
      <c r="M39" s="2">
        <f>(Table2[[#This Row],[Adjusted revenue]]-Table2[[#This Row],[budget]])/Table2[[#This Row],[budget]]</f>
        <v>6.0088430117954301</v>
      </c>
      <c r="N39" t="str">
        <f t="shared" si="1"/>
        <v>OK</v>
      </c>
      <c r="O39" s="2">
        <f t="shared" si="2"/>
        <v>0.3702827393253536</v>
      </c>
    </row>
    <row r="40" spans="1:15" x14ac:dyDescent="0.3">
      <c r="A40" t="s">
        <v>58</v>
      </c>
      <c r="B40" s="1">
        <v>44944</v>
      </c>
      <c r="C40" s="1">
        <v>45404</v>
      </c>
      <c r="D40">
        <v>1309.17</v>
      </c>
      <c r="E40" s="2">
        <f>(Table2[[#This Row],[revenue]]-Table2[[#This Row],[budget]])/Table2[[#This Row],[budget]]</f>
        <v>207.7061878900372</v>
      </c>
      <c r="F40" t="s">
        <v>18</v>
      </c>
      <c r="G40" t="s">
        <v>15</v>
      </c>
      <c r="H40" t="s">
        <v>13</v>
      </c>
      <c r="I40">
        <v>0.27</v>
      </c>
      <c r="J40">
        <v>273231.88</v>
      </c>
      <c r="K40">
        <f>Table2[[#This Row],[revenue]]/Table2[[#This Row],[budget]]</f>
        <v>208.7061878900372</v>
      </c>
      <c r="L40" s="2">
        <f t="shared" si="0"/>
        <v>13091.7</v>
      </c>
      <c r="M40" s="2">
        <f>(Table2[[#This Row],[Adjusted revenue]]-Table2[[#This Row],[budget]])/Table2[[#This Row],[budget]]</f>
        <v>9</v>
      </c>
      <c r="N40" t="str">
        <f t="shared" si="1"/>
        <v>OK</v>
      </c>
      <c r="O40" s="2">
        <f t="shared" si="2"/>
        <v>1</v>
      </c>
    </row>
    <row r="41" spans="1:15" x14ac:dyDescent="0.3">
      <c r="A41" t="s">
        <v>59</v>
      </c>
      <c r="B41" s="1">
        <v>45045</v>
      </c>
      <c r="C41" s="1">
        <v>45162</v>
      </c>
      <c r="D41">
        <v>27168.6</v>
      </c>
      <c r="E41" s="2">
        <f>(Table2[[#This Row],[revenue]]-Table2[[#This Row],[budget]])/Table2[[#This Row],[budget]]</f>
        <v>24.940537973984675</v>
      </c>
      <c r="F41" t="s">
        <v>23</v>
      </c>
      <c r="G41" t="s">
        <v>12</v>
      </c>
      <c r="H41" t="s">
        <v>13</v>
      </c>
      <c r="I41">
        <v>0.1</v>
      </c>
      <c r="J41">
        <v>704768.1</v>
      </c>
      <c r="K41">
        <f>Table2[[#This Row],[revenue]]/Table2[[#This Row],[budget]]</f>
        <v>25.940537973984675</v>
      </c>
      <c r="L41" s="2">
        <f t="shared" si="0"/>
        <v>271686</v>
      </c>
      <c r="M41" s="2">
        <f>(Table2[[#This Row],[Adjusted revenue]]-Table2[[#This Row],[budget]])/Table2[[#This Row],[budget]]</f>
        <v>9</v>
      </c>
      <c r="N41" t="str">
        <f t="shared" si="1"/>
        <v>OK</v>
      </c>
      <c r="O41" s="2">
        <f t="shared" si="2"/>
        <v>1</v>
      </c>
    </row>
    <row r="42" spans="1:15" x14ac:dyDescent="0.3">
      <c r="A42" t="s">
        <v>60</v>
      </c>
      <c r="B42" s="1">
        <v>44887</v>
      </c>
      <c r="C42" s="1">
        <v>45474</v>
      </c>
      <c r="D42">
        <v>39682.9</v>
      </c>
      <c r="E42" s="2">
        <f>(Table2[[#This Row],[revenue]]-Table2[[#This Row],[budget]])/Table2[[#This Row],[budget]]</f>
        <v>1.935908413951601</v>
      </c>
      <c r="F42" t="s">
        <v>21</v>
      </c>
      <c r="G42" t="s">
        <v>12</v>
      </c>
      <c r="H42" t="s">
        <v>19</v>
      </c>
      <c r="I42">
        <v>0.7</v>
      </c>
      <c r="J42">
        <v>116505.36</v>
      </c>
      <c r="K42">
        <f>Table2[[#This Row],[revenue]]/Table2[[#This Row],[budget]]</f>
        <v>2.9359084139516014</v>
      </c>
      <c r="L42" s="2">
        <f t="shared" si="0"/>
        <v>116505.36</v>
      </c>
      <c r="M42" s="2">
        <f>(Table2[[#This Row],[Adjusted revenue]]-Table2[[#This Row],[budget]])/Table2[[#This Row],[budget]]</f>
        <v>1.935908413951601</v>
      </c>
      <c r="N42" t="str">
        <f t="shared" si="1"/>
        <v>OK</v>
      </c>
      <c r="O42" s="2">
        <f t="shared" si="2"/>
        <v>-0.48717717601018928</v>
      </c>
    </row>
    <row r="43" spans="1:15" x14ac:dyDescent="0.3">
      <c r="A43" t="s">
        <v>61</v>
      </c>
      <c r="B43" s="1">
        <v>44984</v>
      </c>
      <c r="C43" s="1">
        <v>45297</v>
      </c>
      <c r="D43">
        <v>89227.7</v>
      </c>
      <c r="E43" s="2">
        <f>(Table2[[#This Row],[revenue]]-Table2[[#This Row],[budget]])/Table2[[#This Row],[budget]]</f>
        <v>5.9191513397745323</v>
      </c>
      <c r="F43" t="s">
        <v>18</v>
      </c>
      <c r="G43" t="s">
        <v>15</v>
      </c>
      <c r="H43" t="s">
        <v>16</v>
      </c>
      <c r="I43">
        <v>0</v>
      </c>
      <c r="J43">
        <v>617379.96</v>
      </c>
      <c r="K43">
        <f>Table2[[#This Row],[revenue]]/Table2[[#This Row],[budget]]</f>
        <v>6.9191513397745315</v>
      </c>
      <c r="L43" s="2">
        <f t="shared" si="0"/>
        <v>617379.96</v>
      </c>
      <c r="M43" s="2">
        <f>(Table2[[#This Row],[Adjusted revenue]]-Table2[[#This Row],[budget]])/Table2[[#This Row],[budget]]</f>
        <v>5.9191513397745323</v>
      </c>
      <c r="N43" t="str">
        <f t="shared" si="1"/>
        <v>OK</v>
      </c>
      <c r="O43" s="2">
        <f t="shared" si="2"/>
        <v>0.35140028205779639</v>
      </c>
    </row>
    <row r="44" spans="1:15" x14ac:dyDescent="0.3">
      <c r="A44" t="s">
        <v>62</v>
      </c>
      <c r="B44" s="1">
        <v>44891</v>
      </c>
      <c r="C44" s="1">
        <v>45398</v>
      </c>
      <c r="D44">
        <v>96917.97</v>
      </c>
      <c r="E44" s="2">
        <f>(Table2[[#This Row],[revenue]]-Table2[[#This Row],[budget]])/Table2[[#This Row],[budget]]</f>
        <v>4.9016638503674814</v>
      </c>
      <c r="F44" t="s">
        <v>18</v>
      </c>
      <c r="G44" t="s">
        <v>15</v>
      </c>
      <c r="H44" t="s">
        <v>16</v>
      </c>
      <c r="I44">
        <v>0.39</v>
      </c>
      <c r="J44">
        <v>571977.28</v>
      </c>
      <c r="K44">
        <f>Table2[[#This Row],[revenue]]/Table2[[#This Row],[budget]]</f>
        <v>5.9016638503674814</v>
      </c>
      <c r="L44" s="2">
        <f t="shared" si="0"/>
        <v>571977.28</v>
      </c>
      <c r="M44" s="2">
        <f>(Table2[[#This Row],[Adjusted revenue]]-Table2[[#This Row],[budget]])/Table2[[#This Row],[budget]]</f>
        <v>4.9016638503674814</v>
      </c>
      <c r="N44" t="str">
        <f t="shared" si="1"/>
        <v>OK</v>
      </c>
      <c r="O44" s="2">
        <f t="shared" si="2"/>
        <v>0.13719238955104873</v>
      </c>
    </row>
    <row r="45" spans="1:15" x14ac:dyDescent="0.3">
      <c r="A45" t="s">
        <v>63</v>
      </c>
      <c r="B45" s="1">
        <v>44810</v>
      </c>
      <c r="C45" s="1">
        <v>45272</v>
      </c>
      <c r="D45">
        <v>28323.41</v>
      </c>
      <c r="E45" s="2">
        <f>(Table2[[#This Row],[revenue]]-Table2[[#This Row],[budget]])/Table2[[#This Row],[budget]]</f>
        <v>33.750805076083708</v>
      </c>
      <c r="F45" t="s">
        <v>21</v>
      </c>
      <c r="G45" t="s">
        <v>12</v>
      </c>
      <c r="H45" t="s">
        <v>13</v>
      </c>
      <c r="I45">
        <v>0.9</v>
      </c>
      <c r="J45">
        <v>984261.3</v>
      </c>
      <c r="K45">
        <f>Table2[[#This Row],[revenue]]/Table2[[#This Row],[budget]]</f>
        <v>34.750805076083708</v>
      </c>
      <c r="L45" s="2">
        <f t="shared" si="0"/>
        <v>283234.09999999998</v>
      </c>
      <c r="M45" s="2">
        <f>(Table2[[#This Row],[Adjusted revenue]]-Table2[[#This Row],[budget]])/Table2[[#This Row],[budget]]</f>
        <v>8.9999999999999982</v>
      </c>
      <c r="N45" t="str">
        <f t="shared" si="1"/>
        <v>OK</v>
      </c>
      <c r="O45" s="2">
        <f t="shared" si="2"/>
        <v>0.99999999999999956</v>
      </c>
    </row>
    <row r="46" spans="1:15" x14ac:dyDescent="0.3">
      <c r="A46" t="s">
        <v>64</v>
      </c>
      <c r="B46" s="1">
        <v>45092</v>
      </c>
      <c r="C46" s="1">
        <v>45298</v>
      </c>
      <c r="D46">
        <v>63656.18</v>
      </c>
      <c r="E46" s="2">
        <f>(Table2[[#This Row],[revenue]]-Table2[[#This Row],[budget]])/Table2[[#This Row],[budget]]</f>
        <v>0.21749278703183261</v>
      </c>
      <c r="F46" t="s">
        <v>18</v>
      </c>
      <c r="G46" t="s">
        <v>12</v>
      </c>
      <c r="H46" t="s">
        <v>25</v>
      </c>
      <c r="I46">
        <v>0.4</v>
      </c>
      <c r="J46">
        <v>77500.94</v>
      </c>
      <c r="K46">
        <f>Table2[[#This Row],[revenue]]/Table2[[#This Row],[budget]]</f>
        <v>1.2174927870318326</v>
      </c>
      <c r="L46" s="2">
        <f t="shared" si="0"/>
        <v>77500.94</v>
      </c>
      <c r="M46" s="2">
        <f>(Table2[[#This Row],[Adjusted revenue]]-Table2[[#This Row],[budget]])/Table2[[#This Row],[budget]]</f>
        <v>0.21749278703183261</v>
      </c>
      <c r="N46" t="str">
        <f t="shared" si="1"/>
        <v>Failed</v>
      </c>
      <c r="O46" s="2">
        <f t="shared" si="2"/>
        <v>-0.84894888694066684</v>
      </c>
    </row>
    <row r="47" spans="1:15" x14ac:dyDescent="0.3">
      <c r="A47" t="s">
        <v>65</v>
      </c>
      <c r="B47" s="1">
        <v>44985</v>
      </c>
      <c r="C47" s="1">
        <v>45474</v>
      </c>
      <c r="D47">
        <v>69084.100000000006</v>
      </c>
      <c r="E47" s="2">
        <f>(Table2[[#This Row],[revenue]]-Table2[[#This Row],[budget]])/Table2[[#This Row],[budget]]</f>
        <v>2.0535728192159985</v>
      </c>
      <c r="F47" t="s">
        <v>18</v>
      </c>
      <c r="G47" t="s">
        <v>12</v>
      </c>
      <c r="H47" t="s">
        <v>13</v>
      </c>
      <c r="I47">
        <v>0.98</v>
      </c>
      <c r="J47">
        <v>210953.33</v>
      </c>
      <c r="K47">
        <f>Table2[[#This Row],[revenue]]/Table2[[#This Row],[budget]]</f>
        <v>3.0535728192159985</v>
      </c>
      <c r="L47" s="2">
        <f t="shared" si="0"/>
        <v>210953.33</v>
      </c>
      <c r="M47" s="2">
        <f>(Table2[[#This Row],[Adjusted revenue]]-Table2[[#This Row],[budget]])/Table2[[#This Row],[budget]]</f>
        <v>2.0535728192159985</v>
      </c>
      <c r="N47" t="str">
        <f t="shared" si="1"/>
        <v>OK</v>
      </c>
      <c r="O47" s="2">
        <f t="shared" si="2"/>
        <v>-0.46240572227031607</v>
      </c>
    </row>
    <row r="48" spans="1:15" x14ac:dyDescent="0.3">
      <c r="A48" t="s">
        <v>66</v>
      </c>
      <c r="B48" s="1">
        <v>45121</v>
      </c>
      <c r="C48" s="1">
        <v>45205</v>
      </c>
      <c r="D48">
        <v>65447.41</v>
      </c>
      <c r="E48" s="2">
        <f>(Table2[[#This Row],[revenue]]-Table2[[#This Row],[budget]])/Table2[[#This Row],[budget]]</f>
        <v>6.3021645929151351</v>
      </c>
      <c r="F48" t="s">
        <v>11</v>
      </c>
      <c r="G48" t="s">
        <v>12</v>
      </c>
      <c r="H48" t="s">
        <v>19</v>
      </c>
      <c r="I48">
        <v>0.26</v>
      </c>
      <c r="J48">
        <v>477907.76</v>
      </c>
      <c r="K48">
        <f>Table2[[#This Row],[revenue]]/Table2[[#This Row],[budget]]</f>
        <v>7.302164592915136</v>
      </c>
      <c r="L48" s="2">
        <f t="shared" si="0"/>
        <v>477907.76</v>
      </c>
      <c r="M48" s="2">
        <f>(Table2[[#This Row],[Adjusted revenue]]-Table2[[#This Row],[budget]])/Table2[[#This Row],[budget]]</f>
        <v>6.3021645929151351</v>
      </c>
      <c r="N48" t="str">
        <f t="shared" si="1"/>
        <v>OK</v>
      </c>
      <c r="O48" s="2">
        <f t="shared" si="2"/>
        <v>0.43203465114002837</v>
      </c>
    </row>
    <row r="49" spans="1:15" x14ac:dyDescent="0.3">
      <c r="A49" t="s">
        <v>67</v>
      </c>
      <c r="B49" s="1">
        <v>45022</v>
      </c>
      <c r="C49" s="1">
        <v>45367</v>
      </c>
      <c r="D49">
        <v>20328.53</v>
      </c>
      <c r="E49" s="2">
        <f>(Table2[[#This Row],[revenue]]-Table2[[#This Row],[budget]])/Table2[[#This Row],[budget]]</f>
        <v>31.3736000586368</v>
      </c>
      <c r="F49" t="s">
        <v>11</v>
      </c>
      <c r="G49" t="s">
        <v>12</v>
      </c>
      <c r="H49" t="s">
        <v>13</v>
      </c>
      <c r="I49">
        <v>0.97</v>
      </c>
      <c r="J49">
        <v>658107.69999999995</v>
      </c>
      <c r="K49">
        <f>Table2[[#This Row],[revenue]]/Table2[[#This Row],[budget]]</f>
        <v>32.373600058636804</v>
      </c>
      <c r="L49" s="2">
        <f t="shared" si="0"/>
        <v>203285.3</v>
      </c>
      <c r="M49" s="2">
        <f>(Table2[[#This Row],[Adjusted revenue]]-Table2[[#This Row],[budget]])/Table2[[#This Row],[budget]]</f>
        <v>9</v>
      </c>
      <c r="N49" t="str">
        <f t="shared" si="1"/>
        <v>OK</v>
      </c>
      <c r="O49" s="2">
        <f t="shared" si="2"/>
        <v>1</v>
      </c>
    </row>
    <row r="50" spans="1:15" x14ac:dyDescent="0.3">
      <c r="A50" t="s">
        <v>68</v>
      </c>
      <c r="B50" s="1">
        <v>44990</v>
      </c>
      <c r="C50" s="1">
        <v>45335</v>
      </c>
      <c r="D50">
        <v>8041.9</v>
      </c>
      <c r="E50" s="2">
        <f>(Table2[[#This Row],[revenue]]-Table2[[#This Row],[budget]])/Table2[[#This Row],[budget]]</f>
        <v>69.606243549409967</v>
      </c>
      <c r="F50" t="s">
        <v>23</v>
      </c>
      <c r="G50" t="s">
        <v>12</v>
      </c>
      <c r="H50" t="s">
        <v>19</v>
      </c>
      <c r="I50">
        <v>0.96</v>
      </c>
      <c r="J50">
        <v>567808.35</v>
      </c>
      <c r="K50">
        <f>Table2[[#This Row],[revenue]]/Table2[[#This Row],[budget]]</f>
        <v>70.606243549409967</v>
      </c>
      <c r="L50" s="2">
        <f t="shared" si="0"/>
        <v>80419</v>
      </c>
      <c r="M50" s="2">
        <f>(Table2[[#This Row],[Adjusted revenue]]-Table2[[#This Row],[budget]])/Table2[[#This Row],[budget]]</f>
        <v>9.0000000000000018</v>
      </c>
      <c r="N50" t="str">
        <f t="shared" si="1"/>
        <v>OK</v>
      </c>
      <c r="O50" s="2">
        <f t="shared" si="2"/>
        <v>1.0000000000000004</v>
      </c>
    </row>
    <row r="51" spans="1:15" x14ac:dyDescent="0.3">
      <c r="A51" t="s">
        <v>69</v>
      </c>
      <c r="B51" s="1">
        <v>44906</v>
      </c>
      <c r="C51" s="1">
        <v>45235</v>
      </c>
      <c r="D51">
        <v>19030.689999999999</v>
      </c>
      <c r="E51" s="2">
        <f>(Table2[[#This Row],[revenue]]-Table2[[#This Row],[budget]])/Table2[[#This Row],[budget]]</f>
        <v>23.809306441332396</v>
      </c>
      <c r="F51" t="s">
        <v>21</v>
      </c>
      <c r="G51" t="s">
        <v>15</v>
      </c>
      <c r="H51" t="s">
        <v>16</v>
      </c>
      <c r="I51">
        <v>0.75</v>
      </c>
      <c r="J51">
        <v>472138.22</v>
      </c>
      <c r="K51">
        <f>Table2[[#This Row],[revenue]]/Table2[[#This Row],[budget]]</f>
        <v>24.809306441332396</v>
      </c>
      <c r="L51" s="2">
        <f t="shared" si="0"/>
        <v>190306.9</v>
      </c>
      <c r="M51" s="2">
        <f>(Table2[[#This Row],[Adjusted revenue]]-Table2[[#This Row],[budget]])/Table2[[#This Row],[budget]]</f>
        <v>9</v>
      </c>
      <c r="N51" t="str">
        <f t="shared" si="1"/>
        <v>OK</v>
      </c>
      <c r="O51" s="2">
        <f t="shared" si="2"/>
        <v>1</v>
      </c>
    </row>
    <row r="52" spans="1:15" x14ac:dyDescent="0.3">
      <c r="A52" t="s">
        <v>70</v>
      </c>
      <c r="B52" s="1">
        <v>44854</v>
      </c>
      <c r="C52" s="1">
        <v>45333</v>
      </c>
      <c r="D52">
        <v>6124.7</v>
      </c>
      <c r="E52" s="2">
        <f>(Table2[[#This Row],[revenue]]-Table2[[#This Row],[budget]])/Table2[[#This Row],[budget]]</f>
        <v>63.890559537610009</v>
      </c>
      <c r="F52" t="s">
        <v>11</v>
      </c>
      <c r="G52" t="s">
        <v>12</v>
      </c>
      <c r="H52" t="s">
        <v>25</v>
      </c>
      <c r="I52">
        <v>0.67</v>
      </c>
      <c r="J52">
        <v>397435.21</v>
      </c>
      <c r="K52">
        <f>Table2[[#This Row],[revenue]]/Table2[[#This Row],[budget]]</f>
        <v>64.890559537610017</v>
      </c>
      <c r="L52" s="2">
        <f t="shared" si="0"/>
        <v>61247</v>
      </c>
      <c r="M52" s="2">
        <f>(Table2[[#This Row],[Adjusted revenue]]-Table2[[#This Row],[budget]])/Table2[[#This Row],[budget]]</f>
        <v>9</v>
      </c>
      <c r="N52" t="str">
        <f t="shared" si="1"/>
        <v>OK</v>
      </c>
      <c r="O52" s="2">
        <f t="shared" si="2"/>
        <v>1</v>
      </c>
    </row>
    <row r="53" spans="1:15" x14ac:dyDescent="0.3">
      <c r="A53" t="s">
        <v>71</v>
      </c>
      <c r="B53" s="1">
        <v>44883</v>
      </c>
      <c r="C53" s="1">
        <v>45248</v>
      </c>
      <c r="D53">
        <v>11271.19</v>
      </c>
      <c r="E53" s="2">
        <f>(Table2[[#This Row],[revenue]]-Table2[[#This Row],[budget]])/Table2[[#This Row],[budget]]</f>
        <v>46.764911247170886</v>
      </c>
      <c r="F53" t="s">
        <v>23</v>
      </c>
      <c r="G53" t="s">
        <v>15</v>
      </c>
      <c r="H53" t="s">
        <v>25</v>
      </c>
      <c r="I53">
        <v>0.81</v>
      </c>
      <c r="J53">
        <v>538367.39</v>
      </c>
      <c r="K53">
        <f>Table2[[#This Row],[revenue]]/Table2[[#This Row],[budget]]</f>
        <v>47.764911247170886</v>
      </c>
      <c r="L53" s="2">
        <f t="shared" si="0"/>
        <v>112711.90000000001</v>
      </c>
      <c r="M53" s="2">
        <f>(Table2[[#This Row],[Adjusted revenue]]-Table2[[#This Row],[budget]])/Table2[[#This Row],[budget]]</f>
        <v>9</v>
      </c>
      <c r="N53" t="str">
        <f t="shared" si="1"/>
        <v>OK</v>
      </c>
      <c r="O53" s="2">
        <f t="shared" si="2"/>
        <v>1</v>
      </c>
    </row>
    <row r="54" spans="1:15" x14ac:dyDescent="0.3">
      <c r="A54" t="s">
        <v>72</v>
      </c>
      <c r="B54" s="1">
        <v>44906</v>
      </c>
      <c r="C54" s="1">
        <v>45369</v>
      </c>
      <c r="D54">
        <v>28203.84</v>
      </c>
      <c r="E54" s="2">
        <f>(Table2[[#This Row],[revenue]]-Table2[[#This Row],[budget]])/Table2[[#This Row],[budget]]</f>
        <v>19.218742199643739</v>
      </c>
      <c r="F54" t="s">
        <v>11</v>
      </c>
      <c r="G54" t="s">
        <v>15</v>
      </c>
      <c r="H54" t="s">
        <v>13</v>
      </c>
      <c r="I54">
        <v>0.24</v>
      </c>
      <c r="J54">
        <v>570246.17000000004</v>
      </c>
      <c r="K54">
        <f>Table2[[#This Row],[revenue]]/Table2[[#This Row],[budget]]</f>
        <v>20.218742199643739</v>
      </c>
      <c r="L54" s="2">
        <f t="shared" si="0"/>
        <v>282038.40000000002</v>
      </c>
      <c r="M54" s="2">
        <f>(Table2[[#This Row],[Adjusted revenue]]-Table2[[#This Row],[budget]])/Table2[[#This Row],[budget]]</f>
        <v>9.0000000000000018</v>
      </c>
      <c r="N54" t="str">
        <f t="shared" si="1"/>
        <v>OK</v>
      </c>
      <c r="O54" s="2">
        <f t="shared" si="2"/>
        <v>1.0000000000000004</v>
      </c>
    </row>
    <row r="55" spans="1:15" x14ac:dyDescent="0.3">
      <c r="A55" t="s">
        <v>73</v>
      </c>
      <c r="B55" s="1">
        <v>44779</v>
      </c>
      <c r="C55" s="1">
        <v>45363</v>
      </c>
      <c r="D55">
        <v>99957.15</v>
      </c>
      <c r="E55" s="2">
        <f>(Table2[[#This Row],[revenue]]-Table2[[#This Row],[budget]])/Table2[[#This Row],[budget]]</f>
        <v>3.3068278757447565</v>
      </c>
      <c r="F55" t="s">
        <v>21</v>
      </c>
      <c r="G55" t="s">
        <v>15</v>
      </c>
      <c r="H55" t="s">
        <v>25</v>
      </c>
      <c r="I55">
        <v>0.62</v>
      </c>
      <c r="J55">
        <v>430498.24</v>
      </c>
      <c r="K55">
        <f>Table2[[#This Row],[revenue]]/Table2[[#This Row],[budget]]</f>
        <v>4.3068278757447569</v>
      </c>
      <c r="L55" s="2">
        <f t="shared" si="0"/>
        <v>430498.24</v>
      </c>
      <c r="M55" s="2">
        <f>(Table2[[#This Row],[Adjusted revenue]]-Table2[[#This Row],[budget]])/Table2[[#This Row],[budget]]</f>
        <v>3.3068278757447565</v>
      </c>
      <c r="N55" t="str">
        <f t="shared" si="1"/>
        <v>OK</v>
      </c>
      <c r="O55" s="2">
        <f t="shared" si="2"/>
        <v>-0.19856255247478816</v>
      </c>
    </row>
    <row r="56" spans="1:15" x14ac:dyDescent="0.3">
      <c r="A56" t="s">
        <v>74</v>
      </c>
      <c r="B56" s="1">
        <v>45083</v>
      </c>
      <c r="C56" s="1">
        <v>45285</v>
      </c>
      <c r="D56">
        <v>27675.42</v>
      </c>
      <c r="E56" s="2">
        <f>(Table2[[#This Row],[revenue]]-Table2[[#This Row],[budget]])/Table2[[#This Row],[budget]]</f>
        <v>23.305594278244016</v>
      </c>
      <c r="F56" t="s">
        <v>11</v>
      </c>
      <c r="G56" t="s">
        <v>12</v>
      </c>
      <c r="H56" t="s">
        <v>19</v>
      </c>
      <c r="I56">
        <v>0.1</v>
      </c>
      <c r="J56">
        <v>672667.53</v>
      </c>
      <c r="K56">
        <f>Table2[[#This Row],[revenue]]/Table2[[#This Row],[budget]]</f>
        <v>24.305594278244019</v>
      </c>
      <c r="L56" s="2">
        <f t="shared" si="0"/>
        <v>276754.19999999995</v>
      </c>
      <c r="M56" s="2">
        <f>(Table2[[#This Row],[Adjusted revenue]]-Table2[[#This Row],[budget]])/Table2[[#This Row],[budget]]</f>
        <v>9</v>
      </c>
      <c r="N56" t="str">
        <f t="shared" si="1"/>
        <v>OK</v>
      </c>
      <c r="O56" s="2">
        <f t="shared" si="2"/>
        <v>1</v>
      </c>
    </row>
    <row r="57" spans="1:15" x14ac:dyDescent="0.3">
      <c r="A57" t="s">
        <v>75</v>
      </c>
      <c r="B57" s="1">
        <v>44992</v>
      </c>
      <c r="C57" s="1">
        <v>45199</v>
      </c>
      <c r="D57">
        <v>12480.75</v>
      </c>
      <c r="E57" s="2">
        <f>(Table2[[#This Row],[revenue]]-Table2[[#This Row],[budget]])/Table2[[#This Row],[budget]]</f>
        <v>66.926923462131683</v>
      </c>
      <c r="F57" t="s">
        <v>18</v>
      </c>
      <c r="G57" t="s">
        <v>12</v>
      </c>
      <c r="H57" t="s">
        <v>16</v>
      </c>
      <c r="I57">
        <v>0.82</v>
      </c>
      <c r="J57">
        <v>847778.95</v>
      </c>
      <c r="K57">
        <f>Table2[[#This Row],[revenue]]/Table2[[#This Row],[budget]]</f>
        <v>67.926923462131683</v>
      </c>
      <c r="L57" s="2">
        <f t="shared" si="0"/>
        <v>124807.5</v>
      </c>
      <c r="M57" s="2">
        <f>(Table2[[#This Row],[Adjusted revenue]]-Table2[[#This Row],[budget]])/Table2[[#This Row],[budget]]</f>
        <v>9</v>
      </c>
      <c r="N57" t="str">
        <f t="shared" si="1"/>
        <v>OK</v>
      </c>
      <c r="O57" s="2">
        <f t="shared" si="2"/>
        <v>1</v>
      </c>
    </row>
    <row r="58" spans="1:15" x14ac:dyDescent="0.3">
      <c r="A58" t="s">
        <v>76</v>
      </c>
      <c r="B58" s="1">
        <v>45039</v>
      </c>
      <c r="C58" s="1">
        <v>45449</v>
      </c>
      <c r="D58">
        <v>84119.33</v>
      </c>
      <c r="E58" s="2">
        <f>(Table2[[#This Row],[revenue]]-Table2[[#This Row],[budget]])/Table2[[#This Row],[budget]]</f>
        <v>8.707562102551222</v>
      </c>
      <c r="F58" t="s">
        <v>11</v>
      </c>
      <c r="G58" t="s">
        <v>15</v>
      </c>
      <c r="H58" t="s">
        <v>13</v>
      </c>
      <c r="I58">
        <v>0.64</v>
      </c>
      <c r="J58">
        <v>816593.62</v>
      </c>
      <c r="K58">
        <f>Table2[[#This Row],[revenue]]/Table2[[#This Row],[budget]]</f>
        <v>9.7075621025512202</v>
      </c>
      <c r="L58" s="2">
        <f t="shared" si="0"/>
        <v>816593.62</v>
      </c>
      <c r="M58" s="2">
        <f>(Table2[[#This Row],[Adjusted revenue]]-Table2[[#This Row],[budget]])/Table2[[#This Row],[budget]]</f>
        <v>8.707562102551222</v>
      </c>
      <c r="N58" t="str">
        <f t="shared" si="1"/>
        <v>OK</v>
      </c>
      <c r="O58" s="2">
        <f t="shared" si="2"/>
        <v>0.93843412685288885</v>
      </c>
    </row>
    <row r="59" spans="1:15" x14ac:dyDescent="0.3">
      <c r="A59" t="s">
        <v>77</v>
      </c>
      <c r="B59" s="1">
        <v>44834</v>
      </c>
      <c r="C59" s="1">
        <v>45311</v>
      </c>
      <c r="D59">
        <v>6658.22</v>
      </c>
      <c r="E59" s="2">
        <f>(Table2[[#This Row],[revenue]]-Table2[[#This Row],[budget]])/Table2[[#This Row],[budget]]</f>
        <v>40.145046273628694</v>
      </c>
      <c r="F59" t="s">
        <v>21</v>
      </c>
      <c r="G59" t="s">
        <v>15</v>
      </c>
      <c r="H59" t="s">
        <v>16</v>
      </c>
      <c r="I59">
        <v>0.3</v>
      </c>
      <c r="J59">
        <v>273952.77</v>
      </c>
      <c r="K59">
        <f>Table2[[#This Row],[revenue]]/Table2[[#This Row],[budget]]</f>
        <v>41.145046273628687</v>
      </c>
      <c r="L59" s="2">
        <f t="shared" si="0"/>
        <v>66582.2</v>
      </c>
      <c r="M59" s="2">
        <f>(Table2[[#This Row],[Adjusted revenue]]-Table2[[#This Row],[budget]])/Table2[[#This Row],[budget]]</f>
        <v>8.9999999999999982</v>
      </c>
      <c r="N59" t="str">
        <f t="shared" si="1"/>
        <v>OK</v>
      </c>
      <c r="O59" s="2">
        <f t="shared" si="2"/>
        <v>0.99999999999999956</v>
      </c>
    </row>
    <row r="60" spans="1:15" x14ac:dyDescent="0.3">
      <c r="A60" t="s">
        <v>78</v>
      </c>
      <c r="B60" s="1">
        <v>44863</v>
      </c>
      <c r="C60" s="1">
        <v>45398</v>
      </c>
      <c r="D60">
        <v>53826.21</v>
      </c>
      <c r="E60" s="2">
        <f>(Table2[[#This Row],[revenue]]-Table2[[#This Row],[budget]])/Table2[[#This Row],[budget]]</f>
        <v>11.703788173085195</v>
      </c>
      <c r="F60" t="s">
        <v>18</v>
      </c>
      <c r="G60" t="s">
        <v>12</v>
      </c>
      <c r="H60" t="s">
        <v>16</v>
      </c>
      <c r="I60">
        <v>0.2</v>
      </c>
      <c r="J60">
        <v>683796.77</v>
      </c>
      <c r="K60">
        <f>Table2[[#This Row],[revenue]]/Table2[[#This Row],[budget]]</f>
        <v>12.703788173085195</v>
      </c>
      <c r="L60" s="2">
        <f t="shared" si="0"/>
        <v>538262.1</v>
      </c>
      <c r="M60" s="2">
        <f>(Table2[[#This Row],[Adjusted revenue]]-Table2[[#This Row],[budget]])/Table2[[#This Row],[budget]]</f>
        <v>9</v>
      </c>
      <c r="N60" t="str">
        <f t="shared" si="1"/>
        <v>OK</v>
      </c>
      <c r="O60" s="2">
        <f t="shared" si="2"/>
        <v>1</v>
      </c>
    </row>
    <row r="61" spans="1:15" x14ac:dyDescent="0.3">
      <c r="A61" t="s">
        <v>79</v>
      </c>
      <c r="B61" s="1">
        <v>45133</v>
      </c>
      <c r="C61" s="1">
        <v>45149</v>
      </c>
      <c r="D61">
        <v>85125</v>
      </c>
      <c r="E61" s="2">
        <f>(Table2[[#This Row],[revenue]]-Table2[[#This Row],[budget]])/Table2[[#This Row],[budget]]</f>
        <v>3.2836815271659328</v>
      </c>
      <c r="F61" t="s">
        <v>21</v>
      </c>
      <c r="G61" t="s">
        <v>15</v>
      </c>
      <c r="H61" t="s">
        <v>16</v>
      </c>
      <c r="I61">
        <v>0.14000000000000001</v>
      </c>
      <c r="J61">
        <v>364648.39</v>
      </c>
      <c r="K61">
        <f>Table2[[#This Row],[revenue]]/Table2[[#This Row],[budget]]</f>
        <v>4.2836815271659328</v>
      </c>
      <c r="L61" s="2">
        <f t="shared" si="0"/>
        <v>364648.39</v>
      </c>
      <c r="M61" s="2">
        <f>(Table2[[#This Row],[Adjusted revenue]]-Table2[[#This Row],[budget]])/Table2[[#This Row],[budget]]</f>
        <v>3.2836815271659328</v>
      </c>
      <c r="N61" t="str">
        <f t="shared" si="1"/>
        <v>OK</v>
      </c>
      <c r="O61" s="2">
        <f t="shared" si="2"/>
        <v>-0.20343546796506684</v>
      </c>
    </row>
    <row r="62" spans="1:15" x14ac:dyDescent="0.3">
      <c r="A62" t="s">
        <v>80</v>
      </c>
      <c r="B62" s="1">
        <v>45100</v>
      </c>
      <c r="C62" s="1">
        <v>45294</v>
      </c>
      <c r="D62">
        <v>79220.800000000003</v>
      </c>
      <c r="E62" s="2">
        <f>(Table2[[#This Row],[revenue]]-Table2[[#This Row],[budget]])/Table2[[#This Row],[budget]]</f>
        <v>-0.62667026841435591</v>
      </c>
      <c r="F62" t="s">
        <v>23</v>
      </c>
      <c r="G62" t="s">
        <v>15</v>
      </c>
      <c r="H62" t="s">
        <v>19</v>
      </c>
      <c r="I62">
        <v>0.3</v>
      </c>
      <c r="J62">
        <v>29575.48</v>
      </c>
      <c r="K62">
        <f>Table2[[#This Row],[revenue]]/Table2[[#This Row],[budget]]</f>
        <v>0.37332973158564414</v>
      </c>
      <c r="L62" s="2">
        <f t="shared" si="0"/>
        <v>39610.400000000001</v>
      </c>
      <c r="M62" s="2">
        <f>(Table2[[#This Row],[Adjusted revenue]]-Table2[[#This Row],[budget]])/Table2[[#This Row],[budget]]</f>
        <v>-0.5</v>
      </c>
      <c r="N62" t="str">
        <f t="shared" si="1"/>
        <v>Failed</v>
      </c>
      <c r="O62" s="2">
        <f t="shared" si="2"/>
        <v>-1</v>
      </c>
    </row>
    <row r="63" spans="1:15" x14ac:dyDescent="0.3">
      <c r="A63" t="s">
        <v>81</v>
      </c>
      <c r="B63" s="1">
        <v>45022</v>
      </c>
      <c r="C63" s="1">
        <v>45153</v>
      </c>
      <c r="D63">
        <v>46560.5</v>
      </c>
      <c r="E63" s="2">
        <f>(Table2[[#This Row],[revenue]]-Table2[[#This Row],[budget]])/Table2[[#This Row],[budget]]</f>
        <v>9.5027924957850551</v>
      </c>
      <c r="F63" t="s">
        <v>23</v>
      </c>
      <c r="G63" t="s">
        <v>15</v>
      </c>
      <c r="H63" t="s">
        <v>19</v>
      </c>
      <c r="I63">
        <v>0.85</v>
      </c>
      <c r="J63">
        <v>489015.27</v>
      </c>
      <c r="K63">
        <f>Table2[[#This Row],[revenue]]/Table2[[#This Row],[budget]]</f>
        <v>10.502792495785055</v>
      </c>
      <c r="L63" s="2">
        <f t="shared" si="0"/>
        <v>465605</v>
      </c>
      <c r="M63" s="2">
        <f>(Table2[[#This Row],[Adjusted revenue]]-Table2[[#This Row],[budget]])/Table2[[#This Row],[budget]]</f>
        <v>9</v>
      </c>
      <c r="N63" t="str">
        <f t="shared" si="1"/>
        <v>OK</v>
      </c>
      <c r="O63" s="2">
        <f t="shared" si="2"/>
        <v>1</v>
      </c>
    </row>
    <row r="64" spans="1:15" x14ac:dyDescent="0.3">
      <c r="A64" t="s">
        <v>82</v>
      </c>
      <c r="B64" s="1">
        <v>45120</v>
      </c>
      <c r="C64" s="1">
        <v>45404</v>
      </c>
      <c r="D64">
        <v>56850.62</v>
      </c>
      <c r="E64" s="2">
        <f>(Table2[[#This Row],[revenue]]-Table2[[#This Row],[budget]])/Table2[[#This Row],[budget]]</f>
        <v>5.7389092678320832</v>
      </c>
      <c r="F64" t="s">
        <v>23</v>
      </c>
      <c r="G64" t="s">
        <v>15</v>
      </c>
      <c r="H64" t="s">
        <v>25</v>
      </c>
      <c r="I64">
        <v>0.98</v>
      </c>
      <c r="J64">
        <v>383111.17</v>
      </c>
      <c r="K64">
        <f>Table2[[#This Row],[revenue]]/Table2[[#This Row],[budget]]</f>
        <v>6.7389092678320832</v>
      </c>
      <c r="L64" s="2">
        <f t="shared" si="0"/>
        <v>383111.17</v>
      </c>
      <c r="M64" s="2">
        <f>(Table2[[#This Row],[Adjusted revenue]]-Table2[[#This Row],[budget]])/Table2[[#This Row],[budget]]</f>
        <v>5.7389092678320832</v>
      </c>
      <c r="N64" t="str">
        <f t="shared" si="1"/>
        <v>OK</v>
      </c>
      <c r="O64" s="2">
        <f t="shared" si="2"/>
        <v>0.31345458270149118</v>
      </c>
    </row>
    <row r="65" spans="1:15" x14ac:dyDescent="0.3">
      <c r="A65" t="s">
        <v>83</v>
      </c>
      <c r="B65" s="1">
        <v>44874</v>
      </c>
      <c r="C65" s="1">
        <v>45338</v>
      </c>
      <c r="D65">
        <v>94856.15</v>
      </c>
      <c r="E65" s="2">
        <f>(Table2[[#This Row],[revenue]]-Table2[[#This Row],[budget]])/Table2[[#This Row],[budget]]</f>
        <v>1.9909622096195132</v>
      </c>
      <c r="F65" t="s">
        <v>11</v>
      </c>
      <c r="G65" t="s">
        <v>12</v>
      </c>
      <c r="H65" t="s">
        <v>25</v>
      </c>
      <c r="I65">
        <v>0.23</v>
      </c>
      <c r="J65">
        <v>283711.15999999997</v>
      </c>
      <c r="K65">
        <f>Table2[[#This Row],[revenue]]/Table2[[#This Row],[budget]]</f>
        <v>2.9909622096195134</v>
      </c>
      <c r="L65" s="2">
        <f t="shared" si="0"/>
        <v>283711.15999999997</v>
      </c>
      <c r="M65" s="2">
        <f>(Table2[[#This Row],[Adjusted revenue]]-Table2[[#This Row],[budget]])/Table2[[#This Row],[budget]]</f>
        <v>1.9909622096195132</v>
      </c>
      <c r="N65" t="str">
        <f t="shared" si="1"/>
        <v>OK</v>
      </c>
      <c r="O65" s="2">
        <f t="shared" si="2"/>
        <v>-0.47558690323799713</v>
      </c>
    </row>
    <row r="66" spans="1:15" x14ac:dyDescent="0.3">
      <c r="A66" t="s">
        <v>84</v>
      </c>
      <c r="B66" s="1">
        <v>44851</v>
      </c>
      <c r="C66" s="1">
        <v>45154</v>
      </c>
      <c r="D66">
        <v>93383.63</v>
      </c>
      <c r="E66" s="2">
        <f>(Table2[[#This Row],[revenue]]-Table2[[#This Row],[budget]])/Table2[[#This Row],[budget]]</f>
        <v>7.0304190359702234</v>
      </c>
      <c r="F66" t="s">
        <v>11</v>
      </c>
      <c r="G66" t="s">
        <v>12</v>
      </c>
      <c r="H66" t="s">
        <v>16</v>
      </c>
      <c r="I66">
        <v>0.76</v>
      </c>
      <c r="J66">
        <v>749909.68</v>
      </c>
      <c r="K66">
        <f>Table2[[#This Row],[revenue]]/Table2[[#This Row],[budget]]</f>
        <v>8.0304190359702226</v>
      </c>
      <c r="L66" s="2">
        <f t="shared" ref="L66:L129" si="3">MIN(MAX(J66, D66*0.5), D66*10)</f>
        <v>749909.68</v>
      </c>
      <c r="M66" s="2">
        <f>(Table2[[#This Row],[Adjusted revenue]]-Table2[[#This Row],[budget]])/Table2[[#This Row],[budget]]</f>
        <v>7.0304190359702234</v>
      </c>
      <c r="N66" t="str">
        <f t="shared" ref="N66:N129" si="4">IF(M66&lt;0.5,"Failed",IF(M66&gt;10,"Suspicious","OK"))</f>
        <v>OK</v>
      </c>
      <c r="O66" s="2">
        <f t="shared" ref="O66:O129" si="5">((M66 - (-0.5)) / (9 - (-0.5))) * (1 - (-1)) + (-1)</f>
        <v>0.58535137599373122</v>
      </c>
    </row>
    <row r="67" spans="1:15" x14ac:dyDescent="0.3">
      <c r="A67" t="s">
        <v>85</v>
      </c>
      <c r="B67" s="1">
        <v>44982</v>
      </c>
      <c r="C67" s="1">
        <v>45184</v>
      </c>
      <c r="D67">
        <v>26183.57</v>
      </c>
      <c r="E67" s="2">
        <f>(Table2[[#This Row],[revenue]]-Table2[[#This Row],[budget]])/Table2[[#This Row],[budget]]</f>
        <v>15.414495807867299</v>
      </c>
      <c r="F67" t="s">
        <v>23</v>
      </c>
      <c r="G67" t="s">
        <v>12</v>
      </c>
      <c r="H67" t="s">
        <v>25</v>
      </c>
      <c r="I67">
        <v>0.26</v>
      </c>
      <c r="J67">
        <v>429790.1</v>
      </c>
      <c r="K67">
        <f>Table2[[#This Row],[revenue]]/Table2[[#This Row],[budget]]</f>
        <v>16.414495807867301</v>
      </c>
      <c r="L67" s="2">
        <f t="shared" si="3"/>
        <v>261835.7</v>
      </c>
      <c r="M67" s="2">
        <f>(Table2[[#This Row],[Adjusted revenue]]-Table2[[#This Row],[budget]])/Table2[[#This Row],[budget]]</f>
        <v>9</v>
      </c>
      <c r="N67" t="str">
        <f t="shared" si="4"/>
        <v>OK</v>
      </c>
      <c r="O67" s="2">
        <f t="shared" si="5"/>
        <v>1</v>
      </c>
    </row>
    <row r="68" spans="1:15" x14ac:dyDescent="0.3">
      <c r="A68" t="s">
        <v>86</v>
      </c>
      <c r="B68" s="1">
        <v>44778</v>
      </c>
      <c r="C68" s="1">
        <v>45296</v>
      </c>
      <c r="D68">
        <v>99128.36</v>
      </c>
      <c r="E68" s="2">
        <f>(Table2[[#This Row],[revenue]]-Table2[[#This Row],[budget]])/Table2[[#This Row],[budget]]</f>
        <v>7.5982921537287611</v>
      </c>
      <c r="F68" t="s">
        <v>11</v>
      </c>
      <c r="G68" t="s">
        <v>12</v>
      </c>
      <c r="H68" t="s">
        <v>16</v>
      </c>
      <c r="I68">
        <v>0.78</v>
      </c>
      <c r="J68">
        <v>852334.6</v>
      </c>
      <c r="K68">
        <f>Table2[[#This Row],[revenue]]/Table2[[#This Row],[budget]]</f>
        <v>8.5982921537287602</v>
      </c>
      <c r="L68" s="2">
        <f t="shared" si="3"/>
        <v>852334.6</v>
      </c>
      <c r="M68" s="2">
        <f>(Table2[[#This Row],[Adjusted revenue]]-Table2[[#This Row],[budget]])/Table2[[#This Row],[budget]]</f>
        <v>7.5982921537287611</v>
      </c>
      <c r="N68" t="str">
        <f t="shared" si="4"/>
        <v>OK</v>
      </c>
      <c r="O68" s="2">
        <f t="shared" si="5"/>
        <v>0.70490361131131785</v>
      </c>
    </row>
    <row r="69" spans="1:15" x14ac:dyDescent="0.3">
      <c r="A69" t="s">
        <v>87</v>
      </c>
      <c r="B69" s="1">
        <v>44779</v>
      </c>
      <c r="C69" s="1">
        <v>45399</v>
      </c>
      <c r="D69">
        <v>80647.64</v>
      </c>
      <c r="E69" s="2">
        <f>(Table2[[#This Row],[revenue]]-Table2[[#This Row],[budget]])/Table2[[#This Row],[budget]]</f>
        <v>9.814445035217398</v>
      </c>
      <c r="F69" t="s">
        <v>21</v>
      </c>
      <c r="G69" t="s">
        <v>12</v>
      </c>
      <c r="H69" t="s">
        <v>25</v>
      </c>
      <c r="I69">
        <v>0.81</v>
      </c>
      <c r="J69">
        <v>872159.47</v>
      </c>
      <c r="K69">
        <f>Table2[[#This Row],[revenue]]/Table2[[#This Row],[budget]]</f>
        <v>10.814445035217398</v>
      </c>
      <c r="L69" s="2">
        <f t="shared" si="3"/>
        <v>806476.4</v>
      </c>
      <c r="M69" s="2">
        <f>(Table2[[#This Row],[Adjusted revenue]]-Table2[[#This Row],[budget]])/Table2[[#This Row],[budget]]</f>
        <v>9</v>
      </c>
      <c r="N69" t="str">
        <f t="shared" si="4"/>
        <v>OK</v>
      </c>
      <c r="O69" s="2">
        <f t="shared" si="5"/>
        <v>1</v>
      </c>
    </row>
    <row r="70" spans="1:15" x14ac:dyDescent="0.3">
      <c r="A70" t="s">
        <v>88</v>
      </c>
      <c r="B70" s="1">
        <v>44987</v>
      </c>
      <c r="C70" s="1">
        <v>45485</v>
      </c>
      <c r="D70">
        <v>30883.42</v>
      </c>
      <c r="E70" s="2">
        <f>(Table2[[#This Row],[revenue]]-Table2[[#This Row],[budget]])/Table2[[#This Row],[budget]]</f>
        <v>27.278672828333132</v>
      </c>
      <c r="F70" t="s">
        <v>23</v>
      </c>
      <c r="G70" t="s">
        <v>12</v>
      </c>
      <c r="H70" t="s">
        <v>19</v>
      </c>
      <c r="I70">
        <v>0.37</v>
      </c>
      <c r="J70">
        <v>873342.13</v>
      </c>
      <c r="K70">
        <f>Table2[[#This Row],[revenue]]/Table2[[#This Row],[budget]]</f>
        <v>28.278672828333132</v>
      </c>
      <c r="L70" s="2">
        <f t="shared" si="3"/>
        <v>308834.19999999995</v>
      </c>
      <c r="M70" s="2">
        <f>(Table2[[#This Row],[Adjusted revenue]]-Table2[[#This Row],[budget]])/Table2[[#This Row],[budget]]</f>
        <v>9</v>
      </c>
      <c r="N70" t="str">
        <f t="shared" si="4"/>
        <v>OK</v>
      </c>
      <c r="O70" s="2">
        <f t="shared" si="5"/>
        <v>1</v>
      </c>
    </row>
    <row r="71" spans="1:15" x14ac:dyDescent="0.3">
      <c r="A71" t="s">
        <v>89</v>
      </c>
      <c r="B71" s="1">
        <v>44848</v>
      </c>
      <c r="C71" s="1">
        <v>45479</v>
      </c>
      <c r="D71">
        <v>24998.61</v>
      </c>
      <c r="E71" s="2">
        <f>(Table2[[#This Row],[revenue]]-Table2[[#This Row],[budget]])/Table2[[#This Row],[budget]]</f>
        <v>1.8504700861367889</v>
      </c>
      <c r="F71" t="s">
        <v>21</v>
      </c>
      <c r="G71" t="s">
        <v>15</v>
      </c>
      <c r="H71" t="s">
        <v>13</v>
      </c>
      <c r="I71">
        <v>0.39</v>
      </c>
      <c r="J71">
        <v>71257.789999999994</v>
      </c>
      <c r="K71">
        <f>Table2[[#This Row],[revenue]]/Table2[[#This Row],[budget]]</f>
        <v>2.8504700861367889</v>
      </c>
      <c r="L71" s="2">
        <f t="shared" si="3"/>
        <v>71257.789999999994</v>
      </c>
      <c r="M71" s="2">
        <f>(Table2[[#This Row],[Adjusted revenue]]-Table2[[#This Row],[budget]])/Table2[[#This Row],[budget]]</f>
        <v>1.8504700861367889</v>
      </c>
      <c r="N71" t="str">
        <f t="shared" si="4"/>
        <v>OK</v>
      </c>
      <c r="O71" s="2">
        <f t="shared" si="5"/>
        <v>-0.50516419239225496</v>
      </c>
    </row>
    <row r="72" spans="1:15" x14ac:dyDescent="0.3">
      <c r="A72" t="s">
        <v>90</v>
      </c>
      <c r="B72" s="1">
        <v>44833</v>
      </c>
      <c r="C72" s="1">
        <v>45174</v>
      </c>
      <c r="D72">
        <v>64119.81</v>
      </c>
      <c r="E72" s="2">
        <f>(Table2[[#This Row],[revenue]]-Table2[[#This Row],[budget]])/Table2[[#This Row],[budget]]</f>
        <v>2.30491590664414</v>
      </c>
      <c r="F72" t="s">
        <v>23</v>
      </c>
      <c r="G72" t="s">
        <v>12</v>
      </c>
      <c r="H72" t="s">
        <v>16</v>
      </c>
      <c r="I72">
        <v>0.93</v>
      </c>
      <c r="J72">
        <v>211910.58</v>
      </c>
      <c r="K72">
        <f>Table2[[#This Row],[revenue]]/Table2[[#This Row],[budget]]</f>
        <v>3.30491590664414</v>
      </c>
      <c r="L72" s="2">
        <f t="shared" si="3"/>
        <v>211910.58</v>
      </c>
      <c r="M72" s="2">
        <f>(Table2[[#This Row],[Adjusted revenue]]-Table2[[#This Row],[budget]])/Table2[[#This Row],[budget]]</f>
        <v>2.30491590664414</v>
      </c>
      <c r="N72" t="str">
        <f t="shared" si="4"/>
        <v>OK</v>
      </c>
      <c r="O72" s="2">
        <f t="shared" si="5"/>
        <v>-0.40949138807491792</v>
      </c>
    </row>
    <row r="73" spans="1:15" x14ac:dyDescent="0.3">
      <c r="A73" t="s">
        <v>91</v>
      </c>
      <c r="B73" s="1">
        <v>45062</v>
      </c>
      <c r="C73" s="1">
        <v>45372</v>
      </c>
      <c r="D73">
        <v>60594.85</v>
      </c>
      <c r="E73" s="2">
        <f>(Table2[[#This Row],[revenue]]-Table2[[#This Row],[budget]])/Table2[[#This Row],[budget]]</f>
        <v>13.033809968999016</v>
      </c>
      <c r="F73" t="s">
        <v>23</v>
      </c>
      <c r="G73" t="s">
        <v>15</v>
      </c>
      <c r="H73" t="s">
        <v>19</v>
      </c>
      <c r="I73">
        <v>0.82</v>
      </c>
      <c r="J73">
        <v>850376.61</v>
      </c>
      <c r="K73">
        <f>Table2[[#This Row],[revenue]]/Table2[[#This Row],[budget]]</f>
        <v>14.033809968999016</v>
      </c>
      <c r="L73" s="2">
        <f t="shared" si="3"/>
        <v>605948.5</v>
      </c>
      <c r="M73" s="2">
        <f>(Table2[[#This Row],[Adjusted revenue]]-Table2[[#This Row],[budget]])/Table2[[#This Row],[budget]]</f>
        <v>9</v>
      </c>
      <c r="N73" t="str">
        <f t="shared" si="4"/>
        <v>OK</v>
      </c>
      <c r="O73" s="2">
        <f t="shared" si="5"/>
        <v>1</v>
      </c>
    </row>
    <row r="74" spans="1:15" x14ac:dyDescent="0.3">
      <c r="A74" t="s">
        <v>92</v>
      </c>
      <c r="B74" s="1">
        <v>44866</v>
      </c>
      <c r="C74" s="1">
        <v>45236</v>
      </c>
      <c r="D74">
        <v>22411.360000000001</v>
      </c>
      <c r="E74" s="2">
        <f>(Table2[[#This Row],[revenue]]-Table2[[#This Row],[budget]])/Table2[[#This Row],[budget]]</f>
        <v>3.56847866439163</v>
      </c>
      <c r="F74" t="s">
        <v>21</v>
      </c>
      <c r="G74" t="s">
        <v>15</v>
      </c>
      <c r="H74" t="s">
        <v>13</v>
      </c>
      <c r="I74">
        <v>0.4</v>
      </c>
      <c r="J74">
        <v>102385.82</v>
      </c>
      <c r="K74">
        <f>Table2[[#This Row],[revenue]]/Table2[[#This Row],[budget]]</f>
        <v>4.5684786643916304</v>
      </c>
      <c r="L74" s="2">
        <f t="shared" si="3"/>
        <v>102385.82</v>
      </c>
      <c r="M74" s="2">
        <f>(Table2[[#This Row],[Adjusted revenue]]-Table2[[#This Row],[budget]])/Table2[[#This Row],[budget]]</f>
        <v>3.56847866439163</v>
      </c>
      <c r="N74" t="str">
        <f t="shared" si="4"/>
        <v>OK</v>
      </c>
      <c r="O74" s="2">
        <f t="shared" si="5"/>
        <v>-0.14347817591755152</v>
      </c>
    </row>
    <row r="75" spans="1:15" x14ac:dyDescent="0.3">
      <c r="A75" t="s">
        <v>93</v>
      </c>
      <c r="B75" s="1">
        <v>44801</v>
      </c>
      <c r="C75" s="1">
        <v>45208</v>
      </c>
      <c r="D75">
        <v>47906.32</v>
      </c>
      <c r="E75" s="2">
        <f>(Table2[[#This Row],[revenue]]-Table2[[#This Row],[budget]])/Table2[[#This Row],[budget]]</f>
        <v>17.198737243854257</v>
      </c>
      <c r="F75" t="s">
        <v>21</v>
      </c>
      <c r="G75" t="s">
        <v>12</v>
      </c>
      <c r="H75" t="s">
        <v>16</v>
      </c>
      <c r="I75">
        <v>0.45</v>
      </c>
      <c r="J75">
        <v>871834.53</v>
      </c>
      <c r="K75">
        <f>Table2[[#This Row],[revenue]]/Table2[[#This Row],[budget]]</f>
        <v>18.198737243854257</v>
      </c>
      <c r="L75" s="2">
        <f t="shared" si="3"/>
        <v>479063.2</v>
      </c>
      <c r="M75" s="2">
        <f>(Table2[[#This Row],[Adjusted revenue]]-Table2[[#This Row],[budget]])/Table2[[#This Row],[budget]]</f>
        <v>9</v>
      </c>
      <c r="N75" t="str">
        <f t="shared" si="4"/>
        <v>OK</v>
      </c>
      <c r="O75" s="2">
        <f t="shared" si="5"/>
        <v>1</v>
      </c>
    </row>
    <row r="76" spans="1:15" x14ac:dyDescent="0.3">
      <c r="A76" t="s">
        <v>94</v>
      </c>
      <c r="B76" s="1">
        <v>44782</v>
      </c>
      <c r="C76" s="1">
        <v>45209</v>
      </c>
      <c r="D76">
        <v>28548.76</v>
      </c>
      <c r="E76" s="2">
        <f>(Table2[[#This Row],[revenue]]-Table2[[#This Row],[budget]])/Table2[[#This Row],[budget]]</f>
        <v>5.3420103009727917</v>
      </c>
      <c r="F76" t="s">
        <v>11</v>
      </c>
      <c r="G76" t="s">
        <v>15</v>
      </c>
      <c r="H76" t="s">
        <v>16</v>
      </c>
      <c r="I76">
        <v>0.6</v>
      </c>
      <c r="J76">
        <v>181056.53</v>
      </c>
      <c r="K76">
        <f>Table2[[#This Row],[revenue]]/Table2[[#This Row],[budget]]</f>
        <v>6.3420103009727917</v>
      </c>
      <c r="L76" s="2">
        <f t="shared" si="3"/>
        <v>181056.53</v>
      </c>
      <c r="M76" s="2">
        <f>(Table2[[#This Row],[Adjusted revenue]]-Table2[[#This Row],[budget]])/Table2[[#This Row],[budget]]</f>
        <v>5.3420103009727917</v>
      </c>
      <c r="N76" t="str">
        <f t="shared" si="4"/>
        <v>OK</v>
      </c>
      <c r="O76" s="2">
        <f t="shared" si="5"/>
        <v>0.22989690546795605</v>
      </c>
    </row>
    <row r="77" spans="1:15" x14ac:dyDescent="0.3">
      <c r="A77" t="s">
        <v>95</v>
      </c>
      <c r="B77" s="1">
        <v>44800</v>
      </c>
      <c r="C77" s="1">
        <v>45418</v>
      </c>
      <c r="D77">
        <v>44251.43</v>
      </c>
      <c r="E77" s="2">
        <f>(Table2[[#This Row],[revenue]]-Table2[[#This Row],[budget]])/Table2[[#This Row],[budget]]</f>
        <v>18.130733176306393</v>
      </c>
      <c r="F77" t="s">
        <v>11</v>
      </c>
      <c r="G77" t="s">
        <v>12</v>
      </c>
      <c r="H77" t="s">
        <v>25</v>
      </c>
      <c r="I77">
        <v>0.16</v>
      </c>
      <c r="J77">
        <v>846562.3</v>
      </c>
      <c r="K77">
        <f>Table2[[#This Row],[revenue]]/Table2[[#This Row],[budget]]</f>
        <v>19.130733176306393</v>
      </c>
      <c r="L77" s="2">
        <f t="shared" si="3"/>
        <v>442514.3</v>
      </c>
      <c r="M77" s="2">
        <f>(Table2[[#This Row],[Adjusted revenue]]-Table2[[#This Row],[budget]])/Table2[[#This Row],[budget]]</f>
        <v>9</v>
      </c>
      <c r="N77" t="str">
        <f t="shared" si="4"/>
        <v>OK</v>
      </c>
      <c r="O77" s="2">
        <f t="shared" si="5"/>
        <v>1</v>
      </c>
    </row>
    <row r="78" spans="1:15" x14ac:dyDescent="0.3">
      <c r="A78" t="s">
        <v>96</v>
      </c>
      <c r="B78" s="1">
        <v>44919</v>
      </c>
      <c r="C78" s="1">
        <v>45243</v>
      </c>
      <c r="D78">
        <v>32895.11</v>
      </c>
      <c r="E78" s="2">
        <f>(Table2[[#This Row],[revenue]]-Table2[[#This Row],[budget]])/Table2[[#This Row],[budget]]</f>
        <v>3.1604396519725877</v>
      </c>
      <c r="F78" t="s">
        <v>18</v>
      </c>
      <c r="G78" t="s">
        <v>15</v>
      </c>
      <c r="H78" t="s">
        <v>25</v>
      </c>
      <c r="I78">
        <v>0.1</v>
      </c>
      <c r="J78">
        <v>136858.12</v>
      </c>
      <c r="K78">
        <f>Table2[[#This Row],[revenue]]/Table2[[#This Row],[budget]]</f>
        <v>4.1604396519725881</v>
      </c>
      <c r="L78" s="2">
        <f t="shared" si="3"/>
        <v>136858.12</v>
      </c>
      <c r="M78" s="2">
        <f>(Table2[[#This Row],[Adjusted revenue]]-Table2[[#This Row],[budget]])/Table2[[#This Row],[budget]]</f>
        <v>3.1604396519725877</v>
      </c>
      <c r="N78" t="str">
        <f t="shared" si="4"/>
        <v>OK</v>
      </c>
      <c r="O78" s="2">
        <f t="shared" si="5"/>
        <v>-0.22938112590050785</v>
      </c>
    </row>
    <row r="79" spans="1:15" x14ac:dyDescent="0.3">
      <c r="A79" t="s">
        <v>97</v>
      </c>
      <c r="B79" s="1">
        <v>44873</v>
      </c>
      <c r="C79" s="1">
        <v>45388</v>
      </c>
      <c r="D79">
        <v>55985.9</v>
      </c>
      <c r="E79" s="2">
        <f>(Table2[[#This Row],[revenue]]-Table2[[#This Row],[budget]])/Table2[[#This Row],[budget]]</f>
        <v>8.0276646441336119</v>
      </c>
      <c r="F79" t="s">
        <v>23</v>
      </c>
      <c r="G79" t="s">
        <v>12</v>
      </c>
      <c r="H79" t="s">
        <v>13</v>
      </c>
      <c r="I79">
        <v>0.59</v>
      </c>
      <c r="J79">
        <v>505421.93</v>
      </c>
      <c r="K79">
        <f>Table2[[#This Row],[revenue]]/Table2[[#This Row],[budget]]</f>
        <v>9.0276646441336119</v>
      </c>
      <c r="L79" s="2">
        <f t="shared" si="3"/>
        <v>505421.93</v>
      </c>
      <c r="M79" s="2">
        <f>(Table2[[#This Row],[Adjusted revenue]]-Table2[[#This Row],[budget]])/Table2[[#This Row],[budget]]</f>
        <v>8.0276646441336119</v>
      </c>
      <c r="N79" t="str">
        <f t="shared" si="4"/>
        <v>OK</v>
      </c>
      <c r="O79" s="2">
        <f t="shared" si="5"/>
        <v>0.79529781981760261</v>
      </c>
    </row>
    <row r="80" spans="1:15" x14ac:dyDescent="0.3">
      <c r="A80" t="s">
        <v>98</v>
      </c>
      <c r="B80" s="1">
        <v>44910</v>
      </c>
      <c r="C80" s="1">
        <v>45341</v>
      </c>
      <c r="D80">
        <v>23212.27</v>
      </c>
      <c r="E80" s="2">
        <f>(Table2[[#This Row],[revenue]]-Table2[[#This Row],[budget]])/Table2[[#This Row],[budget]]</f>
        <v>34.76462793169302</v>
      </c>
      <c r="F80" t="s">
        <v>21</v>
      </c>
      <c r="G80" t="s">
        <v>15</v>
      </c>
      <c r="H80" t="s">
        <v>25</v>
      </c>
      <c r="I80">
        <v>0.49</v>
      </c>
      <c r="J80">
        <v>830178.2</v>
      </c>
      <c r="K80">
        <f>Table2[[#This Row],[revenue]]/Table2[[#This Row],[budget]]</f>
        <v>35.76462793169302</v>
      </c>
      <c r="L80" s="2">
        <f t="shared" si="3"/>
        <v>232122.7</v>
      </c>
      <c r="M80" s="2">
        <f>(Table2[[#This Row],[Adjusted revenue]]-Table2[[#This Row],[budget]])/Table2[[#This Row],[budget]]</f>
        <v>9</v>
      </c>
      <c r="N80" t="str">
        <f t="shared" si="4"/>
        <v>OK</v>
      </c>
      <c r="O80" s="2">
        <f t="shared" si="5"/>
        <v>1</v>
      </c>
    </row>
    <row r="81" spans="1:15" x14ac:dyDescent="0.3">
      <c r="A81" t="s">
        <v>99</v>
      </c>
      <c r="B81" s="1">
        <v>45109</v>
      </c>
      <c r="C81" s="1">
        <v>45335</v>
      </c>
      <c r="D81">
        <v>42051.6</v>
      </c>
      <c r="E81" s="2">
        <f>(Table2[[#This Row],[revenue]]-Table2[[#This Row],[budget]])/Table2[[#This Row],[budget]]</f>
        <v>5.8413686994073952</v>
      </c>
      <c r="F81" t="s">
        <v>11</v>
      </c>
      <c r="G81" t="s">
        <v>12</v>
      </c>
      <c r="H81" t="s">
        <v>25</v>
      </c>
      <c r="I81">
        <v>0.25</v>
      </c>
      <c r="J81">
        <v>287690.5</v>
      </c>
      <c r="K81">
        <f>Table2[[#This Row],[revenue]]/Table2[[#This Row],[budget]]</f>
        <v>6.8413686994073952</v>
      </c>
      <c r="L81" s="2">
        <f t="shared" si="3"/>
        <v>287690.5</v>
      </c>
      <c r="M81" s="2">
        <f>(Table2[[#This Row],[Adjusted revenue]]-Table2[[#This Row],[budget]])/Table2[[#This Row],[budget]]</f>
        <v>5.8413686994073952</v>
      </c>
      <c r="N81" t="str">
        <f t="shared" si="4"/>
        <v>OK</v>
      </c>
      <c r="O81" s="2">
        <f t="shared" si="5"/>
        <v>0.33502498934892522</v>
      </c>
    </row>
    <row r="82" spans="1:15" x14ac:dyDescent="0.3">
      <c r="A82" t="s">
        <v>100</v>
      </c>
      <c r="B82" s="1">
        <v>44777</v>
      </c>
      <c r="C82" s="1">
        <v>45148</v>
      </c>
      <c r="D82">
        <v>79829.52</v>
      </c>
      <c r="E82" s="2">
        <f>(Table2[[#This Row],[revenue]]-Table2[[#This Row],[budget]])/Table2[[#This Row],[budget]]</f>
        <v>4.9229840039123367</v>
      </c>
      <c r="F82" t="s">
        <v>11</v>
      </c>
      <c r="G82" t="s">
        <v>12</v>
      </c>
      <c r="H82" t="s">
        <v>19</v>
      </c>
      <c r="I82">
        <v>0.7</v>
      </c>
      <c r="J82">
        <v>472828.97</v>
      </c>
      <c r="K82">
        <f>Table2[[#This Row],[revenue]]/Table2[[#This Row],[budget]]</f>
        <v>5.9229840039123367</v>
      </c>
      <c r="L82" s="2">
        <f t="shared" si="3"/>
        <v>472828.97</v>
      </c>
      <c r="M82" s="2">
        <f>(Table2[[#This Row],[Adjusted revenue]]-Table2[[#This Row],[budget]])/Table2[[#This Row],[budget]]</f>
        <v>4.9229840039123367</v>
      </c>
      <c r="N82" t="str">
        <f t="shared" si="4"/>
        <v>OK</v>
      </c>
      <c r="O82" s="2">
        <f t="shared" si="5"/>
        <v>0.14168084292891292</v>
      </c>
    </row>
    <row r="83" spans="1:15" x14ac:dyDescent="0.3">
      <c r="A83" t="s">
        <v>101</v>
      </c>
      <c r="B83" s="1">
        <v>45042</v>
      </c>
      <c r="C83" s="1">
        <v>45403</v>
      </c>
      <c r="D83">
        <v>96169.66</v>
      </c>
      <c r="E83" s="2">
        <f>(Table2[[#This Row],[revenue]]-Table2[[#This Row],[budget]])/Table2[[#This Row],[budget]]</f>
        <v>3.7361603441251638</v>
      </c>
      <c r="F83" t="s">
        <v>18</v>
      </c>
      <c r="G83" t="s">
        <v>15</v>
      </c>
      <c r="H83" t="s">
        <v>13</v>
      </c>
      <c r="I83">
        <v>0.45</v>
      </c>
      <c r="J83">
        <v>455474.93</v>
      </c>
      <c r="K83">
        <f>Table2[[#This Row],[revenue]]/Table2[[#This Row],[budget]]</f>
        <v>4.7361603441251638</v>
      </c>
      <c r="L83" s="2">
        <f t="shared" si="3"/>
        <v>455474.93</v>
      </c>
      <c r="M83" s="2">
        <f>(Table2[[#This Row],[Adjusted revenue]]-Table2[[#This Row],[budget]])/Table2[[#This Row],[budget]]</f>
        <v>3.7361603441251638</v>
      </c>
      <c r="N83" t="str">
        <f t="shared" si="4"/>
        <v>OK</v>
      </c>
      <c r="O83" s="2">
        <f t="shared" si="5"/>
        <v>-0.10817676965786027</v>
      </c>
    </row>
    <row r="84" spans="1:15" x14ac:dyDescent="0.3">
      <c r="A84" t="s">
        <v>102</v>
      </c>
      <c r="B84" s="1">
        <v>44983</v>
      </c>
      <c r="C84" s="1">
        <v>45462</v>
      </c>
      <c r="D84">
        <v>72722.22</v>
      </c>
      <c r="E84" s="2">
        <f>(Table2[[#This Row],[revenue]]-Table2[[#This Row],[budget]])/Table2[[#This Row],[budget]]</f>
        <v>7.5137432548126295</v>
      </c>
      <c r="F84" t="s">
        <v>11</v>
      </c>
      <c r="G84" t="s">
        <v>15</v>
      </c>
      <c r="H84" t="s">
        <v>13</v>
      </c>
      <c r="I84">
        <v>0.1</v>
      </c>
      <c r="J84">
        <v>619138.31000000006</v>
      </c>
      <c r="K84">
        <f>Table2[[#This Row],[revenue]]/Table2[[#This Row],[budget]]</f>
        <v>8.5137432548126295</v>
      </c>
      <c r="L84" s="2">
        <f t="shared" si="3"/>
        <v>619138.31000000006</v>
      </c>
      <c r="M84" s="2">
        <f>(Table2[[#This Row],[Adjusted revenue]]-Table2[[#This Row],[budget]])/Table2[[#This Row],[budget]]</f>
        <v>7.5137432548126295</v>
      </c>
      <c r="N84" t="str">
        <f t="shared" si="4"/>
        <v>OK</v>
      </c>
      <c r="O84" s="2">
        <f t="shared" si="5"/>
        <v>0.68710384311844841</v>
      </c>
    </row>
    <row r="85" spans="1:15" x14ac:dyDescent="0.3">
      <c r="A85" t="s">
        <v>103</v>
      </c>
      <c r="B85" s="1">
        <v>44979</v>
      </c>
      <c r="C85" s="1">
        <v>45340</v>
      </c>
      <c r="D85">
        <v>52125.2</v>
      </c>
      <c r="E85" s="2">
        <f>(Table2[[#This Row],[revenue]]-Table2[[#This Row],[budget]])/Table2[[#This Row],[budget]]</f>
        <v>-0.46753662336067775</v>
      </c>
      <c r="F85" t="s">
        <v>21</v>
      </c>
      <c r="G85" t="s">
        <v>15</v>
      </c>
      <c r="H85" t="s">
        <v>25</v>
      </c>
      <c r="I85">
        <v>0.8</v>
      </c>
      <c r="J85">
        <v>27754.76</v>
      </c>
      <c r="K85">
        <f>Table2[[#This Row],[revenue]]/Table2[[#This Row],[budget]]</f>
        <v>0.53246337663932219</v>
      </c>
      <c r="L85" s="2">
        <f t="shared" si="3"/>
        <v>27754.76</v>
      </c>
      <c r="M85" s="2">
        <f>(Table2[[#This Row],[Adjusted revenue]]-Table2[[#This Row],[budget]])/Table2[[#This Row],[budget]]</f>
        <v>-0.46753662336067775</v>
      </c>
      <c r="N85" t="str">
        <f t="shared" si="4"/>
        <v>Failed</v>
      </c>
      <c r="O85" s="2">
        <f t="shared" si="5"/>
        <v>-0.9931656049180374</v>
      </c>
    </row>
    <row r="86" spans="1:15" x14ac:dyDescent="0.3">
      <c r="A86" t="s">
        <v>104</v>
      </c>
      <c r="B86" s="1">
        <v>45008</v>
      </c>
      <c r="C86" s="1">
        <v>45373</v>
      </c>
      <c r="D86">
        <v>77340.13</v>
      </c>
      <c r="E86" s="2">
        <f>(Table2[[#This Row],[revenue]]-Table2[[#This Row],[budget]])/Table2[[#This Row],[budget]]</f>
        <v>3.4918762096727787</v>
      </c>
      <c r="F86" t="s">
        <v>21</v>
      </c>
      <c r="G86" t="s">
        <v>12</v>
      </c>
      <c r="H86" t="s">
        <v>25</v>
      </c>
      <c r="I86">
        <v>0.74</v>
      </c>
      <c r="J86">
        <v>347402.29</v>
      </c>
      <c r="K86">
        <f>Table2[[#This Row],[revenue]]/Table2[[#This Row],[budget]]</f>
        <v>4.4918762096727782</v>
      </c>
      <c r="L86" s="2">
        <f t="shared" si="3"/>
        <v>347402.29</v>
      </c>
      <c r="M86" s="2">
        <f>(Table2[[#This Row],[Adjusted revenue]]-Table2[[#This Row],[budget]])/Table2[[#This Row],[budget]]</f>
        <v>3.4918762096727787</v>
      </c>
      <c r="N86" t="str">
        <f t="shared" si="4"/>
        <v>OK</v>
      </c>
      <c r="O86" s="2">
        <f t="shared" si="5"/>
        <v>-0.1596050084899413</v>
      </c>
    </row>
    <row r="87" spans="1:15" x14ac:dyDescent="0.3">
      <c r="A87" t="s">
        <v>105</v>
      </c>
      <c r="B87" s="1">
        <v>44913</v>
      </c>
      <c r="C87" s="1">
        <v>45166</v>
      </c>
      <c r="D87">
        <v>97763.51</v>
      </c>
      <c r="E87" s="2">
        <f>(Table2[[#This Row],[revenue]]-Table2[[#This Row],[budget]])/Table2[[#This Row],[budget]]</f>
        <v>1.503719946225335</v>
      </c>
      <c r="F87" t="s">
        <v>21</v>
      </c>
      <c r="G87" t="s">
        <v>15</v>
      </c>
      <c r="H87" t="s">
        <v>16</v>
      </c>
      <c r="I87">
        <v>0.7</v>
      </c>
      <c r="J87">
        <v>244772.45</v>
      </c>
      <c r="K87">
        <f>Table2[[#This Row],[revenue]]/Table2[[#This Row],[budget]]</f>
        <v>2.5037199462253352</v>
      </c>
      <c r="L87" s="2">
        <f t="shared" si="3"/>
        <v>244772.45</v>
      </c>
      <c r="M87" s="2">
        <f>(Table2[[#This Row],[Adjusted revenue]]-Table2[[#This Row],[budget]])/Table2[[#This Row],[budget]]</f>
        <v>1.503719946225335</v>
      </c>
      <c r="N87" t="str">
        <f t="shared" si="4"/>
        <v>OK</v>
      </c>
      <c r="O87" s="2">
        <f t="shared" si="5"/>
        <v>-0.57816422184729799</v>
      </c>
    </row>
    <row r="88" spans="1:15" x14ac:dyDescent="0.3">
      <c r="A88" t="s">
        <v>106</v>
      </c>
      <c r="B88" s="1">
        <v>45134</v>
      </c>
      <c r="C88" s="1">
        <v>45378</v>
      </c>
      <c r="D88">
        <v>15463.29</v>
      </c>
      <c r="E88" s="2">
        <f>(Table2[[#This Row],[revenue]]-Table2[[#This Row],[budget]])/Table2[[#This Row],[budget]]</f>
        <v>61.29279215483897</v>
      </c>
      <c r="F88" t="s">
        <v>23</v>
      </c>
      <c r="G88" t="s">
        <v>12</v>
      </c>
      <c r="H88" t="s">
        <v>16</v>
      </c>
      <c r="I88">
        <v>0.6</v>
      </c>
      <c r="J88">
        <v>963251.51</v>
      </c>
      <c r="K88">
        <f>Table2[[#This Row],[revenue]]/Table2[[#This Row],[budget]]</f>
        <v>62.29279215483897</v>
      </c>
      <c r="L88" s="2">
        <f t="shared" si="3"/>
        <v>154632.90000000002</v>
      </c>
      <c r="M88" s="2">
        <f>(Table2[[#This Row],[Adjusted revenue]]-Table2[[#This Row],[budget]])/Table2[[#This Row],[budget]]</f>
        <v>9</v>
      </c>
      <c r="N88" t="str">
        <f t="shared" si="4"/>
        <v>OK</v>
      </c>
      <c r="O88" s="2">
        <f t="shared" si="5"/>
        <v>1</v>
      </c>
    </row>
    <row r="89" spans="1:15" x14ac:dyDescent="0.3">
      <c r="A89" t="s">
        <v>107</v>
      </c>
      <c r="B89" s="1">
        <v>44921</v>
      </c>
      <c r="C89" s="1">
        <v>45163</v>
      </c>
      <c r="D89">
        <v>51210.38</v>
      </c>
      <c r="E89" s="2">
        <f>(Table2[[#This Row],[revenue]]-Table2[[#This Row],[budget]])/Table2[[#This Row],[budget]]</f>
        <v>9.4693362947121269</v>
      </c>
      <c r="F89" t="s">
        <v>11</v>
      </c>
      <c r="G89" t="s">
        <v>12</v>
      </c>
      <c r="H89" t="s">
        <v>25</v>
      </c>
      <c r="I89">
        <v>0.83</v>
      </c>
      <c r="J89">
        <v>536138.68999999994</v>
      </c>
      <c r="K89">
        <f>Table2[[#This Row],[revenue]]/Table2[[#This Row],[budget]]</f>
        <v>10.469336294712127</v>
      </c>
      <c r="L89" s="2">
        <f t="shared" si="3"/>
        <v>512103.8</v>
      </c>
      <c r="M89" s="2">
        <f>(Table2[[#This Row],[Adjusted revenue]]-Table2[[#This Row],[budget]])/Table2[[#This Row],[budget]]</f>
        <v>9</v>
      </c>
      <c r="N89" t="str">
        <f t="shared" si="4"/>
        <v>OK</v>
      </c>
      <c r="O89" s="2">
        <f t="shared" si="5"/>
        <v>1</v>
      </c>
    </row>
    <row r="90" spans="1:15" x14ac:dyDescent="0.3">
      <c r="A90" t="s">
        <v>108</v>
      </c>
      <c r="B90" s="1">
        <v>45051</v>
      </c>
      <c r="C90" s="1">
        <v>45195</v>
      </c>
      <c r="D90">
        <v>16066.41</v>
      </c>
      <c r="E90" s="2">
        <f>(Table2[[#This Row],[revenue]]-Table2[[#This Row],[budget]])/Table2[[#This Row],[budget]]</f>
        <v>30.67264684518819</v>
      </c>
      <c r="F90" t="s">
        <v>11</v>
      </c>
      <c r="G90" t="s">
        <v>12</v>
      </c>
      <c r="H90" t="s">
        <v>19</v>
      </c>
      <c r="I90">
        <v>0.3</v>
      </c>
      <c r="J90">
        <v>508865.73</v>
      </c>
      <c r="K90">
        <f>Table2[[#This Row],[revenue]]/Table2[[#This Row],[budget]]</f>
        <v>31.67264684518819</v>
      </c>
      <c r="L90" s="2">
        <f t="shared" si="3"/>
        <v>160664.1</v>
      </c>
      <c r="M90" s="2">
        <f>(Table2[[#This Row],[Adjusted revenue]]-Table2[[#This Row],[budget]])/Table2[[#This Row],[budget]]</f>
        <v>9</v>
      </c>
      <c r="N90" t="str">
        <f t="shared" si="4"/>
        <v>OK</v>
      </c>
      <c r="O90" s="2">
        <f t="shared" si="5"/>
        <v>1</v>
      </c>
    </row>
    <row r="91" spans="1:15" x14ac:dyDescent="0.3">
      <c r="A91" t="s">
        <v>109</v>
      </c>
      <c r="B91" s="1">
        <v>44844</v>
      </c>
      <c r="C91" s="1">
        <v>45380</v>
      </c>
      <c r="D91">
        <v>89383.19</v>
      </c>
      <c r="E91" s="2">
        <f>(Table2[[#This Row],[revenue]]-Table2[[#This Row],[budget]])/Table2[[#This Row],[budget]]</f>
        <v>8.2742623081588373</v>
      </c>
      <c r="F91" t="s">
        <v>23</v>
      </c>
      <c r="G91" t="s">
        <v>15</v>
      </c>
      <c r="H91" t="s">
        <v>25</v>
      </c>
      <c r="I91">
        <v>0.77</v>
      </c>
      <c r="J91">
        <v>828963.15</v>
      </c>
      <c r="K91">
        <f>Table2[[#This Row],[revenue]]/Table2[[#This Row],[budget]]</f>
        <v>9.2742623081588391</v>
      </c>
      <c r="L91" s="2">
        <f t="shared" si="3"/>
        <v>828963.15</v>
      </c>
      <c r="M91" s="2">
        <f>(Table2[[#This Row],[Adjusted revenue]]-Table2[[#This Row],[budget]])/Table2[[#This Row],[budget]]</f>
        <v>8.2742623081588373</v>
      </c>
      <c r="N91" t="str">
        <f t="shared" si="4"/>
        <v>OK</v>
      </c>
      <c r="O91" s="2">
        <f t="shared" si="5"/>
        <v>0.84721311750712358</v>
      </c>
    </row>
    <row r="92" spans="1:15" x14ac:dyDescent="0.3">
      <c r="A92" t="s">
        <v>110</v>
      </c>
      <c r="B92" s="1">
        <v>44791</v>
      </c>
      <c r="C92" s="1">
        <v>45454</v>
      </c>
      <c r="D92">
        <v>46558</v>
      </c>
      <c r="E92" s="2">
        <f>(Table2[[#This Row],[revenue]]-Table2[[#This Row],[budget]])/Table2[[#This Row],[budget]]</f>
        <v>5.7796481807637781</v>
      </c>
      <c r="F92" t="s">
        <v>18</v>
      </c>
      <c r="G92" t="s">
        <v>12</v>
      </c>
      <c r="H92" t="s">
        <v>13</v>
      </c>
      <c r="I92">
        <v>0.4</v>
      </c>
      <c r="J92">
        <v>315646.86</v>
      </c>
      <c r="K92">
        <f>Table2[[#This Row],[revenue]]/Table2[[#This Row],[budget]]</f>
        <v>6.7796481807637781</v>
      </c>
      <c r="L92" s="2">
        <f t="shared" si="3"/>
        <v>315646.86</v>
      </c>
      <c r="M92" s="2">
        <f>(Table2[[#This Row],[Adjusted revenue]]-Table2[[#This Row],[budget]])/Table2[[#This Row],[budget]]</f>
        <v>5.7796481807637781</v>
      </c>
      <c r="N92" t="str">
        <f t="shared" si="4"/>
        <v>OK</v>
      </c>
      <c r="O92" s="2">
        <f t="shared" si="5"/>
        <v>0.32203119595026908</v>
      </c>
    </row>
    <row r="93" spans="1:15" x14ac:dyDescent="0.3">
      <c r="A93" t="s">
        <v>111</v>
      </c>
      <c r="B93" s="1">
        <v>44818</v>
      </c>
      <c r="C93" s="1">
        <v>45420</v>
      </c>
      <c r="D93">
        <v>62178.3</v>
      </c>
      <c r="E93" s="2">
        <f>(Table2[[#This Row],[revenue]]-Table2[[#This Row],[budget]])/Table2[[#This Row],[budget]]</f>
        <v>4.1036853693330304</v>
      </c>
      <c r="F93" t="s">
        <v>23</v>
      </c>
      <c r="G93" t="s">
        <v>15</v>
      </c>
      <c r="H93" t="s">
        <v>19</v>
      </c>
      <c r="I93">
        <v>0.2</v>
      </c>
      <c r="J93">
        <v>317338.48</v>
      </c>
      <c r="K93">
        <f>Table2[[#This Row],[revenue]]/Table2[[#This Row],[budget]]</f>
        <v>5.1036853693330304</v>
      </c>
      <c r="L93" s="2">
        <f t="shared" si="3"/>
        <v>317338.48</v>
      </c>
      <c r="M93" s="2">
        <f>(Table2[[#This Row],[Adjusted revenue]]-Table2[[#This Row],[budget]])/Table2[[#This Row],[budget]]</f>
        <v>4.1036853693330304</v>
      </c>
      <c r="N93" t="str">
        <f t="shared" si="4"/>
        <v>OK</v>
      </c>
      <c r="O93" s="2">
        <f t="shared" si="5"/>
        <v>-3.0803080140414663E-2</v>
      </c>
    </row>
    <row r="94" spans="1:15" x14ac:dyDescent="0.3">
      <c r="A94" t="s">
        <v>112</v>
      </c>
      <c r="B94" s="1">
        <v>44822</v>
      </c>
      <c r="C94" s="1">
        <v>45405</v>
      </c>
      <c r="D94">
        <v>20201.5</v>
      </c>
      <c r="E94" s="2">
        <f>(Table2[[#This Row],[revenue]]-Table2[[#This Row],[budget]])/Table2[[#This Row],[budget]]</f>
        <v>15.602005791649134</v>
      </c>
      <c r="F94" t="s">
        <v>21</v>
      </c>
      <c r="G94" t="s">
        <v>12</v>
      </c>
      <c r="H94" t="s">
        <v>16</v>
      </c>
      <c r="I94">
        <v>0.89</v>
      </c>
      <c r="J94">
        <v>335385.42</v>
      </c>
      <c r="K94">
        <f>Table2[[#This Row],[revenue]]/Table2[[#This Row],[budget]]</f>
        <v>16.602005791649134</v>
      </c>
      <c r="L94" s="2">
        <f t="shared" si="3"/>
        <v>202015</v>
      </c>
      <c r="M94" s="2">
        <f>(Table2[[#This Row],[Adjusted revenue]]-Table2[[#This Row],[budget]])/Table2[[#This Row],[budget]]</f>
        <v>9</v>
      </c>
      <c r="N94" t="str">
        <f t="shared" si="4"/>
        <v>OK</v>
      </c>
      <c r="O94" s="2">
        <f t="shared" si="5"/>
        <v>1</v>
      </c>
    </row>
    <row r="95" spans="1:15" x14ac:dyDescent="0.3">
      <c r="A95" t="s">
        <v>113</v>
      </c>
      <c r="B95" s="1">
        <v>44877</v>
      </c>
      <c r="C95" s="1">
        <v>45306</v>
      </c>
      <c r="D95">
        <v>43643.99</v>
      </c>
      <c r="E95" s="2">
        <f>(Table2[[#This Row],[revenue]]-Table2[[#This Row],[budget]])/Table2[[#This Row],[budget]]</f>
        <v>9.7694974726187969</v>
      </c>
      <c r="F95" t="s">
        <v>23</v>
      </c>
      <c r="G95" t="s">
        <v>15</v>
      </c>
      <c r="H95" t="s">
        <v>13</v>
      </c>
      <c r="I95">
        <v>0.55000000000000004</v>
      </c>
      <c r="J95">
        <v>470023.84</v>
      </c>
      <c r="K95">
        <f>Table2[[#This Row],[revenue]]/Table2[[#This Row],[budget]]</f>
        <v>10.769497472618797</v>
      </c>
      <c r="L95" s="2">
        <f t="shared" si="3"/>
        <v>436439.89999999997</v>
      </c>
      <c r="M95" s="2">
        <f>(Table2[[#This Row],[Adjusted revenue]]-Table2[[#This Row],[budget]])/Table2[[#This Row],[budget]]</f>
        <v>9</v>
      </c>
      <c r="N95" t="str">
        <f t="shared" si="4"/>
        <v>OK</v>
      </c>
      <c r="O95" s="2">
        <f t="shared" si="5"/>
        <v>1</v>
      </c>
    </row>
    <row r="96" spans="1:15" x14ac:dyDescent="0.3">
      <c r="A96" t="s">
        <v>114</v>
      </c>
      <c r="B96" s="1">
        <v>45103</v>
      </c>
      <c r="C96" s="1">
        <v>45419</v>
      </c>
      <c r="D96">
        <v>20647.169999999998</v>
      </c>
      <c r="E96" s="2">
        <f>(Table2[[#This Row],[revenue]]-Table2[[#This Row],[budget]])/Table2[[#This Row],[budget]]</f>
        <v>35.801109304568136</v>
      </c>
      <c r="F96" t="s">
        <v>11</v>
      </c>
      <c r="G96" t="s">
        <v>12</v>
      </c>
      <c r="H96" t="s">
        <v>13</v>
      </c>
      <c r="I96">
        <v>0.78</v>
      </c>
      <c r="J96">
        <v>759838.76</v>
      </c>
      <c r="K96">
        <f>Table2[[#This Row],[revenue]]/Table2[[#This Row],[budget]]</f>
        <v>36.801109304568136</v>
      </c>
      <c r="L96" s="2">
        <f t="shared" si="3"/>
        <v>206471.69999999998</v>
      </c>
      <c r="M96" s="2">
        <f>(Table2[[#This Row],[Adjusted revenue]]-Table2[[#This Row],[budget]])/Table2[[#This Row],[budget]]</f>
        <v>9</v>
      </c>
      <c r="N96" t="str">
        <f t="shared" si="4"/>
        <v>OK</v>
      </c>
      <c r="O96" s="2">
        <f t="shared" si="5"/>
        <v>1</v>
      </c>
    </row>
    <row r="97" spans="1:15" x14ac:dyDescent="0.3">
      <c r="A97" t="s">
        <v>115</v>
      </c>
      <c r="B97" s="1">
        <v>45076</v>
      </c>
      <c r="C97" s="1">
        <v>45420</v>
      </c>
      <c r="D97">
        <v>29781.93</v>
      </c>
      <c r="E97" s="2">
        <f>(Table2[[#This Row],[revenue]]-Table2[[#This Row],[budget]])/Table2[[#This Row],[budget]]</f>
        <v>18.06633048966269</v>
      </c>
      <c r="F97" t="s">
        <v>21</v>
      </c>
      <c r="G97" t="s">
        <v>15</v>
      </c>
      <c r="H97" t="s">
        <v>19</v>
      </c>
      <c r="I97">
        <v>0.46</v>
      </c>
      <c r="J97">
        <v>567832.12</v>
      </c>
      <c r="K97">
        <f>Table2[[#This Row],[revenue]]/Table2[[#This Row],[budget]]</f>
        <v>19.06633048966269</v>
      </c>
      <c r="L97" s="2">
        <f t="shared" si="3"/>
        <v>297819.3</v>
      </c>
      <c r="M97" s="2">
        <f>(Table2[[#This Row],[Adjusted revenue]]-Table2[[#This Row],[budget]])/Table2[[#This Row],[budget]]</f>
        <v>9</v>
      </c>
      <c r="N97" t="str">
        <f t="shared" si="4"/>
        <v>OK</v>
      </c>
      <c r="O97" s="2">
        <f t="shared" si="5"/>
        <v>1</v>
      </c>
    </row>
    <row r="98" spans="1:15" x14ac:dyDescent="0.3">
      <c r="A98" t="s">
        <v>116</v>
      </c>
      <c r="B98" s="1">
        <v>45039</v>
      </c>
      <c r="C98" s="1">
        <v>45253</v>
      </c>
      <c r="D98">
        <v>89003.41</v>
      </c>
      <c r="E98" s="2">
        <f>(Table2[[#This Row],[revenue]]-Table2[[#This Row],[budget]])/Table2[[#This Row],[budget]]</f>
        <v>6.2304843151515197</v>
      </c>
      <c r="F98" t="s">
        <v>18</v>
      </c>
      <c r="G98" t="s">
        <v>15</v>
      </c>
      <c r="H98" t="s">
        <v>25</v>
      </c>
      <c r="I98">
        <v>0.18</v>
      </c>
      <c r="J98">
        <v>643537.76</v>
      </c>
      <c r="K98">
        <f>Table2[[#This Row],[revenue]]/Table2[[#This Row],[budget]]</f>
        <v>7.2304843151515206</v>
      </c>
      <c r="L98" s="2">
        <f t="shared" si="3"/>
        <v>643537.76</v>
      </c>
      <c r="M98" s="2">
        <f>(Table2[[#This Row],[Adjusted revenue]]-Table2[[#This Row],[budget]])/Table2[[#This Row],[budget]]</f>
        <v>6.2304843151515197</v>
      </c>
      <c r="N98" t="str">
        <f t="shared" si="4"/>
        <v>OK</v>
      </c>
      <c r="O98" s="2">
        <f t="shared" si="5"/>
        <v>0.41694406634768844</v>
      </c>
    </row>
    <row r="99" spans="1:15" x14ac:dyDescent="0.3">
      <c r="A99" t="s">
        <v>117</v>
      </c>
      <c r="B99" s="1">
        <v>44852</v>
      </c>
      <c r="C99" s="1">
        <v>45377</v>
      </c>
      <c r="D99">
        <v>34838.17</v>
      </c>
      <c r="E99" s="2">
        <f>(Table2[[#This Row],[revenue]]-Table2[[#This Row],[budget]])/Table2[[#This Row],[budget]]</f>
        <v>7.2201435953725479</v>
      </c>
      <c r="F99" t="s">
        <v>18</v>
      </c>
      <c r="G99" t="s">
        <v>12</v>
      </c>
      <c r="H99" t="s">
        <v>16</v>
      </c>
      <c r="I99">
        <v>0.22</v>
      </c>
      <c r="J99">
        <v>286374.76</v>
      </c>
      <c r="K99">
        <f>Table2[[#This Row],[revenue]]/Table2[[#This Row],[budget]]</f>
        <v>8.2201435953725479</v>
      </c>
      <c r="L99" s="2">
        <f t="shared" si="3"/>
        <v>286374.76</v>
      </c>
      <c r="M99" s="2">
        <f>(Table2[[#This Row],[Adjusted revenue]]-Table2[[#This Row],[budget]])/Table2[[#This Row],[budget]]</f>
        <v>7.2201435953725479</v>
      </c>
      <c r="N99" t="str">
        <f t="shared" si="4"/>
        <v>OK</v>
      </c>
      <c r="O99" s="2">
        <f t="shared" si="5"/>
        <v>0.62529338849948379</v>
      </c>
    </row>
    <row r="100" spans="1:15" x14ac:dyDescent="0.3">
      <c r="A100" t="s">
        <v>118</v>
      </c>
      <c r="B100" s="1">
        <v>44988</v>
      </c>
      <c r="C100" s="1">
        <v>45246</v>
      </c>
      <c r="D100">
        <v>8209.7999999999993</v>
      </c>
      <c r="E100" s="2">
        <f>(Table2[[#This Row],[revenue]]-Table2[[#This Row],[budget]])/Table2[[#This Row],[budget]]</f>
        <v>87.395181368608249</v>
      </c>
      <c r="F100" t="s">
        <v>21</v>
      </c>
      <c r="G100" t="s">
        <v>12</v>
      </c>
      <c r="H100" t="s">
        <v>19</v>
      </c>
      <c r="I100">
        <v>0.78</v>
      </c>
      <c r="J100">
        <v>725706.76</v>
      </c>
      <c r="K100">
        <f>Table2[[#This Row],[revenue]]/Table2[[#This Row],[budget]]</f>
        <v>88.395181368608263</v>
      </c>
      <c r="L100" s="2">
        <f t="shared" si="3"/>
        <v>82098</v>
      </c>
      <c r="M100" s="2">
        <f>(Table2[[#This Row],[Adjusted revenue]]-Table2[[#This Row],[budget]])/Table2[[#This Row],[budget]]</f>
        <v>9</v>
      </c>
      <c r="N100" t="str">
        <f t="shared" si="4"/>
        <v>OK</v>
      </c>
      <c r="O100" s="2">
        <f t="shared" si="5"/>
        <v>1</v>
      </c>
    </row>
    <row r="101" spans="1:15" x14ac:dyDescent="0.3">
      <c r="A101" t="s">
        <v>119</v>
      </c>
      <c r="B101" s="1">
        <v>44909</v>
      </c>
      <c r="C101" s="1">
        <v>45158</v>
      </c>
      <c r="D101">
        <v>13024.35</v>
      </c>
      <c r="E101" s="2">
        <f>(Table2[[#This Row],[revenue]]-Table2[[#This Row],[budget]])/Table2[[#This Row],[budget]]</f>
        <v>66.747611205165711</v>
      </c>
      <c r="F101" t="s">
        <v>11</v>
      </c>
      <c r="G101" t="s">
        <v>15</v>
      </c>
      <c r="H101" t="s">
        <v>13</v>
      </c>
      <c r="I101">
        <v>0.99</v>
      </c>
      <c r="J101">
        <v>882368.6</v>
      </c>
      <c r="K101">
        <f>Table2[[#This Row],[revenue]]/Table2[[#This Row],[budget]]</f>
        <v>67.747611205165711</v>
      </c>
      <c r="L101" s="2">
        <f t="shared" si="3"/>
        <v>130243.5</v>
      </c>
      <c r="M101" s="2">
        <f>(Table2[[#This Row],[Adjusted revenue]]-Table2[[#This Row],[budget]])/Table2[[#This Row],[budget]]</f>
        <v>9</v>
      </c>
      <c r="N101" t="str">
        <f t="shared" si="4"/>
        <v>OK</v>
      </c>
      <c r="O101" s="2">
        <f t="shared" si="5"/>
        <v>1</v>
      </c>
    </row>
    <row r="102" spans="1:15" x14ac:dyDescent="0.3">
      <c r="A102" t="s">
        <v>120</v>
      </c>
      <c r="B102" s="1">
        <v>44925</v>
      </c>
      <c r="C102" s="1">
        <v>45475</v>
      </c>
      <c r="D102">
        <v>9180.9500000000007</v>
      </c>
      <c r="E102" s="2">
        <f>(Table2[[#This Row],[revenue]]-Table2[[#This Row],[budget]])/Table2[[#This Row],[budget]]</f>
        <v>9.1408285634928852</v>
      </c>
      <c r="F102" t="s">
        <v>21</v>
      </c>
      <c r="G102" t="s">
        <v>15</v>
      </c>
      <c r="H102" t="s">
        <v>13</v>
      </c>
      <c r="I102">
        <v>0.97</v>
      </c>
      <c r="J102">
        <v>93102.44</v>
      </c>
      <c r="K102">
        <f>Table2[[#This Row],[revenue]]/Table2[[#This Row],[budget]]</f>
        <v>10.140828563492883</v>
      </c>
      <c r="L102" s="2">
        <f t="shared" si="3"/>
        <v>91809.5</v>
      </c>
      <c r="M102" s="2">
        <f>(Table2[[#This Row],[Adjusted revenue]]-Table2[[#This Row],[budget]])/Table2[[#This Row],[budget]]</f>
        <v>9</v>
      </c>
      <c r="N102" t="str">
        <f t="shared" si="4"/>
        <v>OK</v>
      </c>
      <c r="O102" s="2">
        <f t="shared" si="5"/>
        <v>1</v>
      </c>
    </row>
    <row r="103" spans="1:15" x14ac:dyDescent="0.3">
      <c r="A103" t="s">
        <v>121</v>
      </c>
      <c r="B103" s="1">
        <v>45080</v>
      </c>
      <c r="C103" s="1">
        <v>45489</v>
      </c>
      <c r="D103">
        <v>46215.77</v>
      </c>
      <c r="E103" s="2">
        <f>(Table2[[#This Row],[revenue]]-Table2[[#This Row],[budget]])/Table2[[#This Row],[budget]]</f>
        <v>6.0643918731636406</v>
      </c>
      <c r="F103" t="s">
        <v>11</v>
      </c>
      <c r="G103" t="s">
        <v>15</v>
      </c>
      <c r="H103" t="s">
        <v>19</v>
      </c>
      <c r="I103">
        <v>0.63</v>
      </c>
      <c r="J103">
        <v>326486.31</v>
      </c>
      <c r="K103">
        <f>Table2[[#This Row],[revenue]]/Table2[[#This Row],[budget]]</f>
        <v>7.0643918731636415</v>
      </c>
      <c r="L103" s="2">
        <f t="shared" si="3"/>
        <v>326486.31</v>
      </c>
      <c r="M103" s="2">
        <f>(Table2[[#This Row],[Adjusted revenue]]-Table2[[#This Row],[budget]])/Table2[[#This Row],[budget]]</f>
        <v>6.0643918731636406</v>
      </c>
      <c r="N103" t="str">
        <f t="shared" si="4"/>
        <v>OK</v>
      </c>
      <c r="O103" s="2">
        <f t="shared" si="5"/>
        <v>0.38197723645550319</v>
      </c>
    </row>
    <row r="104" spans="1:15" x14ac:dyDescent="0.3">
      <c r="A104" t="s">
        <v>122</v>
      </c>
      <c r="B104" s="1">
        <v>44823</v>
      </c>
      <c r="C104" s="1">
        <v>45419</v>
      </c>
      <c r="D104">
        <v>80474.62</v>
      </c>
      <c r="E104" s="2">
        <f>(Table2[[#This Row],[revenue]]-Table2[[#This Row],[budget]])/Table2[[#This Row],[budget]]</f>
        <v>3.8962209451874399</v>
      </c>
      <c r="F104" t="s">
        <v>11</v>
      </c>
      <c r="G104" t="s">
        <v>15</v>
      </c>
      <c r="H104" t="s">
        <v>13</v>
      </c>
      <c r="I104">
        <v>0.7</v>
      </c>
      <c r="J104">
        <v>394021.52</v>
      </c>
      <c r="K104">
        <f>Table2[[#This Row],[revenue]]/Table2[[#This Row],[budget]]</f>
        <v>4.8962209451874399</v>
      </c>
      <c r="L104" s="2">
        <f t="shared" si="3"/>
        <v>394021.52</v>
      </c>
      <c r="M104" s="2">
        <f>(Table2[[#This Row],[Adjusted revenue]]-Table2[[#This Row],[budget]])/Table2[[#This Row],[budget]]</f>
        <v>3.8962209451874399</v>
      </c>
      <c r="N104" t="str">
        <f t="shared" si="4"/>
        <v>OK</v>
      </c>
      <c r="O104" s="2">
        <f t="shared" si="5"/>
        <v>-7.4479801013170532E-2</v>
      </c>
    </row>
    <row r="105" spans="1:15" x14ac:dyDescent="0.3">
      <c r="A105" t="s">
        <v>123</v>
      </c>
      <c r="B105" s="1">
        <v>44917</v>
      </c>
      <c r="C105" s="1">
        <v>45318</v>
      </c>
      <c r="D105">
        <v>12789.78</v>
      </c>
      <c r="E105" s="2">
        <f>(Table2[[#This Row],[revenue]]-Table2[[#This Row],[budget]])/Table2[[#This Row],[budget]]</f>
        <v>39.363962476289657</v>
      </c>
      <c r="F105" t="s">
        <v>11</v>
      </c>
      <c r="G105" t="s">
        <v>15</v>
      </c>
      <c r="H105" t="s">
        <v>19</v>
      </c>
      <c r="I105">
        <v>0.4</v>
      </c>
      <c r="J105">
        <v>516246.2</v>
      </c>
      <c r="K105">
        <f>Table2[[#This Row],[revenue]]/Table2[[#This Row],[budget]]</f>
        <v>40.363962476289664</v>
      </c>
      <c r="L105" s="2">
        <f t="shared" si="3"/>
        <v>127897.8</v>
      </c>
      <c r="M105" s="2">
        <f>(Table2[[#This Row],[Adjusted revenue]]-Table2[[#This Row],[budget]])/Table2[[#This Row],[budget]]</f>
        <v>9</v>
      </c>
      <c r="N105" t="str">
        <f t="shared" si="4"/>
        <v>OK</v>
      </c>
      <c r="O105" s="2">
        <f t="shared" si="5"/>
        <v>1</v>
      </c>
    </row>
    <row r="106" spans="1:15" x14ac:dyDescent="0.3">
      <c r="A106" t="s">
        <v>124</v>
      </c>
      <c r="B106" s="1">
        <v>45095</v>
      </c>
      <c r="C106" s="1">
        <v>45352</v>
      </c>
      <c r="D106">
        <v>42818.39</v>
      </c>
      <c r="E106" s="2">
        <f>(Table2[[#This Row],[revenue]]-Table2[[#This Row],[budget]])/Table2[[#This Row],[budget]]</f>
        <v>17.176369312344534</v>
      </c>
      <c r="F106" t="s">
        <v>11</v>
      </c>
      <c r="G106" t="s">
        <v>12</v>
      </c>
      <c r="H106" t="s">
        <v>16</v>
      </c>
      <c r="I106">
        <v>0.14000000000000001</v>
      </c>
      <c r="J106">
        <v>778282.87</v>
      </c>
      <c r="K106">
        <f>Table2[[#This Row],[revenue]]/Table2[[#This Row],[budget]]</f>
        <v>18.176369312344534</v>
      </c>
      <c r="L106" s="2">
        <f t="shared" si="3"/>
        <v>428183.9</v>
      </c>
      <c r="M106" s="2">
        <f>(Table2[[#This Row],[Adjusted revenue]]-Table2[[#This Row],[budget]])/Table2[[#This Row],[budget]]</f>
        <v>9</v>
      </c>
      <c r="N106" t="str">
        <f t="shared" si="4"/>
        <v>OK</v>
      </c>
      <c r="O106" s="2">
        <f t="shared" si="5"/>
        <v>1</v>
      </c>
    </row>
    <row r="107" spans="1:15" x14ac:dyDescent="0.3">
      <c r="A107" t="s">
        <v>125</v>
      </c>
      <c r="B107" s="1">
        <v>44942</v>
      </c>
      <c r="C107" s="1">
        <v>45148</v>
      </c>
      <c r="D107">
        <v>77090.58</v>
      </c>
      <c r="E107" s="2">
        <f>(Table2[[#This Row],[revenue]]-Table2[[#This Row],[budget]])/Table2[[#This Row],[budget]]</f>
        <v>9.6112344724867818</v>
      </c>
      <c r="F107" t="s">
        <v>11</v>
      </c>
      <c r="G107" t="s">
        <v>15</v>
      </c>
      <c r="H107" t="s">
        <v>13</v>
      </c>
      <c r="I107">
        <v>0.1</v>
      </c>
      <c r="J107">
        <v>818026.22</v>
      </c>
      <c r="K107">
        <f>Table2[[#This Row],[revenue]]/Table2[[#This Row],[budget]]</f>
        <v>10.61123447248678</v>
      </c>
      <c r="L107" s="2">
        <f t="shared" si="3"/>
        <v>770905.8</v>
      </c>
      <c r="M107" s="2">
        <f>(Table2[[#This Row],[Adjusted revenue]]-Table2[[#This Row],[budget]])/Table2[[#This Row],[budget]]</f>
        <v>9.0000000000000018</v>
      </c>
      <c r="N107" t="str">
        <f t="shared" si="4"/>
        <v>OK</v>
      </c>
      <c r="O107" s="2">
        <f t="shared" si="5"/>
        <v>1.0000000000000004</v>
      </c>
    </row>
    <row r="108" spans="1:15" x14ac:dyDescent="0.3">
      <c r="A108" t="s">
        <v>126</v>
      </c>
      <c r="B108" s="1">
        <v>44949</v>
      </c>
      <c r="C108" s="1">
        <v>45159</v>
      </c>
      <c r="D108">
        <v>10659.15</v>
      </c>
      <c r="E108" s="2">
        <f>(Table2[[#This Row],[revenue]]-Table2[[#This Row],[budget]])/Table2[[#This Row],[budget]]</f>
        <v>46.526264289366416</v>
      </c>
      <c r="F108" t="s">
        <v>11</v>
      </c>
      <c r="G108" t="s">
        <v>12</v>
      </c>
      <c r="H108" t="s">
        <v>16</v>
      </c>
      <c r="I108">
        <v>0.84</v>
      </c>
      <c r="J108">
        <v>506589.58</v>
      </c>
      <c r="K108">
        <f>Table2[[#This Row],[revenue]]/Table2[[#This Row],[budget]]</f>
        <v>47.526264289366416</v>
      </c>
      <c r="L108" s="2">
        <f t="shared" si="3"/>
        <v>106591.5</v>
      </c>
      <c r="M108" s="2">
        <f>(Table2[[#This Row],[Adjusted revenue]]-Table2[[#This Row],[budget]])/Table2[[#This Row],[budget]]</f>
        <v>9</v>
      </c>
      <c r="N108" t="str">
        <f t="shared" si="4"/>
        <v>OK</v>
      </c>
      <c r="O108" s="2">
        <f t="shared" si="5"/>
        <v>1</v>
      </c>
    </row>
    <row r="109" spans="1:15" x14ac:dyDescent="0.3">
      <c r="A109" t="s">
        <v>127</v>
      </c>
      <c r="B109" s="1">
        <v>44949</v>
      </c>
      <c r="C109" s="1">
        <v>45462</v>
      </c>
      <c r="D109">
        <v>71211.28</v>
      </c>
      <c r="E109" s="2">
        <f>(Table2[[#This Row],[revenue]]-Table2[[#This Row],[budget]])/Table2[[#This Row],[budget]]</f>
        <v>7.8219506797237743</v>
      </c>
      <c r="F109" t="s">
        <v>11</v>
      </c>
      <c r="G109" t="s">
        <v>12</v>
      </c>
      <c r="H109" t="s">
        <v>25</v>
      </c>
      <c r="I109">
        <v>0.94</v>
      </c>
      <c r="J109">
        <v>628222.4</v>
      </c>
      <c r="K109">
        <f>Table2[[#This Row],[revenue]]/Table2[[#This Row],[budget]]</f>
        <v>8.8219506797237752</v>
      </c>
      <c r="L109" s="2">
        <f t="shared" si="3"/>
        <v>628222.4</v>
      </c>
      <c r="M109" s="2">
        <f>(Table2[[#This Row],[Adjusted revenue]]-Table2[[#This Row],[budget]])/Table2[[#This Row],[budget]]</f>
        <v>7.8219506797237743</v>
      </c>
      <c r="N109" t="str">
        <f t="shared" si="4"/>
        <v>OK</v>
      </c>
      <c r="O109" s="2">
        <f t="shared" si="5"/>
        <v>0.75198961678395237</v>
      </c>
    </row>
    <row r="110" spans="1:15" x14ac:dyDescent="0.3">
      <c r="A110" t="s">
        <v>128</v>
      </c>
      <c r="B110" s="1">
        <v>44828</v>
      </c>
      <c r="C110" s="1">
        <v>45142</v>
      </c>
      <c r="D110">
        <v>55105.95</v>
      </c>
      <c r="E110" s="2">
        <f>(Table2[[#This Row],[revenue]]-Table2[[#This Row],[budget]])/Table2[[#This Row],[budget]]</f>
        <v>16.794690772956461</v>
      </c>
      <c r="F110" t="s">
        <v>11</v>
      </c>
      <c r="G110" t="s">
        <v>12</v>
      </c>
      <c r="H110" t="s">
        <v>19</v>
      </c>
      <c r="I110">
        <v>0.65</v>
      </c>
      <c r="J110">
        <v>980593.34</v>
      </c>
      <c r="K110">
        <f>Table2[[#This Row],[revenue]]/Table2[[#This Row],[budget]]</f>
        <v>17.794690772956461</v>
      </c>
      <c r="L110" s="2">
        <f t="shared" si="3"/>
        <v>551059.5</v>
      </c>
      <c r="M110" s="2">
        <f>(Table2[[#This Row],[Adjusted revenue]]-Table2[[#This Row],[budget]])/Table2[[#This Row],[budget]]</f>
        <v>9</v>
      </c>
      <c r="N110" t="str">
        <f t="shared" si="4"/>
        <v>OK</v>
      </c>
      <c r="O110" s="2">
        <f t="shared" si="5"/>
        <v>1</v>
      </c>
    </row>
    <row r="111" spans="1:15" x14ac:dyDescent="0.3">
      <c r="A111" t="s">
        <v>129</v>
      </c>
      <c r="B111" s="1">
        <v>44953</v>
      </c>
      <c r="C111" s="1">
        <v>45317</v>
      </c>
      <c r="D111">
        <v>22701.3</v>
      </c>
      <c r="E111" s="2">
        <f>(Table2[[#This Row],[revenue]]-Table2[[#This Row],[budget]])/Table2[[#This Row],[budget]]</f>
        <v>2.953085946619797</v>
      </c>
      <c r="F111" t="s">
        <v>11</v>
      </c>
      <c r="G111" t="s">
        <v>15</v>
      </c>
      <c r="H111" t="s">
        <v>16</v>
      </c>
      <c r="I111">
        <v>0.86</v>
      </c>
      <c r="J111">
        <v>89740.19</v>
      </c>
      <c r="K111">
        <f>Table2[[#This Row],[revenue]]/Table2[[#This Row],[budget]]</f>
        <v>3.9530859466197974</v>
      </c>
      <c r="L111" s="2">
        <f t="shared" si="3"/>
        <v>89740.19</v>
      </c>
      <c r="M111" s="2">
        <f>(Table2[[#This Row],[Adjusted revenue]]-Table2[[#This Row],[budget]])/Table2[[#This Row],[budget]]</f>
        <v>2.953085946619797</v>
      </c>
      <c r="N111" t="str">
        <f t="shared" si="4"/>
        <v>OK</v>
      </c>
      <c r="O111" s="2">
        <f t="shared" si="5"/>
        <v>-0.27303453755372697</v>
      </c>
    </row>
    <row r="112" spans="1:15" x14ac:dyDescent="0.3">
      <c r="A112" t="s">
        <v>130</v>
      </c>
      <c r="B112" s="1">
        <v>44920</v>
      </c>
      <c r="C112" s="1">
        <v>45424</v>
      </c>
      <c r="D112">
        <v>28460.11</v>
      </c>
      <c r="E112" s="2">
        <f>(Table2[[#This Row],[revenue]]-Table2[[#This Row],[budget]])/Table2[[#This Row],[budget]]</f>
        <v>19.869538100871711</v>
      </c>
      <c r="F112" t="s">
        <v>23</v>
      </c>
      <c r="G112" t="s">
        <v>12</v>
      </c>
      <c r="H112" t="s">
        <v>19</v>
      </c>
      <c r="I112">
        <v>0.37</v>
      </c>
      <c r="J112">
        <v>593949.35</v>
      </c>
      <c r="K112">
        <f>Table2[[#This Row],[revenue]]/Table2[[#This Row],[budget]]</f>
        <v>20.869538100871711</v>
      </c>
      <c r="L112" s="2">
        <f t="shared" si="3"/>
        <v>284601.09999999998</v>
      </c>
      <c r="M112" s="2">
        <f>(Table2[[#This Row],[Adjusted revenue]]-Table2[[#This Row],[budget]])/Table2[[#This Row],[budget]]</f>
        <v>9</v>
      </c>
      <c r="N112" t="str">
        <f t="shared" si="4"/>
        <v>OK</v>
      </c>
      <c r="O112" s="2">
        <f t="shared" si="5"/>
        <v>1</v>
      </c>
    </row>
    <row r="113" spans="1:15" x14ac:dyDescent="0.3">
      <c r="A113" t="s">
        <v>131</v>
      </c>
      <c r="B113" s="1">
        <v>45015</v>
      </c>
      <c r="C113" s="1">
        <v>45468</v>
      </c>
      <c r="D113">
        <v>81474.69</v>
      </c>
      <c r="E113" s="2">
        <f>(Table2[[#This Row],[revenue]]-Table2[[#This Row],[budget]])/Table2[[#This Row],[budget]]</f>
        <v>0.43049860024014808</v>
      </c>
      <c r="F113" t="s">
        <v>11</v>
      </c>
      <c r="G113" t="s">
        <v>12</v>
      </c>
      <c r="H113" t="s">
        <v>19</v>
      </c>
      <c r="I113">
        <v>0.98</v>
      </c>
      <c r="J113">
        <v>116549.43</v>
      </c>
      <c r="K113">
        <f>Table2[[#This Row],[revenue]]/Table2[[#This Row],[budget]]</f>
        <v>1.4304986002401481</v>
      </c>
      <c r="L113" s="2">
        <f t="shared" si="3"/>
        <v>116549.43</v>
      </c>
      <c r="M113" s="2">
        <f>(Table2[[#This Row],[Adjusted revenue]]-Table2[[#This Row],[budget]])/Table2[[#This Row],[budget]]</f>
        <v>0.43049860024014808</v>
      </c>
      <c r="N113" t="str">
        <f t="shared" si="4"/>
        <v>Failed</v>
      </c>
      <c r="O113" s="2">
        <f t="shared" si="5"/>
        <v>-0.80410555784417936</v>
      </c>
    </row>
    <row r="114" spans="1:15" x14ac:dyDescent="0.3">
      <c r="A114" t="s">
        <v>132</v>
      </c>
      <c r="B114" s="1">
        <v>44844</v>
      </c>
      <c r="C114" s="1">
        <v>45272</v>
      </c>
      <c r="D114">
        <v>99406.41</v>
      </c>
      <c r="E114" s="2">
        <f>(Table2[[#This Row],[revenue]]-Table2[[#This Row],[budget]])/Table2[[#This Row],[budget]]</f>
        <v>3.8819581151758724</v>
      </c>
      <c r="F114" t="s">
        <v>21</v>
      </c>
      <c r="G114" t="s">
        <v>12</v>
      </c>
      <c r="H114" t="s">
        <v>16</v>
      </c>
      <c r="I114">
        <v>0.3</v>
      </c>
      <c r="J114">
        <v>485297.93</v>
      </c>
      <c r="K114">
        <f>Table2[[#This Row],[revenue]]/Table2[[#This Row],[budget]]</f>
        <v>4.8819581151758724</v>
      </c>
      <c r="L114" s="2">
        <f t="shared" si="3"/>
        <v>485297.93</v>
      </c>
      <c r="M114" s="2">
        <f>(Table2[[#This Row],[Adjusted revenue]]-Table2[[#This Row],[budget]])/Table2[[#This Row],[budget]]</f>
        <v>3.8819581151758724</v>
      </c>
      <c r="N114" t="str">
        <f t="shared" si="4"/>
        <v>OK</v>
      </c>
      <c r="O114" s="2">
        <f t="shared" si="5"/>
        <v>-7.7482502068237369E-2</v>
      </c>
    </row>
    <row r="115" spans="1:15" x14ac:dyDescent="0.3">
      <c r="A115" t="s">
        <v>133</v>
      </c>
      <c r="B115" s="1">
        <v>45008</v>
      </c>
      <c r="C115" s="1">
        <v>45193</v>
      </c>
      <c r="D115">
        <v>89764.52</v>
      </c>
      <c r="E115" s="2">
        <f>(Table2[[#This Row],[revenue]]-Table2[[#This Row],[budget]])/Table2[[#This Row],[budget]]</f>
        <v>2.8581003942314847</v>
      </c>
      <c r="F115" t="s">
        <v>18</v>
      </c>
      <c r="G115" t="s">
        <v>15</v>
      </c>
      <c r="H115" t="s">
        <v>13</v>
      </c>
      <c r="I115">
        <v>0.8</v>
      </c>
      <c r="J115">
        <v>346320.53</v>
      </c>
      <c r="K115">
        <f>Table2[[#This Row],[revenue]]/Table2[[#This Row],[budget]]</f>
        <v>3.8581003942314851</v>
      </c>
      <c r="L115" s="2">
        <f t="shared" si="3"/>
        <v>346320.53</v>
      </c>
      <c r="M115" s="2">
        <f>(Table2[[#This Row],[Adjusted revenue]]-Table2[[#This Row],[budget]])/Table2[[#This Row],[budget]]</f>
        <v>2.8581003942314847</v>
      </c>
      <c r="N115" t="str">
        <f t="shared" si="4"/>
        <v>OK</v>
      </c>
      <c r="O115" s="2">
        <f t="shared" si="5"/>
        <v>-0.29303149595126643</v>
      </c>
    </row>
    <row r="116" spans="1:15" x14ac:dyDescent="0.3">
      <c r="A116" t="s">
        <v>134</v>
      </c>
      <c r="B116" s="1">
        <v>44811</v>
      </c>
      <c r="C116" s="1">
        <v>45234</v>
      </c>
      <c r="D116">
        <v>11769.71</v>
      </c>
      <c r="E116" s="2">
        <f>(Table2[[#This Row],[revenue]]-Table2[[#This Row],[budget]])/Table2[[#This Row],[budget]]</f>
        <v>12.181493851590227</v>
      </c>
      <c r="F116" t="s">
        <v>21</v>
      </c>
      <c r="G116" t="s">
        <v>12</v>
      </c>
      <c r="H116" t="s">
        <v>19</v>
      </c>
      <c r="I116">
        <v>0.24</v>
      </c>
      <c r="J116">
        <v>155142.35999999999</v>
      </c>
      <c r="K116">
        <f>Table2[[#This Row],[revenue]]/Table2[[#This Row],[budget]]</f>
        <v>13.181493851590226</v>
      </c>
      <c r="L116" s="2">
        <f t="shared" si="3"/>
        <v>117697.09999999999</v>
      </c>
      <c r="M116" s="2">
        <f>(Table2[[#This Row],[Adjusted revenue]]-Table2[[#This Row],[budget]])/Table2[[#This Row],[budget]]</f>
        <v>9</v>
      </c>
      <c r="N116" t="str">
        <f t="shared" si="4"/>
        <v>OK</v>
      </c>
      <c r="O116" s="2">
        <f t="shared" si="5"/>
        <v>1</v>
      </c>
    </row>
    <row r="117" spans="1:15" x14ac:dyDescent="0.3">
      <c r="A117" t="s">
        <v>135</v>
      </c>
      <c r="B117" s="1">
        <v>44851</v>
      </c>
      <c r="C117" s="1">
        <v>45423</v>
      </c>
      <c r="D117">
        <v>44085.8</v>
      </c>
      <c r="E117" s="2">
        <f>(Table2[[#This Row],[revenue]]-Table2[[#This Row],[budget]])/Table2[[#This Row],[budget]]</f>
        <v>1.0143955650118632</v>
      </c>
      <c r="F117" t="s">
        <v>21</v>
      </c>
      <c r="G117" t="s">
        <v>12</v>
      </c>
      <c r="H117" t="s">
        <v>25</v>
      </c>
      <c r="I117">
        <v>0.71</v>
      </c>
      <c r="J117">
        <v>88806.24</v>
      </c>
      <c r="K117">
        <f>Table2[[#This Row],[revenue]]/Table2[[#This Row],[budget]]</f>
        <v>2.014395565011863</v>
      </c>
      <c r="L117" s="2">
        <f t="shared" si="3"/>
        <v>88806.24</v>
      </c>
      <c r="M117" s="2">
        <f>(Table2[[#This Row],[Adjusted revenue]]-Table2[[#This Row],[budget]])/Table2[[#This Row],[budget]]</f>
        <v>1.0143955650118632</v>
      </c>
      <c r="N117" t="str">
        <f t="shared" si="4"/>
        <v>OK</v>
      </c>
      <c r="O117" s="2">
        <f t="shared" si="5"/>
        <v>-0.68117988105013405</v>
      </c>
    </row>
    <row r="118" spans="1:15" x14ac:dyDescent="0.3">
      <c r="A118" t="s">
        <v>136</v>
      </c>
      <c r="B118" s="1">
        <v>44819</v>
      </c>
      <c r="C118" s="1">
        <v>45393</v>
      </c>
      <c r="D118">
        <v>31712.22</v>
      </c>
      <c r="E118" s="2">
        <f>(Table2[[#This Row],[revenue]]-Table2[[#This Row],[budget]])/Table2[[#This Row],[budget]]</f>
        <v>15.51737815895576</v>
      </c>
      <c r="F118" t="s">
        <v>11</v>
      </c>
      <c r="G118" t="s">
        <v>15</v>
      </c>
      <c r="H118" t="s">
        <v>19</v>
      </c>
      <c r="I118">
        <v>0.12</v>
      </c>
      <c r="J118">
        <v>523802.73</v>
      </c>
      <c r="K118">
        <f>Table2[[#This Row],[revenue]]/Table2[[#This Row],[budget]]</f>
        <v>16.517378158955758</v>
      </c>
      <c r="L118" s="2">
        <f t="shared" si="3"/>
        <v>317122.2</v>
      </c>
      <c r="M118" s="2">
        <f>(Table2[[#This Row],[Adjusted revenue]]-Table2[[#This Row],[budget]])/Table2[[#This Row],[budget]]</f>
        <v>8.9999999999999982</v>
      </c>
      <c r="N118" t="str">
        <f t="shared" si="4"/>
        <v>OK</v>
      </c>
      <c r="O118" s="2">
        <f t="shared" si="5"/>
        <v>0.99999999999999956</v>
      </c>
    </row>
    <row r="119" spans="1:15" x14ac:dyDescent="0.3">
      <c r="A119" t="s">
        <v>137</v>
      </c>
      <c r="B119" s="1">
        <v>44961</v>
      </c>
      <c r="C119" s="1">
        <v>45171</v>
      </c>
      <c r="D119">
        <v>34455.949999999997</v>
      </c>
      <c r="E119" s="2">
        <f>(Table2[[#This Row],[revenue]]-Table2[[#This Row],[budget]])/Table2[[#This Row],[budget]]</f>
        <v>16.471470674876183</v>
      </c>
      <c r="F119" t="s">
        <v>23</v>
      </c>
      <c r="G119" t="s">
        <v>12</v>
      </c>
      <c r="H119" t="s">
        <v>13</v>
      </c>
      <c r="I119">
        <v>0.6</v>
      </c>
      <c r="J119">
        <v>601996.12</v>
      </c>
      <c r="K119">
        <f>Table2[[#This Row],[revenue]]/Table2[[#This Row],[budget]]</f>
        <v>17.471470674876183</v>
      </c>
      <c r="L119" s="2">
        <f t="shared" si="3"/>
        <v>344559.5</v>
      </c>
      <c r="M119" s="2">
        <f>(Table2[[#This Row],[Adjusted revenue]]-Table2[[#This Row],[budget]])/Table2[[#This Row],[budget]]</f>
        <v>9</v>
      </c>
      <c r="N119" t="str">
        <f t="shared" si="4"/>
        <v>OK</v>
      </c>
      <c r="O119" s="2">
        <f t="shared" si="5"/>
        <v>1</v>
      </c>
    </row>
    <row r="120" spans="1:15" x14ac:dyDescent="0.3">
      <c r="A120" t="s">
        <v>138</v>
      </c>
      <c r="B120" s="1">
        <v>45113</v>
      </c>
      <c r="C120" s="1">
        <v>45315</v>
      </c>
      <c r="D120">
        <v>31468.43</v>
      </c>
      <c r="E120" s="2">
        <f>(Table2[[#This Row],[revenue]]-Table2[[#This Row],[budget]])/Table2[[#This Row],[budget]]</f>
        <v>3.6837484424866447</v>
      </c>
      <c r="F120" t="s">
        <v>11</v>
      </c>
      <c r="G120" t="s">
        <v>12</v>
      </c>
      <c r="H120" t="s">
        <v>16</v>
      </c>
      <c r="I120">
        <v>0.48</v>
      </c>
      <c r="J120">
        <v>147390.21</v>
      </c>
      <c r="K120">
        <f>Table2[[#This Row],[revenue]]/Table2[[#This Row],[budget]]</f>
        <v>4.6837484424866442</v>
      </c>
      <c r="L120" s="2">
        <f t="shared" si="3"/>
        <v>147390.21</v>
      </c>
      <c r="M120" s="2">
        <f>(Table2[[#This Row],[Adjusted revenue]]-Table2[[#This Row],[budget]])/Table2[[#This Row],[budget]]</f>
        <v>3.6837484424866447</v>
      </c>
      <c r="N120" t="str">
        <f t="shared" si="4"/>
        <v>OK</v>
      </c>
      <c r="O120" s="2">
        <f t="shared" si="5"/>
        <v>-0.1192108542133381</v>
      </c>
    </row>
    <row r="121" spans="1:15" x14ac:dyDescent="0.3">
      <c r="A121" t="s">
        <v>139</v>
      </c>
      <c r="B121" s="1">
        <v>44938</v>
      </c>
      <c r="C121" s="1">
        <v>45456</v>
      </c>
      <c r="D121">
        <v>89740.86</v>
      </c>
      <c r="E121" s="2">
        <f>(Table2[[#This Row],[revenue]]-Table2[[#This Row],[budget]])/Table2[[#This Row],[budget]]</f>
        <v>4.3184840216596996</v>
      </c>
      <c r="F121" t="s">
        <v>23</v>
      </c>
      <c r="G121" t="s">
        <v>15</v>
      </c>
      <c r="H121" t="s">
        <v>19</v>
      </c>
      <c r="I121">
        <v>0.21</v>
      </c>
      <c r="J121">
        <v>477285.33</v>
      </c>
      <c r="K121">
        <f>Table2[[#This Row],[revenue]]/Table2[[#This Row],[budget]]</f>
        <v>5.3184840216596987</v>
      </c>
      <c r="L121" s="2">
        <f t="shared" si="3"/>
        <v>477285.33</v>
      </c>
      <c r="M121" s="2">
        <f>(Table2[[#This Row],[Adjusted revenue]]-Table2[[#This Row],[budget]])/Table2[[#This Row],[budget]]</f>
        <v>4.3184840216596996</v>
      </c>
      <c r="N121" t="str">
        <f t="shared" si="4"/>
        <v>OK</v>
      </c>
      <c r="O121" s="2">
        <f t="shared" si="5"/>
        <v>1.4417688770463011E-2</v>
      </c>
    </row>
    <row r="122" spans="1:15" x14ac:dyDescent="0.3">
      <c r="A122" t="s">
        <v>140</v>
      </c>
      <c r="B122" s="1">
        <v>45008</v>
      </c>
      <c r="C122" s="1">
        <v>45435</v>
      </c>
      <c r="D122">
        <v>6806.2</v>
      </c>
      <c r="E122" s="2">
        <f>(Table2[[#This Row],[revenue]]-Table2[[#This Row],[budget]])/Table2[[#This Row],[budget]]</f>
        <v>75.37012429843378</v>
      </c>
      <c r="F122" t="s">
        <v>21</v>
      </c>
      <c r="G122" t="s">
        <v>12</v>
      </c>
      <c r="H122" t="s">
        <v>19</v>
      </c>
      <c r="I122">
        <v>0.78</v>
      </c>
      <c r="J122">
        <v>519790.34</v>
      </c>
      <c r="K122">
        <f>Table2[[#This Row],[revenue]]/Table2[[#This Row],[budget]]</f>
        <v>76.370124298433794</v>
      </c>
      <c r="L122" s="2">
        <f t="shared" si="3"/>
        <v>68062</v>
      </c>
      <c r="M122" s="2">
        <f>(Table2[[#This Row],[Adjusted revenue]]-Table2[[#This Row],[budget]])/Table2[[#This Row],[budget]]</f>
        <v>9</v>
      </c>
      <c r="N122" t="str">
        <f t="shared" si="4"/>
        <v>OK</v>
      </c>
      <c r="O122" s="2">
        <f t="shared" si="5"/>
        <v>1</v>
      </c>
    </row>
    <row r="123" spans="1:15" x14ac:dyDescent="0.3">
      <c r="A123" t="s">
        <v>141</v>
      </c>
      <c r="B123" s="1">
        <v>44922</v>
      </c>
      <c r="C123" s="1">
        <v>45295</v>
      </c>
      <c r="D123">
        <v>21795.27</v>
      </c>
      <c r="E123" s="2">
        <f>(Table2[[#This Row],[revenue]]-Table2[[#This Row],[budget]])/Table2[[#This Row],[budget]]</f>
        <v>17.243883649984607</v>
      </c>
      <c r="F123" t="s">
        <v>23</v>
      </c>
      <c r="G123" t="s">
        <v>12</v>
      </c>
      <c r="H123" t="s">
        <v>16</v>
      </c>
      <c r="I123">
        <v>0.89</v>
      </c>
      <c r="J123">
        <v>397630.37</v>
      </c>
      <c r="K123">
        <f>Table2[[#This Row],[revenue]]/Table2[[#This Row],[budget]]</f>
        <v>18.243883649984607</v>
      </c>
      <c r="L123" s="2">
        <f t="shared" si="3"/>
        <v>217952.7</v>
      </c>
      <c r="M123" s="2">
        <f>(Table2[[#This Row],[Adjusted revenue]]-Table2[[#This Row],[budget]])/Table2[[#This Row],[budget]]</f>
        <v>9</v>
      </c>
      <c r="N123" t="str">
        <f t="shared" si="4"/>
        <v>OK</v>
      </c>
      <c r="O123" s="2">
        <f t="shared" si="5"/>
        <v>1</v>
      </c>
    </row>
    <row r="124" spans="1:15" x14ac:dyDescent="0.3">
      <c r="A124" t="s">
        <v>142</v>
      </c>
      <c r="B124" s="1">
        <v>44814</v>
      </c>
      <c r="C124" s="1">
        <v>45205</v>
      </c>
      <c r="D124">
        <v>29328.34</v>
      </c>
      <c r="E124" s="2">
        <f>(Table2[[#This Row],[revenue]]-Table2[[#This Row],[budget]])/Table2[[#This Row],[budget]]</f>
        <v>2.1637896996556916</v>
      </c>
      <c r="F124" t="s">
        <v>23</v>
      </c>
      <c r="G124" t="s">
        <v>12</v>
      </c>
      <c r="H124" t="s">
        <v>16</v>
      </c>
      <c r="I124">
        <v>0.47</v>
      </c>
      <c r="J124">
        <v>92788.7</v>
      </c>
      <c r="K124">
        <f>Table2[[#This Row],[revenue]]/Table2[[#This Row],[budget]]</f>
        <v>3.1637896996556911</v>
      </c>
      <c r="L124" s="2">
        <f t="shared" si="3"/>
        <v>92788.7</v>
      </c>
      <c r="M124" s="2">
        <f>(Table2[[#This Row],[Adjusted revenue]]-Table2[[#This Row],[budget]])/Table2[[#This Row],[budget]]</f>
        <v>2.1637896996556916</v>
      </c>
      <c r="N124" t="str">
        <f t="shared" si="4"/>
        <v>OK</v>
      </c>
      <c r="O124" s="2">
        <f t="shared" si="5"/>
        <v>-0.43920216849353866</v>
      </c>
    </row>
    <row r="125" spans="1:15" x14ac:dyDescent="0.3">
      <c r="A125" t="s">
        <v>143</v>
      </c>
      <c r="B125" s="1">
        <v>45129</v>
      </c>
      <c r="C125" s="1">
        <v>45484</v>
      </c>
      <c r="D125">
        <v>7632.49</v>
      </c>
      <c r="E125" s="2">
        <f>(Table2[[#This Row],[revenue]]-Table2[[#This Row],[budget]])/Table2[[#This Row],[budget]]</f>
        <v>101.56816320755088</v>
      </c>
      <c r="F125" t="s">
        <v>21</v>
      </c>
      <c r="G125" t="s">
        <v>12</v>
      </c>
      <c r="H125" t="s">
        <v>13</v>
      </c>
      <c r="I125">
        <v>0.62</v>
      </c>
      <c r="J125">
        <v>782850.48</v>
      </c>
      <c r="K125">
        <f>Table2[[#This Row],[revenue]]/Table2[[#This Row],[budget]]</f>
        <v>102.56816320755088</v>
      </c>
      <c r="L125" s="2">
        <f t="shared" si="3"/>
        <v>76324.899999999994</v>
      </c>
      <c r="M125" s="2">
        <f>(Table2[[#This Row],[Adjusted revenue]]-Table2[[#This Row],[budget]])/Table2[[#This Row],[budget]]</f>
        <v>8.9999999999999982</v>
      </c>
      <c r="N125" t="str">
        <f t="shared" si="4"/>
        <v>OK</v>
      </c>
      <c r="O125" s="2">
        <f t="shared" si="5"/>
        <v>0.99999999999999956</v>
      </c>
    </row>
    <row r="126" spans="1:15" x14ac:dyDescent="0.3">
      <c r="A126" t="s">
        <v>144</v>
      </c>
      <c r="B126" s="1">
        <v>44881</v>
      </c>
      <c r="C126" s="1">
        <v>45429</v>
      </c>
      <c r="D126">
        <v>46890.76</v>
      </c>
      <c r="E126" s="2">
        <f>(Table2[[#This Row],[revenue]]-Table2[[#This Row],[budget]])/Table2[[#This Row],[budget]]</f>
        <v>4.5222596093558733</v>
      </c>
      <c r="F126" t="s">
        <v>21</v>
      </c>
      <c r="G126" t="s">
        <v>12</v>
      </c>
      <c r="H126" t="s">
        <v>13</v>
      </c>
      <c r="I126">
        <v>0.64</v>
      </c>
      <c r="J126">
        <v>258942.95</v>
      </c>
      <c r="K126">
        <f>Table2[[#This Row],[revenue]]/Table2[[#This Row],[budget]]</f>
        <v>5.5222596093558733</v>
      </c>
      <c r="L126" s="2">
        <f t="shared" si="3"/>
        <v>258942.95</v>
      </c>
      <c r="M126" s="2">
        <f>(Table2[[#This Row],[Adjusted revenue]]-Table2[[#This Row],[budget]])/Table2[[#This Row],[budget]]</f>
        <v>4.5222596093558733</v>
      </c>
      <c r="N126" t="str">
        <f t="shared" si="4"/>
        <v>OK</v>
      </c>
      <c r="O126" s="2">
        <f t="shared" si="5"/>
        <v>5.731781249597323E-2</v>
      </c>
    </row>
    <row r="127" spans="1:15" x14ac:dyDescent="0.3">
      <c r="A127" t="s">
        <v>145</v>
      </c>
      <c r="B127" s="1">
        <v>44888</v>
      </c>
      <c r="C127" s="1">
        <v>45438</v>
      </c>
      <c r="D127">
        <v>81853.53</v>
      </c>
      <c r="E127" s="2">
        <f>(Table2[[#This Row],[revenue]]-Table2[[#This Row],[budget]])/Table2[[#This Row],[budget]]</f>
        <v>10.911186115003225</v>
      </c>
      <c r="F127" t="s">
        <v>21</v>
      </c>
      <c r="G127" t="s">
        <v>15</v>
      </c>
      <c r="H127" t="s">
        <v>25</v>
      </c>
      <c r="I127">
        <v>0.17</v>
      </c>
      <c r="J127">
        <v>974972.63</v>
      </c>
      <c r="K127">
        <f>Table2[[#This Row],[revenue]]/Table2[[#This Row],[budget]]</f>
        <v>11.911186115003225</v>
      </c>
      <c r="L127" s="2">
        <f t="shared" si="3"/>
        <v>818535.3</v>
      </c>
      <c r="M127" s="2">
        <f>(Table2[[#This Row],[Adjusted revenue]]-Table2[[#This Row],[budget]])/Table2[[#This Row],[budget]]</f>
        <v>9</v>
      </c>
      <c r="N127" t="str">
        <f t="shared" si="4"/>
        <v>OK</v>
      </c>
      <c r="O127" s="2">
        <f t="shared" si="5"/>
        <v>1</v>
      </c>
    </row>
    <row r="128" spans="1:15" x14ac:dyDescent="0.3">
      <c r="A128" t="s">
        <v>146</v>
      </c>
      <c r="B128" s="1">
        <v>45109</v>
      </c>
      <c r="C128" s="1">
        <v>45389</v>
      </c>
      <c r="D128">
        <v>46635.4</v>
      </c>
      <c r="E128" s="2">
        <f>(Table2[[#This Row],[revenue]]-Table2[[#This Row],[budget]])/Table2[[#This Row],[budget]]</f>
        <v>13.85372270850041</v>
      </c>
      <c r="F128" t="s">
        <v>23</v>
      </c>
      <c r="G128" t="s">
        <v>15</v>
      </c>
      <c r="H128" t="s">
        <v>16</v>
      </c>
      <c r="I128">
        <v>0.46</v>
      </c>
      <c r="J128">
        <v>692709.3</v>
      </c>
      <c r="K128">
        <f>Table2[[#This Row],[revenue]]/Table2[[#This Row],[budget]]</f>
        <v>14.85372270850041</v>
      </c>
      <c r="L128" s="2">
        <f t="shared" si="3"/>
        <v>466354</v>
      </c>
      <c r="M128" s="2">
        <f>(Table2[[#This Row],[Adjusted revenue]]-Table2[[#This Row],[budget]])/Table2[[#This Row],[budget]]</f>
        <v>9</v>
      </c>
      <c r="N128" t="str">
        <f t="shared" si="4"/>
        <v>OK</v>
      </c>
      <c r="O128" s="2">
        <f t="shared" si="5"/>
        <v>1</v>
      </c>
    </row>
    <row r="129" spans="1:15" x14ac:dyDescent="0.3">
      <c r="A129" t="s">
        <v>147</v>
      </c>
      <c r="B129" s="1">
        <v>45020</v>
      </c>
      <c r="C129" s="1">
        <v>45190</v>
      </c>
      <c r="D129">
        <v>31531.599999999999</v>
      </c>
      <c r="E129" s="2">
        <f>(Table2[[#This Row],[revenue]]-Table2[[#This Row],[budget]])/Table2[[#This Row],[budget]]</f>
        <v>16.480018457674205</v>
      </c>
      <c r="F129" t="s">
        <v>21</v>
      </c>
      <c r="G129" t="s">
        <v>15</v>
      </c>
      <c r="H129" t="s">
        <v>25</v>
      </c>
      <c r="I129">
        <v>0.68</v>
      </c>
      <c r="J129">
        <v>551172.94999999995</v>
      </c>
      <c r="K129">
        <f>Table2[[#This Row],[revenue]]/Table2[[#This Row],[budget]]</f>
        <v>17.480018457674205</v>
      </c>
      <c r="L129" s="2">
        <f t="shared" si="3"/>
        <v>315316</v>
      </c>
      <c r="M129" s="2">
        <f>(Table2[[#This Row],[Adjusted revenue]]-Table2[[#This Row],[budget]])/Table2[[#This Row],[budget]]</f>
        <v>9.0000000000000018</v>
      </c>
      <c r="N129" t="str">
        <f t="shared" si="4"/>
        <v>OK</v>
      </c>
      <c r="O129" s="2">
        <f t="shared" si="5"/>
        <v>1.0000000000000004</v>
      </c>
    </row>
    <row r="130" spans="1:15" x14ac:dyDescent="0.3">
      <c r="A130" t="s">
        <v>148</v>
      </c>
      <c r="B130" s="1">
        <v>44857</v>
      </c>
      <c r="C130" s="1">
        <v>45209</v>
      </c>
      <c r="D130">
        <v>51428.639999999999</v>
      </c>
      <c r="E130" s="2">
        <f>(Table2[[#This Row],[revenue]]-Table2[[#This Row],[budget]])/Table2[[#This Row],[budget]]</f>
        <v>1.1548129602493864</v>
      </c>
      <c r="F130" t="s">
        <v>23</v>
      </c>
      <c r="G130" t="s">
        <v>15</v>
      </c>
      <c r="H130" t="s">
        <v>25</v>
      </c>
      <c r="I130">
        <v>0.28000000000000003</v>
      </c>
      <c r="J130">
        <v>110819.1</v>
      </c>
      <c r="K130">
        <f>Table2[[#This Row],[revenue]]/Table2[[#This Row],[budget]]</f>
        <v>2.1548129602493864</v>
      </c>
      <c r="L130" s="2">
        <f t="shared" ref="L130:L193" si="6">MIN(MAX(J130, D130*0.5), D130*10)</f>
        <v>110819.1</v>
      </c>
      <c r="M130" s="2">
        <f>(Table2[[#This Row],[Adjusted revenue]]-Table2[[#This Row],[budget]])/Table2[[#This Row],[budget]]</f>
        <v>1.1548129602493864</v>
      </c>
      <c r="N130" t="str">
        <f t="shared" ref="N130:N193" si="7">IF(M130&lt;0.5,"Failed",IF(M130&gt;10,"Suspicious","OK"))</f>
        <v>OK</v>
      </c>
      <c r="O130" s="2">
        <f t="shared" ref="O130:O193" si="8">((M130 - (-0.5)) / (9 - (-0.5))) * (1 - (-1)) + (-1)</f>
        <v>-0.6516183241580239</v>
      </c>
    </row>
    <row r="131" spans="1:15" x14ac:dyDescent="0.3">
      <c r="A131" t="s">
        <v>149</v>
      </c>
      <c r="B131" s="1">
        <v>44789</v>
      </c>
      <c r="C131" s="1">
        <v>45313</v>
      </c>
      <c r="D131">
        <v>83726.63</v>
      </c>
      <c r="E131" s="2">
        <f>(Table2[[#This Row],[revenue]]-Table2[[#This Row],[budget]])/Table2[[#This Row],[budget]]</f>
        <v>4.4737215626617237</v>
      </c>
      <c r="F131" t="s">
        <v>21</v>
      </c>
      <c r="G131" t="s">
        <v>12</v>
      </c>
      <c r="H131" t="s">
        <v>13</v>
      </c>
      <c r="I131">
        <v>0.13</v>
      </c>
      <c r="J131">
        <v>458296.26</v>
      </c>
      <c r="K131">
        <f>Table2[[#This Row],[revenue]]/Table2[[#This Row],[budget]]</f>
        <v>5.4737215626617237</v>
      </c>
      <c r="L131" s="2">
        <f t="shared" si="6"/>
        <v>458296.26</v>
      </c>
      <c r="M131" s="2">
        <f>(Table2[[#This Row],[Adjusted revenue]]-Table2[[#This Row],[budget]])/Table2[[#This Row],[budget]]</f>
        <v>4.4737215626617237</v>
      </c>
      <c r="N131" t="str">
        <f t="shared" si="7"/>
        <v>OK</v>
      </c>
      <c r="O131" s="2">
        <f t="shared" si="8"/>
        <v>4.7099276349836572E-2</v>
      </c>
    </row>
    <row r="132" spans="1:15" x14ac:dyDescent="0.3">
      <c r="A132" t="s">
        <v>150</v>
      </c>
      <c r="B132" s="1">
        <v>44856</v>
      </c>
      <c r="C132" s="1">
        <v>45454</v>
      </c>
      <c r="D132">
        <v>85417.27</v>
      </c>
      <c r="E132" s="2">
        <f>(Table2[[#This Row],[revenue]]-Table2[[#This Row],[budget]])/Table2[[#This Row],[budget]]</f>
        <v>4.9660862493029798</v>
      </c>
      <c r="F132" t="s">
        <v>21</v>
      </c>
      <c r="G132" t="s">
        <v>15</v>
      </c>
      <c r="H132" t="s">
        <v>25</v>
      </c>
      <c r="I132">
        <v>0.74</v>
      </c>
      <c r="J132">
        <v>509606.8</v>
      </c>
      <c r="K132">
        <f>Table2[[#This Row],[revenue]]/Table2[[#This Row],[budget]]</f>
        <v>5.9660862493029798</v>
      </c>
      <c r="L132" s="2">
        <f t="shared" si="6"/>
        <v>509606.8</v>
      </c>
      <c r="M132" s="2">
        <f>(Table2[[#This Row],[Adjusted revenue]]-Table2[[#This Row],[budget]])/Table2[[#This Row],[budget]]</f>
        <v>4.9660862493029798</v>
      </c>
      <c r="N132" t="str">
        <f t="shared" si="7"/>
        <v>OK</v>
      </c>
      <c r="O132" s="2">
        <f t="shared" si="8"/>
        <v>0.15075499985325891</v>
      </c>
    </row>
    <row r="133" spans="1:15" x14ac:dyDescent="0.3">
      <c r="A133" t="s">
        <v>151</v>
      </c>
      <c r="B133" s="1">
        <v>44789</v>
      </c>
      <c r="C133" s="1">
        <v>45174</v>
      </c>
      <c r="D133">
        <v>44082.14</v>
      </c>
      <c r="E133" s="2">
        <f>(Table2[[#This Row],[revenue]]-Table2[[#This Row],[budget]])/Table2[[#This Row],[budget]]</f>
        <v>19.484538409432936</v>
      </c>
      <c r="F133" t="s">
        <v>11</v>
      </c>
      <c r="G133" t="s">
        <v>15</v>
      </c>
      <c r="H133" t="s">
        <v>13</v>
      </c>
      <c r="I133">
        <v>0.49</v>
      </c>
      <c r="J133">
        <v>903002.29</v>
      </c>
      <c r="K133">
        <f>Table2[[#This Row],[revenue]]/Table2[[#This Row],[budget]]</f>
        <v>20.484538409432936</v>
      </c>
      <c r="L133" s="2">
        <f t="shared" si="6"/>
        <v>440821.4</v>
      </c>
      <c r="M133" s="2">
        <f>(Table2[[#This Row],[Adjusted revenue]]-Table2[[#This Row],[budget]])/Table2[[#This Row],[budget]]</f>
        <v>9</v>
      </c>
      <c r="N133" t="str">
        <f t="shared" si="7"/>
        <v>OK</v>
      </c>
      <c r="O133" s="2">
        <f t="shared" si="8"/>
        <v>1</v>
      </c>
    </row>
    <row r="134" spans="1:15" x14ac:dyDescent="0.3">
      <c r="A134" t="s">
        <v>152</v>
      </c>
      <c r="B134" s="1">
        <v>44945</v>
      </c>
      <c r="C134" s="1">
        <v>45251</v>
      </c>
      <c r="D134">
        <v>61946.3</v>
      </c>
      <c r="E134" s="2">
        <f>(Table2[[#This Row],[revenue]]-Table2[[#This Row],[budget]])/Table2[[#This Row],[budget]]</f>
        <v>2.5152249609742632</v>
      </c>
      <c r="F134" t="s">
        <v>21</v>
      </c>
      <c r="G134" t="s">
        <v>15</v>
      </c>
      <c r="H134" t="s">
        <v>19</v>
      </c>
      <c r="I134">
        <v>0.85</v>
      </c>
      <c r="J134">
        <v>217755.18</v>
      </c>
      <c r="K134">
        <f>Table2[[#This Row],[revenue]]/Table2[[#This Row],[budget]]</f>
        <v>3.5152249609742627</v>
      </c>
      <c r="L134" s="2">
        <f t="shared" si="6"/>
        <v>217755.18</v>
      </c>
      <c r="M134" s="2">
        <f>(Table2[[#This Row],[Adjusted revenue]]-Table2[[#This Row],[budget]])/Table2[[#This Row],[budget]]</f>
        <v>2.5152249609742632</v>
      </c>
      <c r="N134" t="str">
        <f t="shared" si="7"/>
        <v>OK</v>
      </c>
      <c r="O134" s="2">
        <f t="shared" si="8"/>
        <v>-0.36521579768962875</v>
      </c>
    </row>
    <row r="135" spans="1:15" x14ac:dyDescent="0.3">
      <c r="A135" t="s">
        <v>153</v>
      </c>
      <c r="B135" s="1">
        <v>45083</v>
      </c>
      <c r="C135" s="1">
        <v>45297</v>
      </c>
      <c r="D135">
        <v>50168.89</v>
      </c>
      <c r="E135" s="2">
        <f>(Table2[[#This Row],[revenue]]-Table2[[#This Row],[budget]])/Table2[[#This Row],[budget]]</f>
        <v>11.173882260500482</v>
      </c>
      <c r="F135" t="s">
        <v>11</v>
      </c>
      <c r="G135" t="s">
        <v>12</v>
      </c>
      <c r="H135" t="s">
        <v>25</v>
      </c>
      <c r="I135">
        <v>0.67</v>
      </c>
      <c r="J135">
        <v>610750.16</v>
      </c>
      <c r="K135">
        <f>Table2[[#This Row],[revenue]]/Table2[[#This Row],[budget]]</f>
        <v>12.173882260500482</v>
      </c>
      <c r="L135" s="2">
        <f t="shared" si="6"/>
        <v>501688.9</v>
      </c>
      <c r="M135" s="2">
        <f>(Table2[[#This Row],[Adjusted revenue]]-Table2[[#This Row],[budget]])/Table2[[#This Row],[budget]]</f>
        <v>9</v>
      </c>
      <c r="N135" t="str">
        <f t="shared" si="7"/>
        <v>OK</v>
      </c>
      <c r="O135" s="2">
        <f t="shared" si="8"/>
        <v>1</v>
      </c>
    </row>
    <row r="136" spans="1:15" x14ac:dyDescent="0.3">
      <c r="A136" t="s">
        <v>154</v>
      </c>
      <c r="B136" s="1">
        <v>44819</v>
      </c>
      <c r="C136" s="1">
        <v>45273</v>
      </c>
      <c r="D136">
        <v>54331.15</v>
      </c>
      <c r="E136" s="2">
        <f>(Table2[[#This Row],[revenue]]-Table2[[#This Row],[budget]])/Table2[[#This Row],[budget]]</f>
        <v>17.268428148493083</v>
      </c>
      <c r="F136" t="s">
        <v>23</v>
      </c>
      <c r="G136" t="s">
        <v>12</v>
      </c>
      <c r="H136" t="s">
        <v>16</v>
      </c>
      <c r="I136">
        <v>0.39</v>
      </c>
      <c r="J136">
        <v>992544.71</v>
      </c>
      <c r="K136">
        <f>Table2[[#This Row],[revenue]]/Table2[[#This Row],[budget]]</f>
        <v>18.268428148493083</v>
      </c>
      <c r="L136" s="2">
        <f t="shared" si="6"/>
        <v>543311.5</v>
      </c>
      <c r="M136" s="2">
        <f>(Table2[[#This Row],[Adjusted revenue]]-Table2[[#This Row],[budget]])/Table2[[#This Row],[budget]]</f>
        <v>9</v>
      </c>
      <c r="N136" t="str">
        <f t="shared" si="7"/>
        <v>OK</v>
      </c>
      <c r="O136" s="2">
        <f t="shared" si="8"/>
        <v>1</v>
      </c>
    </row>
    <row r="137" spans="1:15" x14ac:dyDescent="0.3">
      <c r="A137" t="s">
        <v>155</v>
      </c>
      <c r="B137" s="1">
        <v>44801</v>
      </c>
      <c r="C137" s="1">
        <v>45216</v>
      </c>
      <c r="D137">
        <v>72529.72</v>
      </c>
      <c r="E137" s="2">
        <f>(Table2[[#This Row],[revenue]]-Table2[[#This Row],[budget]])/Table2[[#This Row],[budget]]</f>
        <v>0.33981931820500616</v>
      </c>
      <c r="F137" t="s">
        <v>11</v>
      </c>
      <c r="G137" t="s">
        <v>15</v>
      </c>
      <c r="H137" t="s">
        <v>25</v>
      </c>
      <c r="I137">
        <v>0.24</v>
      </c>
      <c r="J137">
        <v>97176.72</v>
      </c>
      <c r="K137">
        <f>Table2[[#This Row],[revenue]]/Table2[[#This Row],[budget]]</f>
        <v>1.3398193182050062</v>
      </c>
      <c r="L137" s="2">
        <f t="shared" si="6"/>
        <v>97176.72</v>
      </c>
      <c r="M137" s="2">
        <f>(Table2[[#This Row],[Adjusted revenue]]-Table2[[#This Row],[budget]])/Table2[[#This Row],[budget]]</f>
        <v>0.33981931820500616</v>
      </c>
      <c r="N137" t="str">
        <f t="shared" si="7"/>
        <v>Failed</v>
      </c>
      <c r="O137" s="2">
        <f t="shared" si="8"/>
        <v>-0.82319593300947236</v>
      </c>
    </row>
    <row r="138" spans="1:15" x14ac:dyDescent="0.3">
      <c r="A138" t="s">
        <v>156</v>
      </c>
      <c r="B138" s="1">
        <v>44825</v>
      </c>
      <c r="C138" s="1">
        <v>45175</v>
      </c>
      <c r="D138">
        <v>40881.17</v>
      </c>
      <c r="E138" s="2">
        <f>(Table2[[#This Row],[revenue]]-Table2[[#This Row],[budget]])/Table2[[#This Row],[budget]]</f>
        <v>15.867942624929766</v>
      </c>
      <c r="F138" t="s">
        <v>18</v>
      </c>
      <c r="G138" t="s">
        <v>12</v>
      </c>
      <c r="H138" t="s">
        <v>16</v>
      </c>
      <c r="I138">
        <v>0.1</v>
      </c>
      <c r="J138">
        <v>689581.23</v>
      </c>
      <c r="K138">
        <f>Table2[[#This Row],[revenue]]/Table2[[#This Row],[budget]]</f>
        <v>16.867942624929768</v>
      </c>
      <c r="L138" s="2">
        <f t="shared" si="6"/>
        <v>408811.69999999995</v>
      </c>
      <c r="M138" s="2">
        <f>(Table2[[#This Row],[Adjusted revenue]]-Table2[[#This Row],[budget]])/Table2[[#This Row],[budget]]</f>
        <v>9</v>
      </c>
      <c r="N138" t="str">
        <f t="shared" si="7"/>
        <v>OK</v>
      </c>
      <c r="O138" s="2">
        <f t="shared" si="8"/>
        <v>1</v>
      </c>
    </row>
    <row r="139" spans="1:15" x14ac:dyDescent="0.3">
      <c r="A139" t="s">
        <v>157</v>
      </c>
      <c r="B139" s="1">
        <v>44885</v>
      </c>
      <c r="C139" s="1">
        <v>45143</v>
      </c>
      <c r="D139">
        <v>68885.7</v>
      </c>
      <c r="E139" s="2">
        <f>(Table2[[#This Row],[revenue]]-Table2[[#This Row],[budget]])/Table2[[#This Row],[budget]]</f>
        <v>1.3530403262215525</v>
      </c>
      <c r="F139" t="s">
        <v>21</v>
      </c>
      <c r="G139" t="s">
        <v>12</v>
      </c>
      <c r="H139" t="s">
        <v>13</v>
      </c>
      <c r="I139">
        <v>0.21</v>
      </c>
      <c r="J139">
        <v>162090.82999999999</v>
      </c>
      <c r="K139">
        <f>Table2[[#This Row],[revenue]]/Table2[[#This Row],[budget]]</f>
        <v>2.3530403262215525</v>
      </c>
      <c r="L139" s="2">
        <f t="shared" si="6"/>
        <v>162090.82999999999</v>
      </c>
      <c r="M139" s="2">
        <f>(Table2[[#This Row],[Adjusted revenue]]-Table2[[#This Row],[budget]])/Table2[[#This Row],[budget]]</f>
        <v>1.3530403262215525</v>
      </c>
      <c r="N139" t="str">
        <f t="shared" si="7"/>
        <v>OK</v>
      </c>
      <c r="O139" s="2">
        <f t="shared" si="8"/>
        <v>-0.60988624711125206</v>
      </c>
    </row>
    <row r="140" spans="1:15" x14ac:dyDescent="0.3">
      <c r="A140" t="s">
        <v>158</v>
      </c>
      <c r="B140" s="1">
        <v>44980</v>
      </c>
      <c r="C140" s="1">
        <v>45185</v>
      </c>
      <c r="D140">
        <v>48358</v>
      </c>
      <c r="E140" s="2">
        <f>(Table2[[#This Row],[revenue]]-Table2[[#This Row],[budget]])/Table2[[#This Row],[budget]]</f>
        <v>9.5017631002109262</v>
      </c>
      <c r="F140" t="s">
        <v>11</v>
      </c>
      <c r="G140" t="s">
        <v>15</v>
      </c>
      <c r="H140" t="s">
        <v>19</v>
      </c>
      <c r="I140">
        <v>0.39</v>
      </c>
      <c r="J140">
        <v>507844.26</v>
      </c>
      <c r="K140">
        <f>Table2[[#This Row],[revenue]]/Table2[[#This Row],[budget]]</f>
        <v>10.501763100210926</v>
      </c>
      <c r="L140" s="2">
        <f t="shared" si="6"/>
        <v>483580</v>
      </c>
      <c r="M140" s="2">
        <f>(Table2[[#This Row],[Adjusted revenue]]-Table2[[#This Row],[budget]])/Table2[[#This Row],[budget]]</f>
        <v>9</v>
      </c>
      <c r="N140" t="str">
        <f t="shared" si="7"/>
        <v>OK</v>
      </c>
      <c r="O140" s="2">
        <f t="shared" si="8"/>
        <v>1</v>
      </c>
    </row>
    <row r="141" spans="1:15" x14ac:dyDescent="0.3">
      <c r="A141" t="s">
        <v>159</v>
      </c>
      <c r="B141" s="1">
        <v>44788</v>
      </c>
      <c r="C141" s="1">
        <v>45446</v>
      </c>
      <c r="D141">
        <v>98289.74</v>
      </c>
      <c r="E141" s="2">
        <f>(Table2[[#This Row],[revenue]]-Table2[[#This Row],[budget]])/Table2[[#This Row],[budget]]</f>
        <v>7.2610944947051435</v>
      </c>
      <c r="F141" t="s">
        <v>21</v>
      </c>
      <c r="G141" t="s">
        <v>12</v>
      </c>
      <c r="H141" t="s">
        <v>19</v>
      </c>
      <c r="I141">
        <v>0.79</v>
      </c>
      <c r="J141">
        <v>811980.83</v>
      </c>
      <c r="K141">
        <f>Table2[[#This Row],[revenue]]/Table2[[#This Row],[budget]]</f>
        <v>8.2610944947051426</v>
      </c>
      <c r="L141" s="2">
        <f t="shared" si="6"/>
        <v>811980.83</v>
      </c>
      <c r="M141" s="2">
        <f>(Table2[[#This Row],[Adjusted revenue]]-Table2[[#This Row],[budget]])/Table2[[#This Row],[budget]]</f>
        <v>7.2610944947051435</v>
      </c>
      <c r="N141" t="str">
        <f t="shared" si="7"/>
        <v>OK</v>
      </c>
      <c r="O141" s="2">
        <f t="shared" si="8"/>
        <v>0.63391463046424068</v>
      </c>
    </row>
    <row r="142" spans="1:15" x14ac:dyDescent="0.3">
      <c r="A142" t="s">
        <v>160</v>
      </c>
      <c r="B142" s="1">
        <v>44797</v>
      </c>
      <c r="C142" s="1">
        <v>45173</v>
      </c>
      <c r="D142">
        <v>4016.62</v>
      </c>
      <c r="E142" s="2">
        <f>(Table2[[#This Row],[revenue]]-Table2[[#This Row],[budget]])/Table2[[#This Row],[budget]]</f>
        <v>191.46420124383189</v>
      </c>
      <c r="F142" t="s">
        <v>23</v>
      </c>
      <c r="G142" t="s">
        <v>12</v>
      </c>
      <c r="H142" t="s">
        <v>25</v>
      </c>
      <c r="I142">
        <v>0.99</v>
      </c>
      <c r="J142">
        <v>773055.56</v>
      </c>
      <c r="K142">
        <f>Table2[[#This Row],[revenue]]/Table2[[#This Row],[budget]]</f>
        <v>192.46420124383189</v>
      </c>
      <c r="L142" s="2">
        <f t="shared" si="6"/>
        <v>40166.199999999997</v>
      </c>
      <c r="M142" s="2">
        <f>(Table2[[#This Row],[Adjusted revenue]]-Table2[[#This Row],[budget]])/Table2[[#This Row],[budget]]</f>
        <v>8.9999999999999982</v>
      </c>
      <c r="N142" t="str">
        <f t="shared" si="7"/>
        <v>OK</v>
      </c>
      <c r="O142" s="2">
        <f t="shared" si="8"/>
        <v>0.99999999999999956</v>
      </c>
    </row>
    <row r="143" spans="1:15" x14ac:dyDescent="0.3">
      <c r="A143" t="s">
        <v>161</v>
      </c>
      <c r="B143" s="1">
        <v>45024</v>
      </c>
      <c r="C143" s="1">
        <v>45446</v>
      </c>
      <c r="D143">
        <v>41419.79</v>
      </c>
      <c r="E143" s="2">
        <f>(Table2[[#This Row],[revenue]]-Table2[[#This Row],[budget]])/Table2[[#This Row],[budget]]</f>
        <v>5.980708738503985</v>
      </c>
      <c r="F143" t="s">
        <v>23</v>
      </c>
      <c r="G143" t="s">
        <v>12</v>
      </c>
      <c r="H143" t="s">
        <v>13</v>
      </c>
      <c r="I143">
        <v>0.35</v>
      </c>
      <c r="J143">
        <v>289139.49</v>
      </c>
      <c r="K143">
        <f>Table2[[#This Row],[revenue]]/Table2[[#This Row],[budget]]</f>
        <v>6.980708738503985</v>
      </c>
      <c r="L143" s="2">
        <f t="shared" si="6"/>
        <v>289139.49</v>
      </c>
      <c r="M143" s="2">
        <f>(Table2[[#This Row],[Adjusted revenue]]-Table2[[#This Row],[budget]])/Table2[[#This Row],[budget]]</f>
        <v>5.980708738503985</v>
      </c>
      <c r="N143" t="str">
        <f t="shared" si="7"/>
        <v>OK</v>
      </c>
      <c r="O143" s="2">
        <f t="shared" si="8"/>
        <v>0.36435973442189162</v>
      </c>
    </row>
    <row r="144" spans="1:15" x14ac:dyDescent="0.3">
      <c r="A144" t="s">
        <v>162</v>
      </c>
      <c r="B144" s="1">
        <v>44851</v>
      </c>
      <c r="C144" s="1">
        <v>45310</v>
      </c>
      <c r="D144">
        <v>52686.92</v>
      </c>
      <c r="E144" s="2">
        <f>(Table2[[#This Row],[revenue]]-Table2[[#This Row],[budget]])/Table2[[#This Row],[budget]]</f>
        <v>7.409479050967489</v>
      </c>
      <c r="F144" t="s">
        <v>23</v>
      </c>
      <c r="G144" t="s">
        <v>12</v>
      </c>
      <c r="H144" t="s">
        <v>13</v>
      </c>
      <c r="I144">
        <v>0.28000000000000003</v>
      </c>
      <c r="J144">
        <v>443069.55</v>
      </c>
      <c r="K144">
        <f>Table2[[#This Row],[revenue]]/Table2[[#This Row],[budget]]</f>
        <v>8.409479050967489</v>
      </c>
      <c r="L144" s="2">
        <f t="shared" si="6"/>
        <v>443069.55</v>
      </c>
      <c r="M144" s="2">
        <f>(Table2[[#This Row],[Adjusted revenue]]-Table2[[#This Row],[budget]])/Table2[[#This Row],[budget]]</f>
        <v>7.409479050967489</v>
      </c>
      <c r="N144" t="str">
        <f t="shared" si="7"/>
        <v>OK</v>
      </c>
      <c r="O144" s="2">
        <f t="shared" si="8"/>
        <v>0.66515348441420818</v>
      </c>
    </row>
    <row r="145" spans="1:15" x14ac:dyDescent="0.3">
      <c r="A145" t="s">
        <v>163</v>
      </c>
      <c r="B145" s="1">
        <v>45027</v>
      </c>
      <c r="C145" s="1">
        <v>45265</v>
      </c>
      <c r="D145">
        <v>16420.77</v>
      </c>
      <c r="E145" s="2">
        <f>(Table2[[#This Row],[revenue]]-Table2[[#This Row],[budget]])/Table2[[#This Row],[budget]]</f>
        <v>37.492062796080816</v>
      </c>
      <c r="F145" t="s">
        <v>23</v>
      </c>
      <c r="G145" t="s">
        <v>15</v>
      </c>
      <c r="H145" t="s">
        <v>13</v>
      </c>
      <c r="I145">
        <v>0.73</v>
      </c>
      <c r="J145">
        <v>632069.31000000006</v>
      </c>
      <c r="K145">
        <f>Table2[[#This Row],[revenue]]/Table2[[#This Row],[budget]]</f>
        <v>38.492062796080816</v>
      </c>
      <c r="L145" s="2">
        <f t="shared" si="6"/>
        <v>164207.70000000001</v>
      </c>
      <c r="M145" s="2">
        <f>(Table2[[#This Row],[Adjusted revenue]]-Table2[[#This Row],[budget]])/Table2[[#This Row],[budget]]</f>
        <v>9.0000000000000018</v>
      </c>
      <c r="N145" t="str">
        <f t="shared" si="7"/>
        <v>OK</v>
      </c>
      <c r="O145" s="2">
        <f t="shared" si="8"/>
        <v>1.0000000000000004</v>
      </c>
    </row>
    <row r="146" spans="1:15" x14ac:dyDescent="0.3">
      <c r="A146" t="s">
        <v>164</v>
      </c>
      <c r="B146" s="1">
        <v>44864</v>
      </c>
      <c r="C146" s="1">
        <v>45347</v>
      </c>
      <c r="D146">
        <v>46976.52</v>
      </c>
      <c r="E146" s="2">
        <f>(Table2[[#This Row],[revenue]]-Table2[[#This Row],[budget]])/Table2[[#This Row],[budget]]</f>
        <v>6.9067402183048046</v>
      </c>
      <c r="F146" t="s">
        <v>21</v>
      </c>
      <c r="G146" t="s">
        <v>15</v>
      </c>
      <c r="H146" t="s">
        <v>13</v>
      </c>
      <c r="I146">
        <v>0.85</v>
      </c>
      <c r="J146">
        <v>371431.14</v>
      </c>
      <c r="K146">
        <f>Table2[[#This Row],[revenue]]/Table2[[#This Row],[budget]]</f>
        <v>7.9067402183048054</v>
      </c>
      <c r="L146" s="2">
        <f t="shared" si="6"/>
        <v>371431.14</v>
      </c>
      <c r="M146" s="2">
        <f>(Table2[[#This Row],[Adjusted revenue]]-Table2[[#This Row],[budget]])/Table2[[#This Row],[budget]]</f>
        <v>6.9067402183048046</v>
      </c>
      <c r="N146" t="str">
        <f t="shared" si="7"/>
        <v>OK</v>
      </c>
      <c r="O146" s="2">
        <f t="shared" si="8"/>
        <v>0.55931373016943264</v>
      </c>
    </row>
    <row r="147" spans="1:15" x14ac:dyDescent="0.3">
      <c r="A147" t="s">
        <v>165</v>
      </c>
      <c r="B147" s="1">
        <v>44997</v>
      </c>
      <c r="C147" s="1">
        <v>45431</v>
      </c>
      <c r="D147">
        <v>91122.63</v>
      </c>
      <c r="E147" s="2">
        <f>(Table2[[#This Row],[revenue]]-Table2[[#This Row],[budget]])/Table2[[#This Row],[budget]]</f>
        <v>8.1222484469554921</v>
      </c>
      <c r="F147" t="s">
        <v>23</v>
      </c>
      <c r="G147" t="s">
        <v>15</v>
      </c>
      <c r="H147" t="s">
        <v>13</v>
      </c>
      <c r="I147">
        <v>0.7</v>
      </c>
      <c r="J147">
        <v>831243.27</v>
      </c>
      <c r="K147">
        <f>Table2[[#This Row],[revenue]]/Table2[[#This Row],[budget]]</f>
        <v>9.1222484469554921</v>
      </c>
      <c r="L147" s="2">
        <f t="shared" si="6"/>
        <v>831243.27</v>
      </c>
      <c r="M147" s="2">
        <f>(Table2[[#This Row],[Adjusted revenue]]-Table2[[#This Row],[budget]])/Table2[[#This Row],[budget]]</f>
        <v>8.1222484469554921</v>
      </c>
      <c r="N147" t="str">
        <f t="shared" si="7"/>
        <v>OK</v>
      </c>
      <c r="O147" s="2">
        <f t="shared" si="8"/>
        <v>0.81521019935905104</v>
      </c>
    </row>
    <row r="148" spans="1:15" x14ac:dyDescent="0.3">
      <c r="A148" t="s">
        <v>166</v>
      </c>
      <c r="B148" s="1">
        <v>44896</v>
      </c>
      <c r="C148" s="1">
        <v>45319</v>
      </c>
      <c r="D148">
        <v>4855.9799999999996</v>
      </c>
      <c r="E148" s="2">
        <f>(Table2[[#This Row],[revenue]]-Table2[[#This Row],[budget]])/Table2[[#This Row],[budget]]</f>
        <v>132.65029510006221</v>
      </c>
      <c r="F148" t="s">
        <v>18</v>
      </c>
      <c r="G148" t="s">
        <v>12</v>
      </c>
      <c r="H148" t="s">
        <v>16</v>
      </c>
      <c r="I148">
        <v>0.85</v>
      </c>
      <c r="J148">
        <v>649003.16</v>
      </c>
      <c r="K148">
        <f>Table2[[#This Row],[revenue]]/Table2[[#This Row],[budget]]</f>
        <v>133.65029510006221</v>
      </c>
      <c r="L148" s="2">
        <f t="shared" si="6"/>
        <v>48559.799999999996</v>
      </c>
      <c r="M148" s="2">
        <f>(Table2[[#This Row],[Adjusted revenue]]-Table2[[#This Row],[budget]])/Table2[[#This Row],[budget]]</f>
        <v>9</v>
      </c>
      <c r="N148" t="str">
        <f t="shared" si="7"/>
        <v>OK</v>
      </c>
      <c r="O148" s="2">
        <f t="shared" si="8"/>
        <v>1</v>
      </c>
    </row>
    <row r="149" spans="1:15" x14ac:dyDescent="0.3">
      <c r="A149" t="s">
        <v>167</v>
      </c>
      <c r="B149" s="1">
        <v>45024</v>
      </c>
      <c r="C149" s="1">
        <v>45280</v>
      </c>
      <c r="D149">
        <v>54503.83</v>
      </c>
      <c r="E149" s="2">
        <f>(Table2[[#This Row],[revenue]]-Table2[[#This Row],[budget]])/Table2[[#This Row],[budget]]</f>
        <v>0.45107784168562098</v>
      </c>
      <c r="F149" t="s">
        <v>23</v>
      </c>
      <c r="G149" t="s">
        <v>12</v>
      </c>
      <c r="H149" t="s">
        <v>16</v>
      </c>
      <c r="I149">
        <v>0.9</v>
      </c>
      <c r="J149">
        <v>79089.3</v>
      </c>
      <c r="K149">
        <f>Table2[[#This Row],[revenue]]/Table2[[#This Row],[budget]]</f>
        <v>1.4510778416856209</v>
      </c>
      <c r="L149" s="2">
        <f t="shared" si="6"/>
        <v>79089.3</v>
      </c>
      <c r="M149" s="2">
        <f>(Table2[[#This Row],[Adjusted revenue]]-Table2[[#This Row],[budget]])/Table2[[#This Row],[budget]]</f>
        <v>0.45107784168562098</v>
      </c>
      <c r="N149" t="str">
        <f t="shared" si="7"/>
        <v>Failed</v>
      </c>
      <c r="O149" s="2">
        <f t="shared" si="8"/>
        <v>-0.79977308596092189</v>
      </c>
    </row>
    <row r="150" spans="1:15" x14ac:dyDescent="0.3">
      <c r="A150" t="s">
        <v>168</v>
      </c>
      <c r="B150" s="1">
        <v>44785</v>
      </c>
      <c r="C150" s="1">
        <v>45281</v>
      </c>
      <c r="D150">
        <v>12098.23</v>
      </c>
      <c r="E150" s="2">
        <f>(Table2[[#This Row],[revenue]]-Table2[[#This Row],[budget]])/Table2[[#This Row],[budget]]</f>
        <v>21.367589308518685</v>
      </c>
      <c r="F150" t="s">
        <v>11</v>
      </c>
      <c r="G150" t="s">
        <v>15</v>
      </c>
      <c r="H150" t="s">
        <v>19</v>
      </c>
      <c r="I150">
        <v>0.44</v>
      </c>
      <c r="J150">
        <v>270608.24</v>
      </c>
      <c r="K150">
        <f>Table2[[#This Row],[revenue]]/Table2[[#This Row],[budget]]</f>
        <v>22.367589308518685</v>
      </c>
      <c r="L150" s="2">
        <f t="shared" si="6"/>
        <v>120982.29999999999</v>
      </c>
      <c r="M150" s="2">
        <f>(Table2[[#This Row],[Adjusted revenue]]-Table2[[#This Row],[budget]])/Table2[[#This Row],[budget]]</f>
        <v>9</v>
      </c>
      <c r="N150" t="str">
        <f t="shared" si="7"/>
        <v>OK</v>
      </c>
      <c r="O150" s="2">
        <f t="shared" si="8"/>
        <v>1</v>
      </c>
    </row>
    <row r="151" spans="1:15" x14ac:dyDescent="0.3">
      <c r="A151" t="s">
        <v>169</v>
      </c>
      <c r="B151" s="1">
        <v>44991</v>
      </c>
      <c r="C151" s="1">
        <v>45366</v>
      </c>
      <c r="D151">
        <v>14419.22</v>
      </c>
      <c r="E151" s="2">
        <f>(Table2[[#This Row],[revenue]]-Table2[[#This Row],[budget]])/Table2[[#This Row],[budget]]</f>
        <v>6.4957868733537598</v>
      </c>
      <c r="F151" t="s">
        <v>18</v>
      </c>
      <c r="G151" t="s">
        <v>15</v>
      </c>
      <c r="H151" t="s">
        <v>16</v>
      </c>
      <c r="I151">
        <v>0.18</v>
      </c>
      <c r="J151">
        <v>108083.4</v>
      </c>
      <c r="K151">
        <f>Table2[[#This Row],[revenue]]/Table2[[#This Row],[budget]]</f>
        <v>7.4957868733537598</v>
      </c>
      <c r="L151" s="2">
        <f t="shared" si="6"/>
        <v>108083.4</v>
      </c>
      <c r="M151" s="2">
        <f>(Table2[[#This Row],[Adjusted revenue]]-Table2[[#This Row],[budget]])/Table2[[#This Row],[budget]]</f>
        <v>6.4957868733537598</v>
      </c>
      <c r="N151" t="str">
        <f t="shared" si="7"/>
        <v>OK</v>
      </c>
      <c r="O151" s="2">
        <f t="shared" si="8"/>
        <v>0.47279723649552841</v>
      </c>
    </row>
    <row r="152" spans="1:15" x14ac:dyDescent="0.3">
      <c r="A152" t="s">
        <v>170</v>
      </c>
      <c r="B152" s="1">
        <v>44935</v>
      </c>
      <c r="C152" s="1">
        <v>45216</v>
      </c>
      <c r="D152">
        <v>59892.4</v>
      </c>
      <c r="E152" s="2">
        <f>(Table2[[#This Row],[revenue]]-Table2[[#This Row],[budget]])/Table2[[#This Row],[budget]]</f>
        <v>14.69955186300766</v>
      </c>
      <c r="F152" t="s">
        <v>11</v>
      </c>
      <c r="G152" t="s">
        <v>12</v>
      </c>
      <c r="H152" t="s">
        <v>16</v>
      </c>
      <c r="I152">
        <v>0.66</v>
      </c>
      <c r="J152">
        <v>940283.84</v>
      </c>
      <c r="K152">
        <f>Table2[[#This Row],[revenue]]/Table2[[#This Row],[budget]]</f>
        <v>15.69955186300766</v>
      </c>
      <c r="L152" s="2">
        <f t="shared" si="6"/>
        <v>598924</v>
      </c>
      <c r="M152" s="2">
        <f>(Table2[[#This Row],[Adjusted revenue]]-Table2[[#This Row],[budget]])/Table2[[#This Row],[budget]]</f>
        <v>9</v>
      </c>
      <c r="N152" t="str">
        <f t="shared" si="7"/>
        <v>OK</v>
      </c>
      <c r="O152" s="2">
        <f t="shared" si="8"/>
        <v>1</v>
      </c>
    </row>
    <row r="153" spans="1:15" x14ac:dyDescent="0.3">
      <c r="A153" t="s">
        <v>171</v>
      </c>
      <c r="B153" s="1">
        <v>44893</v>
      </c>
      <c r="C153" s="1">
        <v>45478</v>
      </c>
      <c r="D153">
        <v>5197.6099999999997</v>
      </c>
      <c r="E153" s="2">
        <f>(Table2[[#This Row],[revenue]]-Table2[[#This Row],[budget]])/Table2[[#This Row],[budget]]</f>
        <v>10.759558720257965</v>
      </c>
      <c r="F153" t="s">
        <v>23</v>
      </c>
      <c r="G153" t="s">
        <v>15</v>
      </c>
      <c r="H153" t="s">
        <v>25</v>
      </c>
      <c r="I153">
        <v>0.78</v>
      </c>
      <c r="J153">
        <v>61121.599999999999</v>
      </c>
      <c r="K153">
        <f>Table2[[#This Row],[revenue]]/Table2[[#This Row],[budget]]</f>
        <v>11.759558720257965</v>
      </c>
      <c r="L153" s="2">
        <f t="shared" si="6"/>
        <v>51976.1</v>
      </c>
      <c r="M153" s="2">
        <f>(Table2[[#This Row],[Adjusted revenue]]-Table2[[#This Row],[budget]])/Table2[[#This Row],[budget]]</f>
        <v>9</v>
      </c>
      <c r="N153" t="str">
        <f t="shared" si="7"/>
        <v>OK</v>
      </c>
      <c r="O153" s="2">
        <f t="shared" si="8"/>
        <v>1</v>
      </c>
    </row>
    <row r="154" spans="1:15" x14ac:dyDescent="0.3">
      <c r="A154" t="s">
        <v>172</v>
      </c>
      <c r="B154" s="1">
        <v>44820</v>
      </c>
      <c r="C154" s="1">
        <v>45311</v>
      </c>
      <c r="D154">
        <v>6310.87</v>
      </c>
      <c r="E154" s="2">
        <f>(Table2[[#This Row],[revenue]]-Table2[[#This Row],[budget]])/Table2[[#This Row],[budget]]</f>
        <v>132.96136982698107</v>
      </c>
      <c r="F154" t="s">
        <v>11</v>
      </c>
      <c r="G154" t="s">
        <v>15</v>
      </c>
      <c r="H154" t="s">
        <v>19</v>
      </c>
      <c r="I154">
        <v>0.62</v>
      </c>
      <c r="J154">
        <v>845412.79</v>
      </c>
      <c r="K154">
        <f>Table2[[#This Row],[revenue]]/Table2[[#This Row],[budget]]</f>
        <v>133.96136982698107</v>
      </c>
      <c r="L154" s="2">
        <f t="shared" si="6"/>
        <v>63108.7</v>
      </c>
      <c r="M154" s="2">
        <f>(Table2[[#This Row],[Adjusted revenue]]-Table2[[#This Row],[budget]])/Table2[[#This Row],[budget]]</f>
        <v>9</v>
      </c>
      <c r="N154" t="str">
        <f t="shared" si="7"/>
        <v>OK</v>
      </c>
      <c r="O154" s="2">
        <f t="shared" si="8"/>
        <v>1</v>
      </c>
    </row>
    <row r="155" spans="1:15" x14ac:dyDescent="0.3">
      <c r="A155" t="s">
        <v>173</v>
      </c>
      <c r="B155" s="1">
        <v>45010</v>
      </c>
      <c r="C155" s="1">
        <v>45446</v>
      </c>
      <c r="D155">
        <v>80612.13</v>
      </c>
      <c r="E155" s="2">
        <f>(Table2[[#This Row],[revenue]]-Table2[[#This Row],[budget]])/Table2[[#This Row],[budget]]</f>
        <v>0.39882335325961488</v>
      </c>
      <c r="F155" t="s">
        <v>18</v>
      </c>
      <c r="G155" t="s">
        <v>15</v>
      </c>
      <c r="H155" t="s">
        <v>16</v>
      </c>
      <c r="I155">
        <v>0.97</v>
      </c>
      <c r="J155">
        <v>112762.13</v>
      </c>
      <c r="K155">
        <f>Table2[[#This Row],[revenue]]/Table2[[#This Row],[budget]]</f>
        <v>1.3988233532596148</v>
      </c>
      <c r="L155" s="2">
        <f t="shared" si="6"/>
        <v>112762.13</v>
      </c>
      <c r="M155" s="2">
        <f>(Table2[[#This Row],[Adjusted revenue]]-Table2[[#This Row],[budget]])/Table2[[#This Row],[budget]]</f>
        <v>0.39882335325961488</v>
      </c>
      <c r="N155" t="str">
        <f t="shared" si="7"/>
        <v>Failed</v>
      </c>
      <c r="O155" s="2">
        <f t="shared" si="8"/>
        <v>-0.81077403089271272</v>
      </c>
    </row>
    <row r="156" spans="1:15" x14ac:dyDescent="0.3">
      <c r="A156" t="s">
        <v>174</v>
      </c>
      <c r="B156" s="1">
        <v>44957</v>
      </c>
      <c r="C156" s="1">
        <v>45196</v>
      </c>
      <c r="D156">
        <v>80358.87</v>
      </c>
      <c r="E156" s="2">
        <f>(Table2[[#This Row],[revenue]]-Table2[[#This Row],[budget]])/Table2[[#This Row],[budget]]</f>
        <v>0.40268672269781808</v>
      </c>
      <c r="F156" t="s">
        <v>21</v>
      </c>
      <c r="G156" t="s">
        <v>12</v>
      </c>
      <c r="H156" t="s">
        <v>13</v>
      </c>
      <c r="I156">
        <v>0.64</v>
      </c>
      <c r="J156">
        <v>112718.32</v>
      </c>
      <c r="K156">
        <f>Table2[[#This Row],[revenue]]/Table2[[#This Row],[budget]]</f>
        <v>1.4026867226978181</v>
      </c>
      <c r="L156" s="2">
        <f t="shared" si="6"/>
        <v>112718.32</v>
      </c>
      <c r="M156" s="2">
        <f>(Table2[[#This Row],[Adjusted revenue]]-Table2[[#This Row],[budget]])/Table2[[#This Row],[budget]]</f>
        <v>0.40268672269781808</v>
      </c>
      <c r="N156" t="str">
        <f t="shared" si="7"/>
        <v>Failed</v>
      </c>
      <c r="O156" s="2">
        <f t="shared" si="8"/>
        <v>-0.80996068995835402</v>
      </c>
    </row>
    <row r="157" spans="1:15" x14ac:dyDescent="0.3">
      <c r="A157" t="s">
        <v>175</v>
      </c>
      <c r="B157" s="1">
        <v>44853</v>
      </c>
      <c r="C157" s="1">
        <v>45201</v>
      </c>
      <c r="D157">
        <v>73855.23</v>
      </c>
      <c r="E157" s="2">
        <f>(Table2[[#This Row],[revenue]]-Table2[[#This Row],[budget]])/Table2[[#This Row],[budget]]</f>
        <v>1.9120817848647955</v>
      </c>
      <c r="F157" t="s">
        <v>23</v>
      </c>
      <c r="G157" t="s">
        <v>12</v>
      </c>
      <c r="H157" t="s">
        <v>16</v>
      </c>
      <c r="I157">
        <v>0.5</v>
      </c>
      <c r="J157">
        <v>215072.47</v>
      </c>
      <c r="K157">
        <f>Table2[[#This Row],[revenue]]/Table2[[#This Row],[budget]]</f>
        <v>2.912081784864796</v>
      </c>
      <c r="L157" s="2">
        <f t="shared" si="6"/>
        <v>215072.47</v>
      </c>
      <c r="M157" s="2">
        <f>(Table2[[#This Row],[Adjusted revenue]]-Table2[[#This Row],[budget]])/Table2[[#This Row],[budget]]</f>
        <v>1.9120817848647955</v>
      </c>
      <c r="N157" t="str">
        <f t="shared" si="7"/>
        <v>OK</v>
      </c>
      <c r="O157" s="2">
        <f t="shared" si="8"/>
        <v>-0.4921933084495167</v>
      </c>
    </row>
    <row r="158" spans="1:15" x14ac:dyDescent="0.3">
      <c r="A158" t="s">
        <v>176</v>
      </c>
      <c r="B158" s="1">
        <v>45035</v>
      </c>
      <c r="C158" s="1">
        <v>45350</v>
      </c>
      <c r="D158">
        <v>63911.62</v>
      </c>
      <c r="E158" s="2">
        <f>(Table2[[#This Row],[revenue]]-Table2[[#This Row],[budget]])/Table2[[#This Row],[budget]]</f>
        <v>1.776414836613436</v>
      </c>
      <c r="F158" t="s">
        <v>18</v>
      </c>
      <c r="G158" t="s">
        <v>15</v>
      </c>
      <c r="H158" t="s">
        <v>13</v>
      </c>
      <c r="I158">
        <v>0.49</v>
      </c>
      <c r="J158">
        <v>177445.17</v>
      </c>
      <c r="K158">
        <f>Table2[[#This Row],[revenue]]/Table2[[#This Row],[budget]]</f>
        <v>2.7764148366134358</v>
      </c>
      <c r="L158" s="2">
        <f t="shared" si="6"/>
        <v>177445.17</v>
      </c>
      <c r="M158" s="2">
        <f>(Table2[[#This Row],[Adjusted revenue]]-Table2[[#This Row],[budget]])/Table2[[#This Row],[budget]]</f>
        <v>1.776414836613436</v>
      </c>
      <c r="N158" t="str">
        <f t="shared" si="7"/>
        <v>OK</v>
      </c>
      <c r="O158" s="2">
        <f t="shared" si="8"/>
        <v>-0.5207547712392766</v>
      </c>
    </row>
    <row r="159" spans="1:15" x14ac:dyDescent="0.3">
      <c r="A159" t="s">
        <v>177</v>
      </c>
      <c r="B159" s="1">
        <v>44965</v>
      </c>
      <c r="C159" s="1">
        <v>45160</v>
      </c>
      <c r="D159">
        <v>50124.39</v>
      </c>
      <c r="E159" s="2">
        <f>(Table2[[#This Row],[revenue]]-Table2[[#This Row],[budget]])/Table2[[#This Row],[budget]]</f>
        <v>11.758607536171514</v>
      </c>
      <c r="F159" t="s">
        <v>23</v>
      </c>
      <c r="G159" t="s">
        <v>12</v>
      </c>
      <c r="H159" t="s">
        <v>19</v>
      </c>
      <c r="I159">
        <v>0.22</v>
      </c>
      <c r="J159">
        <v>639517.42000000004</v>
      </c>
      <c r="K159">
        <f>Table2[[#This Row],[revenue]]/Table2[[#This Row],[budget]]</f>
        <v>12.758607536171514</v>
      </c>
      <c r="L159" s="2">
        <f t="shared" si="6"/>
        <v>501243.9</v>
      </c>
      <c r="M159" s="2">
        <f>(Table2[[#This Row],[Adjusted revenue]]-Table2[[#This Row],[budget]])/Table2[[#This Row],[budget]]</f>
        <v>9</v>
      </c>
      <c r="N159" t="str">
        <f t="shared" si="7"/>
        <v>OK</v>
      </c>
      <c r="O159" s="2">
        <f t="shared" si="8"/>
        <v>1</v>
      </c>
    </row>
    <row r="160" spans="1:15" x14ac:dyDescent="0.3">
      <c r="A160" t="s">
        <v>178</v>
      </c>
      <c r="B160" s="1">
        <v>44889</v>
      </c>
      <c r="C160" s="1">
        <v>45423</v>
      </c>
      <c r="D160">
        <v>38086.239999999998</v>
      </c>
      <c r="E160" s="2">
        <f>(Table2[[#This Row],[revenue]]-Table2[[#This Row],[budget]])/Table2[[#This Row],[budget]]</f>
        <v>16.974745209818558</v>
      </c>
      <c r="F160" t="s">
        <v>18</v>
      </c>
      <c r="G160" t="s">
        <v>15</v>
      </c>
      <c r="H160" t="s">
        <v>19</v>
      </c>
      <c r="I160">
        <v>0.71</v>
      </c>
      <c r="J160">
        <v>684590.46</v>
      </c>
      <c r="K160">
        <f>Table2[[#This Row],[revenue]]/Table2[[#This Row],[budget]]</f>
        <v>17.974745209818558</v>
      </c>
      <c r="L160" s="2">
        <f t="shared" si="6"/>
        <v>380862.39999999997</v>
      </c>
      <c r="M160" s="2">
        <f>(Table2[[#This Row],[Adjusted revenue]]-Table2[[#This Row],[budget]])/Table2[[#This Row],[budget]]</f>
        <v>9</v>
      </c>
      <c r="N160" t="str">
        <f t="shared" si="7"/>
        <v>OK</v>
      </c>
      <c r="O160" s="2">
        <f t="shared" si="8"/>
        <v>1</v>
      </c>
    </row>
    <row r="161" spans="1:15" x14ac:dyDescent="0.3">
      <c r="A161" t="s">
        <v>179</v>
      </c>
      <c r="B161" s="1">
        <v>45012</v>
      </c>
      <c r="C161" s="1">
        <v>45153</v>
      </c>
      <c r="D161">
        <v>48046.33</v>
      </c>
      <c r="E161" s="2">
        <f>(Table2[[#This Row],[revenue]]-Table2[[#This Row],[budget]])/Table2[[#This Row],[budget]]</f>
        <v>5.1794174497823177E-2</v>
      </c>
      <c r="F161" t="s">
        <v>18</v>
      </c>
      <c r="G161" t="s">
        <v>15</v>
      </c>
      <c r="H161" t="s">
        <v>16</v>
      </c>
      <c r="I161">
        <v>0.45</v>
      </c>
      <c r="J161">
        <v>50534.85</v>
      </c>
      <c r="K161">
        <f>Table2[[#This Row],[revenue]]/Table2[[#This Row],[budget]]</f>
        <v>1.0517941744978232</v>
      </c>
      <c r="L161" s="2">
        <f t="shared" si="6"/>
        <v>50534.85</v>
      </c>
      <c r="M161" s="2">
        <f>(Table2[[#This Row],[Adjusted revenue]]-Table2[[#This Row],[budget]])/Table2[[#This Row],[budget]]</f>
        <v>5.1794174497823177E-2</v>
      </c>
      <c r="N161" t="str">
        <f t="shared" si="7"/>
        <v>Failed</v>
      </c>
      <c r="O161" s="2">
        <f t="shared" si="8"/>
        <v>-0.88383280536887932</v>
      </c>
    </row>
    <row r="162" spans="1:15" x14ac:dyDescent="0.3">
      <c r="A162" t="s">
        <v>180</v>
      </c>
      <c r="B162" s="1">
        <v>44866</v>
      </c>
      <c r="C162" s="1">
        <v>45201</v>
      </c>
      <c r="D162">
        <v>63808.2</v>
      </c>
      <c r="E162" s="2">
        <f>(Table2[[#This Row],[revenue]]-Table2[[#This Row],[budget]])/Table2[[#This Row],[budget]]</f>
        <v>3.3182898122811801</v>
      </c>
      <c r="F162" t="s">
        <v>11</v>
      </c>
      <c r="G162" t="s">
        <v>12</v>
      </c>
      <c r="H162" t="s">
        <v>16</v>
      </c>
      <c r="I162">
        <v>0.17</v>
      </c>
      <c r="J162">
        <v>275542.3</v>
      </c>
      <c r="K162">
        <f>Table2[[#This Row],[revenue]]/Table2[[#This Row],[budget]]</f>
        <v>4.3182898122811801</v>
      </c>
      <c r="L162" s="2">
        <f t="shared" si="6"/>
        <v>275542.3</v>
      </c>
      <c r="M162" s="2">
        <f>(Table2[[#This Row],[Adjusted revenue]]-Table2[[#This Row],[budget]])/Table2[[#This Row],[budget]]</f>
        <v>3.3182898122811801</v>
      </c>
      <c r="N162" t="str">
        <f t="shared" si="7"/>
        <v>OK</v>
      </c>
      <c r="O162" s="2">
        <f t="shared" si="8"/>
        <v>-0.19614951320396212</v>
      </c>
    </row>
    <row r="163" spans="1:15" x14ac:dyDescent="0.3">
      <c r="A163" t="s">
        <v>181</v>
      </c>
      <c r="B163" s="1">
        <v>44957</v>
      </c>
      <c r="C163" s="1">
        <v>45284</v>
      </c>
      <c r="D163">
        <v>26057.53</v>
      </c>
      <c r="E163" s="2">
        <f>(Table2[[#This Row],[revenue]]-Table2[[#This Row],[budget]])/Table2[[#This Row],[budget]]</f>
        <v>5.5207914948193482</v>
      </c>
      <c r="F163" t="s">
        <v>11</v>
      </c>
      <c r="G163" t="s">
        <v>12</v>
      </c>
      <c r="H163" t="s">
        <v>25</v>
      </c>
      <c r="I163">
        <v>0.32</v>
      </c>
      <c r="J163">
        <v>169915.72</v>
      </c>
      <c r="K163">
        <f>Table2[[#This Row],[revenue]]/Table2[[#This Row],[budget]]</f>
        <v>6.5207914948193482</v>
      </c>
      <c r="L163" s="2">
        <f t="shared" si="6"/>
        <v>169915.72</v>
      </c>
      <c r="M163" s="2">
        <f>(Table2[[#This Row],[Adjusted revenue]]-Table2[[#This Row],[budget]])/Table2[[#This Row],[budget]]</f>
        <v>5.5207914948193482</v>
      </c>
      <c r="N163" t="str">
        <f t="shared" si="7"/>
        <v>OK</v>
      </c>
      <c r="O163" s="2">
        <f t="shared" si="8"/>
        <v>0.26753505154091539</v>
      </c>
    </row>
    <row r="164" spans="1:15" x14ac:dyDescent="0.3">
      <c r="A164" t="s">
        <v>182</v>
      </c>
      <c r="B164" s="1">
        <v>44902</v>
      </c>
      <c r="C164" s="1">
        <v>45311</v>
      </c>
      <c r="D164">
        <v>56381.599999999999</v>
      </c>
      <c r="E164" s="2">
        <f>(Table2[[#This Row],[revenue]]-Table2[[#This Row],[budget]])/Table2[[#This Row],[budget]]</f>
        <v>7.7369141705804738</v>
      </c>
      <c r="F164" t="s">
        <v>23</v>
      </c>
      <c r="G164" t="s">
        <v>15</v>
      </c>
      <c r="H164" t="s">
        <v>25</v>
      </c>
      <c r="I164">
        <v>0.41</v>
      </c>
      <c r="J164">
        <v>492601.2</v>
      </c>
      <c r="K164">
        <f>Table2[[#This Row],[revenue]]/Table2[[#This Row],[budget]]</f>
        <v>8.7369141705804729</v>
      </c>
      <c r="L164" s="2">
        <f t="shared" si="6"/>
        <v>492601.2</v>
      </c>
      <c r="M164" s="2">
        <f>(Table2[[#This Row],[Adjusted revenue]]-Table2[[#This Row],[budget]])/Table2[[#This Row],[budget]]</f>
        <v>7.7369141705804738</v>
      </c>
      <c r="N164" t="str">
        <f t="shared" si="7"/>
        <v>OK</v>
      </c>
      <c r="O164" s="2">
        <f t="shared" si="8"/>
        <v>0.73408719380641529</v>
      </c>
    </row>
    <row r="165" spans="1:15" x14ac:dyDescent="0.3">
      <c r="A165" t="s">
        <v>183</v>
      </c>
      <c r="B165" s="1">
        <v>44845</v>
      </c>
      <c r="C165" s="1">
        <v>45213</v>
      </c>
      <c r="D165">
        <v>57815.1</v>
      </c>
      <c r="E165" s="2">
        <f>(Table2[[#This Row],[revenue]]-Table2[[#This Row],[budget]])/Table2[[#This Row],[budget]]</f>
        <v>15.640391524013625</v>
      </c>
      <c r="F165" t="s">
        <v>21</v>
      </c>
      <c r="G165" t="s">
        <v>12</v>
      </c>
      <c r="H165" t="s">
        <v>16</v>
      </c>
      <c r="I165">
        <v>0.65</v>
      </c>
      <c r="J165">
        <v>962065.9</v>
      </c>
      <c r="K165">
        <f>Table2[[#This Row],[revenue]]/Table2[[#This Row],[budget]]</f>
        <v>16.640391524013623</v>
      </c>
      <c r="L165" s="2">
        <f t="shared" si="6"/>
        <v>578151</v>
      </c>
      <c r="M165" s="2">
        <f>(Table2[[#This Row],[Adjusted revenue]]-Table2[[#This Row],[budget]])/Table2[[#This Row],[budget]]</f>
        <v>9</v>
      </c>
      <c r="N165" t="str">
        <f t="shared" si="7"/>
        <v>OK</v>
      </c>
      <c r="O165" s="2">
        <f t="shared" si="8"/>
        <v>1</v>
      </c>
    </row>
    <row r="166" spans="1:15" x14ac:dyDescent="0.3">
      <c r="A166" t="s">
        <v>184</v>
      </c>
      <c r="B166" s="1">
        <v>45135</v>
      </c>
      <c r="C166" s="1">
        <v>45180</v>
      </c>
      <c r="D166">
        <v>75262.37</v>
      </c>
      <c r="E166" s="2">
        <f>(Table2[[#This Row],[revenue]]-Table2[[#This Row],[budget]])/Table2[[#This Row],[budget]]</f>
        <v>4.6050224036261422</v>
      </c>
      <c r="F166" t="s">
        <v>21</v>
      </c>
      <c r="G166" t="s">
        <v>12</v>
      </c>
      <c r="H166" t="s">
        <v>25</v>
      </c>
      <c r="I166">
        <v>0.7</v>
      </c>
      <c r="J166">
        <v>421847.27</v>
      </c>
      <c r="K166">
        <f>Table2[[#This Row],[revenue]]/Table2[[#This Row],[budget]]</f>
        <v>5.6050224036261422</v>
      </c>
      <c r="L166" s="2">
        <f t="shared" si="6"/>
        <v>421847.27</v>
      </c>
      <c r="M166" s="2">
        <f>(Table2[[#This Row],[Adjusted revenue]]-Table2[[#This Row],[budget]])/Table2[[#This Row],[budget]]</f>
        <v>4.6050224036261422</v>
      </c>
      <c r="N166" t="str">
        <f t="shared" si="7"/>
        <v>OK</v>
      </c>
      <c r="O166" s="2">
        <f t="shared" si="8"/>
        <v>7.4741558658135254E-2</v>
      </c>
    </row>
    <row r="167" spans="1:15" x14ac:dyDescent="0.3">
      <c r="A167" t="s">
        <v>185</v>
      </c>
      <c r="B167" s="1">
        <v>45091</v>
      </c>
      <c r="C167" s="1">
        <v>45270</v>
      </c>
      <c r="D167">
        <v>43226.59</v>
      </c>
      <c r="E167" s="2">
        <f>(Table2[[#This Row],[revenue]]-Table2[[#This Row],[budget]])/Table2[[#This Row],[budget]]</f>
        <v>12.266436006171205</v>
      </c>
      <c r="F167" t="s">
        <v>23</v>
      </c>
      <c r="G167" t="s">
        <v>12</v>
      </c>
      <c r="H167" t="s">
        <v>25</v>
      </c>
      <c r="I167">
        <v>0.53</v>
      </c>
      <c r="J167">
        <v>573462.79</v>
      </c>
      <c r="K167">
        <f>Table2[[#This Row],[revenue]]/Table2[[#This Row],[budget]]</f>
        <v>13.266436006171203</v>
      </c>
      <c r="L167" s="2">
        <f t="shared" si="6"/>
        <v>432265.89999999997</v>
      </c>
      <c r="M167" s="2">
        <f>(Table2[[#This Row],[Adjusted revenue]]-Table2[[#This Row],[budget]])/Table2[[#This Row],[budget]]</f>
        <v>9</v>
      </c>
      <c r="N167" t="str">
        <f t="shared" si="7"/>
        <v>OK</v>
      </c>
      <c r="O167" s="2">
        <f t="shared" si="8"/>
        <v>1</v>
      </c>
    </row>
    <row r="168" spans="1:15" x14ac:dyDescent="0.3">
      <c r="A168" t="s">
        <v>186</v>
      </c>
      <c r="B168" s="1">
        <v>44867</v>
      </c>
      <c r="C168" s="1">
        <v>45415</v>
      </c>
      <c r="D168">
        <v>84506.27</v>
      </c>
      <c r="E168" s="2">
        <f>(Table2[[#This Row],[revenue]]-Table2[[#This Row],[budget]])/Table2[[#This Row],[budget]]</f>
        <v>3.4453906201279501</v>
      </c>
      <c r="F168" t="s">
        <v>18</v>
      </c>
      <c r="G168" t="s">
        <v>15</v>
      </c>
      <c r="H168" t="s">
        <v>13</v>
      </c>
      <c r="I168">
        <v>0.63</v>
      </c>
      <c r="J168">
        <v>375663.38</v>
      </c>
      <c r="K168">
        <f>Table2[[#This Row],[revenue]]/Table2[[#This Row],[budget]]</f>
        <v>4.4453906201279505</v>
      </c>
      <c r="L168" s="2">
        <f t="shared" si="6"/>
        <v>375663.38</v>
      </c>
      <c r="M168" s="2">
        <f>(Table2[[#This Row],[Adjusted revenue]]-Table2[[#This Row],[budget]])/Table2[[#This Row],[budget]]</f>
        <v>3.4453906201279501</v>
      </c>
      <c r="N168" t="str">
        <f t="shared" si="7"/>
        <v>OK</v>
      </c>
      <c r="O168" s="2">
        <f t="shared" si="8"/>
        <v>-0.1693914483941158</v>
      </c>
    </row>
    <row r="169" spans="1:15" x14ac:dyDescent="0.3">
      <c r="A169" t="s">
        <v>187</v>
      </c>
      <c r="B169" s="1">
        <v>44934</v>
      </c>
      <c r="C169" s="1">
        <v>45287</v>
      </c>
      <c r="D169">
        <v>36457.879999999997</v>
      </c>
      <c r="E169" s="2">
        <f>(Table2[[#This Row],[revenue]]-Table2[[#This Row],[budget]])/Table2[[#This Row],[budget]]</f>
        <v>23.828172400589395</v>
      </c>
      <c r="F169" t="s">
        <v>23</v>
      </c>
      <c r="G169" t="s">
        <v>12</v>
      </c>
      <c r="H169" t="s">
        <v>13</v>
      </c>
      <c r="I169">
        <v>0.73</v>
      </c>
      <c r="J169">
        <v>905182.53</v>
      </c>
      <c r="K169">
        <f>Table2[[#This Row],[revenue]]/Table2[[#This Row],[budget]]</f>
        <v>24.828172400589395</v>
      </c>
      <c r="L169" s="2">
        <f t="shared" si="6"/>
        <v>364578.8</v>
      </c>
      <c r="M169" s="2">
        <f>(Table2[[#This Row],[Adjusted revenue]]-Table2[[#This Row],[budget]])/Table2[[#This Row],[budget]]</f>
        <v>9</v>
      </c>
      <c r="N169" t="str">
        <f t="shared" si="7"/>
        <v>OK</v>
      </c>
      <c r="O169" s="2">
        <f t="shared" si="8"/>
        <v>1</v>
      </c>
    </row>
    <row r="170" spans="1:15" x14ac:dyDescent="0.3">
      <c r="A170" t="s">
        <v>188</v>
      </c>
      <c r="B170" s="1">
        <v>44961</v>
      </c>
      <c r="C170" s="1">
        <v>45316</v>
      </c>
      <c r="D170">
        <v>10038.959999999999</v>
      </c>
      <c r="E170" s="2">
        <f>(Table2[[#This Row],[revenue]]-Table2[[#This Row],[budget]])/Table2[[#This Row],[budget]]</f>
        <v>89.814872257684073</v>
      </c>
      <c r="F170" t="s">
        <v>18</v>
      </c>
      <c r="G170" t="s">
        <v>12</v>
      </c>
      <c r="H170" t="s">
        <v>16</v>
      </c>
      <c r="I170">
        <v>0.7</v>
      </c>
      <c r="J170">
        <v>911686.87</v>
      </c>
      <c r="K170">
        <f>Table2[[#This Row],[revenue]]/Table2[[#This Row],[budget]]</f>
        <v>90.814872257684073</v>
      </c>
      <c r="L170" s="2">
        <f t="shared" si="6"/>
        <v>100389.59999999999</v>
      </c>
      <c r="M170" s="2">
        <f>(Table2[[#This Row],[Adjusted revenue]]-Table2[[#This Row],[budget]])/Table2[[#This Row],[budget]]</f>
        <v>9</v>
      </c>
      <c r="N170" t="str">
        <f t="shared" si="7"/>
        <v>OK</v>
      </c>
      <c r="O170" s="2">
        <f t="shared" si="8"/>
        <v>1</v>
      </c>
    </row>
    <row r="171" spans="1:15" x14ac:dyDescent="0.3">
      <c r="A171" t="s">
        <v>189</v>
      </c>
      <c r="B171" s="1">
        <v>44913</v>
      </c>
      <c r="C171" s="1">
        <v>45318</v>
      </c>
      <c r="D171">
        <v>27079.85</v>
      </c>
      <c r="E171" s="2">
        <f>(Table2[[#This Row],[revenue]]-Table2[[#This Row],[budget]])/Table2[[#This Row],[budget]]</f>
        <v>27.974909388345949</v>
      </c>
      <c r="F171" t="s">
        <v>23</v>
      </c>
      <c r="G171" t="s">
        <v>15</v>
      </c>
      <c r="H171" t="s">
        <v>25</v>
      </c>
      <c r="I171">
        <v>0.3</v>
      </c>
      <c r="J171">
        <v>784636.2</v>
      </c>
      <c r="K171">
        <f>Table2[[#This Row],[revenue]]/Table2[[#This Row],[budget]]</f>
        <v>28.974909388345946</v>
      </c>
      <c r="L171" s="2">
        <f t="shared" si="6"/>
        <v>270798.5</v>
      </c>
      <c r="M171" s="2">
        <f>(Table2[[#This Row],[Adjusted revenue]]-Table2[[#This Row],[budget]])/Table2[[#This Row],[budget]]</f>
        <v>9</v>
      </c>
      <c r="N171" t="str">
        <f t="shared" si="7"/>
        <v>OK</v>
      </c>
      <c r="O171" s="2">
        <f t="shared" si="8"/>
        <v>1</v>
      </c>
    </row>
    <row r="172" spans="1:15" x14ac:dyDescent="0.3">
      <c r="A172" t="s">
        <v>190</v>
      </c>
      <c r="B172" s="1">
        <v>44868</v>
      </c>
      <c r="C172" s="1">
        <v>45485</v>
      </c>
      <c r="D172">
        <v>34512.86</v>
      </c>
      <c r="E172" s="2">
        <f>(Table2[[#This Row],[revenue]]-Table2[[#This Row],[budget]])/Table2[[#This Row],[budget]]</f>
        <v>27.966376301471392</v>
      </c>
      <c r="F172" t="s">
        <v>21</v>
      </c>
      <c r="G172" t="s">
        <v>12</v>
      </c>
      <c r="H172" t="s">
        <v>25</v>
      </c>
      <c r="I172">
        <v>0.87</v>
      </c>
      <c r="J172">
        <v>999712.49</v>
      </c>
      <c r="K172">
        <f>Table2[[#This Row],[revenue]]/Table2[[#This Row],[budget]]</f>
        <v>28.966376301471392</v>
      </c>
      <c r="L172" s="2">
        <f t="shared" si="6"/>
        <v>345128.6</v>
      </c>
      <c r="M172" s="2">
        <f>(Table2[[#This Row],[Adjusted revenue]]-Table2[[#This Row],[budget]])/Table2[[#This Row],[budget]]</f>
        <v>9</v>
      </c>
      <c r="N172" t="str">
        <f t="shared" si="7"/>
        <v>OK</v>
      </c>
      <c r="O172" s="2">
        <f t="shared" si="8"/>
        <v>1</v>
      </c>
    </row>
    <row r="173" spans="1:15" x14ac:dyDescent="0.3">
      <c r="A173" t="s">
        <v>191</v>
      </c>
      <c r="B173" s="1">
        <v>44802</v>
      </c>
      <c r="C173" s="1">
        <v>45372</v>
      </c>
      <c r="D173">
        <v>16063.49</v>
      </c>
      <c r="E173" s="2">
        <f>(Table2[[#This Row],[revenue]]-Table2[[#This Row],[budget]])/Table2[[#This Row],[budget]]</f>
        <v>53.040757021045863</v>
      </c>
      <c r="F173" t="s">
        <v>11</v>
      </c>
      <c r="G173" t="s">
        <v>12</v>
      </c>
      <c r="H173" t="s">
        <v>16</v>
      </c>
      <c r="I173">
        <v>0.69</v>
      </c>
      <c r="J173">
        <v>868083.16</v>
      </c>
      <c r="K173">
        <f>Table2[[#This Row],[revenue]]/Table2[[#This Row],[budget]]</f>
        <v>54.040757021045863</v>
      </c>
      <c r="L173" s="2">
        <f t="shared" si="6"/>
        <v>160634.9</v>
      </c>
      <c r="M173" s="2">
        <f>(Table2[[#This Row],[Adjusted revenue]]-Table2[[#This Row],[budget]])/Table2[[#This Row],[budget]]</f>
        <v>9</v>
      </c>
      <c r="N173" t="str">
        <f t="shared" si="7"/>
        <v>OK</v>
      </c>
      <c r="O173" s="2">
        <f t="shared" si="8"/>
        <v>1</v>
      </c>
    </row>
    <row r="174" spans="1:15" x14ac:dyDescent="0.3">
      <c r="A174" t="s">
        <v>192</v>
      </c>
      <c r="B174" s="1">
        <v>44867</v>
      </c>
      <c r="C174" s="1">
        <v>45250</v>
      </c>
      <c r="D174">
        <v>61343.199999999997</v>
      </c>
      <c r="E174" s="2">
        <f>(Table2[[#This Row],[revenue]]-Table2[[#This Row],[budget]])/Table2[[#This Row],[budget]]</f>
        <v>14.380910190534568</v>
      </c>
      <c r="F174" t="s">
        <v>23</v>
      </c>
      <c r="G174" t="s">
        <v>12</v>
      </c>
      <c r="H174" t="s">
        <v>25</v>
      </c>
      <c r="I174">
        <v>0.73</v>
      </c>
      <c r="J174">
        <v>943514.25</v>
      </c>
      <c r="K174">
        <f>Table2[[#This Row],[revenue]]/Table2[[#This Row],[budget]]</f>
        <v>15.380910190534568</v>
      </c>
      <c r="L174" s="2">
        <f t="shared" si="6"/>
        <v>613432</v>
      </c>
      <c r="M174" s="2">
        <f>(Table2[[#This Row],[Adjusted revenue]]-Table2[[#This Row],[budget]])/Table2[[#This Row],[budget]]</f>
        <v>9.0000000000000018</v>
      </c>
      <c r="N174" t="str">
        <f t="shared" si="7"/>
        <v>OK</v>
      </c>
      <c r="O174" s="2">
        <f t="shared" si="8"/>
        <v>1.0000000000000004</v>
      </c>
    </row>
    <row r="175" spans="1:15" x14ac:dyDescent="0.3">
      <c r="A175" t="s">
        <v>193</v>
      </c>
      <c r="B175" s="1">
        <v>44842</v>
      </c>
      <c r="C175" s="1">
        <v>45285</v>
      </c>
      <c r="D175">
        <v>39585.980000000003</v>
      </c>
      <c r="E175" s="2">
        <f>(Table2[[#This Row],[revenue]]-Table2[[#This Row],[budget]])/Table2[[#This Row],[budget]]</f>
        <v>21.458386529776451</v>
      </c>
      <c r="F175" t="s">
        <v>18</v>
      </c>
      <c r="G175" t="s">
        <v>12</v>
      </c>
      <c r="H175" t="s">
        <v>16</v>
      </c>
      <c r="I175">
        <v>0.99</v>
      </c>
      <c r="J175">
        <v>889037.24</v>
      </c>
      <c r="K175">
        <f>Table2[[#This Row],[revenue]]/Table2[[#This Row],[budget]]</f>
        <v>22.458386529776448</v>
      </c>
      <c r="L175" s="2">
        <f t="shared" si="6"/>
        <v>395859.80000000005</v>
      </c>
      <c r="M175" s="2">
        <f>(Table2[[#This Row],[Adjusted revenue]]-Table2[[#This Row],[budget]])/Table2[[#This Row],[budget]]</f>
        <v>9.0000000000000018</v>
      </c>
      <c r="N175" t="str">
        <f t="shared" si="7"/>
        <v>OK</v>
      </c>
      <c r="O175" s="2">
        <f t="shared" si="8"/>
        <v>1.0000000000000004</v>
      </c>
    </row>
    <row r="176" spans="1:15" x14ac:dyDescent="0.3">
      <c r="A176" t="s">
        <v>194</v>
      </c>
      <c r="B176" s="1">
        <v>45054</v>
      </c>
      <c r="C176" s="1">
        <v>45174</v>
      </c>
      <c r="D176">
        <v>99535.21</v>
      </c>
      <c r="E176" s="2">
        <f>(Table2[[#This Row],[revenue]]-Table2[[#This Row],[budget]])/Table2[[#This Row],[budget]]</f>
        <v>0.43345133847610301</v>
      </c>
      <c r="F176" t="s">
        <v>23</v>
      </c>
      <c r="G176" t="s">
        <v>12</v>
      </c>
      <c r="H176" t="s">
        <v>19</v>
      </c>
      <c r="I176">
        <v>0.15</v>
      </c>
      <c r="J176">
        <v>142678.88</v>
      </c>
      <c r="K176">
        <f>Table2[[#This Row],[revenue]]/Table2[[#This Row],[budget]]</f>
        <v>1.433451338476103</v>
      </c>
      <c r="L176" s="2">
        <f t="shared" si="6"/>
        <v>142678.88</v>
      </c>
      <c r="M176" s="2">
        <f>(Table2[[#This Row],[Adjusted revenue]]-Table2[[#This Row],[budget]])/Table2[[#This Row],[budget]]</f>
        <v>0.43345133847610301</v>
      </c>
      <c r="N176" t="str">
        <f t="shared" si="7"/>
        <v>Failed</v>
      </c>
      <c r="O176" s="2">
        <f t="shared" si="8"/>
        <v>-0.80348392874187302</v>
      </c>
    </row>
    <row r="177" spans="1:15" x14ac:dyDescent="0.3">
      <c r="A177" t="s">
        <v>195</v>
      </c>
      <c r="B177" s="1">
        <v>44976</v>
      </c>
      <c r="C177" s="1">
        <v>45501</v>
      </c>
      <c r="D177">
        <v>44466.83</v>
      </c>
      <c r="E177" s="2">
        <f>(Table2[[#This Row],[revenue]]-Table2[[#This Row],[budget]])/Table2[[#This Row],[budget]]</f>
        <v>10.349827050860158</v>
      </c>
      <c r="F177" t="s">
        <v>21</v>
      </c>
      <c r="G177" t="s">
        <v>12</v>
      </c>
      <c r="H177" t="s">
        <v>16</v>
      </c>
      <c r="I177">
        <v>0.31</v>
      </c>
      <c r="J177">
        <v>504690.83</v>
      </c>
      <c r="K177">
        <f>Table2[[#This Row],[revenue]]/Table2[[#This Row],[budget]]</f>
        <v>11.349827050860158</v>
      </c>
      <c r="L177" s="2">
        <f t="shared" si="6"/>
        <v>444668.30000000005</v>
      </c>
      <c r="M177" s="2">
        <f>(Table2[[#This Row],[Adjusted revenue]]-Table2[[#This Row],[budget]])/Table2[[#This Row],[budget]]</f>
        <v>9</v>
      </c>
      <c r="N177" t="str">
        <f t="shared" si="7"/>
        <v>OK</v>
      </c>
      <c r="O177" s="2">
        <f t="shared" si="8"/>
        <v>1</v>
      </c>
    </row>
    <row r="178" spans="1:15" x14ac:dyDescent="0.3">
      <c r="A178" t="s">
        <v>196</v>
      </c>
      <c r="B178" s="1">
        <v>44798</v>
      </c>
      <c r="C178" s="1">
        <v>45211</v>
      </c>
      <c r="D178">
        <v>70841.820000000007</v>
      </c>
      <c r="E178" s="2">
        <f>(Table2[[#This Row],[revenue]]-Table2[[#This Row],[budget]])/Table2[[#This Row],[budget]]</f>
        <v>4.7439784861540817</v>
      </c>
      <c r="F178" t="s">
        <v>18</v>
      </c>
      <c r="G178" t="s">
        <v>15</v>
      </c>
      <c r="H178" t="s">
        <v>19</v>
      </c>
      <c r="I178">
        <v>0.76</v>
      </c>
      <c r="J178">
        <v>406913.89</v>
      </c>
      <c r="K178">
        <f>Table2[[#This Row],[revenue]]/Table2[[#This Row],[budget]]</f>
        <v>5.7439784861540817</v>
      </c>
      <c r="L178" s="2">
        <f t="shared" si="6"/>
        <v>406913.89</v>
      </c>
      <c r="M178" s="2">
        <f>(Table2[[#This Row],[Adjusted revenue]]-Table2[[#This Row],[budget]])/Table2[[#This Row],[budget]]</f>
        <v>4.7439784861540817</v>
      </c>
      <c r="N178" t="str">
        <f t="shared" si="7"/>
        <v>OK</v>
      </c>
      <c r="O178" s="2">
        <f t="shared" si="8"/>
        <v>0.10399547076928028</v>
      </c>
    </row>
    <row r="179" spans="1:15" x14ac:dyDescent="0.3">
      <c r="A179" t="s">
        <v>197</v>
      </c>
      <c r="B179" s="1">
        <v>45043</v>
      </c>
      <c r="C179" s="1">
        <v>45369</v>
      </c>
      <c r="D179">
        <v>62752.63</v>
      </c>
      <c r="E179" s="2">
        <f>(Table2[[#This Row],[revenue]]-Table2[[#This Row],[budget]])/Table2[[#This Row],[budget]]</f>
        <v>3.8987634462491849</v>
      </c>
      <c r="F179" t="s">
        <v>18</v>
      </c>
      <c r="G179" t="s">
        <v>15</v>
      </c>
      <c r="H179" t="s">
        <v>19</v>
      </c>
      <c r="I179">
        <v>0.32</v>
      </c>
      <c r="J179">
        <v>307410.28999999998</v>
      </c>
      <c r="K179">
        <f>Table2[[#This Row],[revenue]]/Table2[[#This Row],[budget]]</f>
        <v>4.8987634462491849</v>
      </c>
      <c r="L179" s="2">
        <f t="shared" si="6"/>
        <v>307410.28999999998</v>
      </c>
      <c r="M179" s="2">
        <f>(Table2[[#This Row],[Adjusted revenue]]-Table2[[#This Row],[budget]])/Table2[[#This Row],[budget]]</f>
        <v>3.8987634462491849</v>
      </c>
      <c r="N179" t="str">
        <f t="shared" si="7"/>
        <v>OK</v>
      </c>
      <c r="O179" s="2">
        <f t="shared" si="8"/>
        <v>-7.3944537631750573E-2</v>
      </c>
    </row>
    <row r="180" spans="1:15" x14ac:dyDescent="0.3">
      <c r="A180" t="s">
        <v>198</v>
      </c>
      <c r="B180" s="1">
        <v>45111</v>
      </c>
      <c r="C180" s="1">
        <v>45391</v>
      </c>
      <c r="D180">
        <v>97748.2</v>
      </c>
      <c r="E180" s="2">
        <f>(Table2[[#This Row],[revenue]]-Table2[[#This Row],[budget]])/Table2[[#This Row],[budget]]</f>
        <v>4.5588888593344938</v>
      </c>
      <c r="F180" t="s">
        <v>11</v>
      </c>
      <c r="G180" t="s">
        <v>15</v>
      </c>
      <c r="H180" t="s">
        <v>25</v>
      </c>
      <c r="I180">
        <v>0.96</v>
      </c>
      <c r="J180">
        <v>543371.38</v>
      </c>
      <c r="K180">
        <f>Table2[[#This Row],[revenue]]/Table2[[#This Row],[budget]]</f>
        <v>5.5588888593344947</v>
      </c>
      <c r="L180" s="2">
        <f t="shared" si="6"/>
        <v>543371.38</v>
      </c>
      <c r="M180" s="2">
        <f>(Table2[[#This Row],[Adjusted revenue]]-Table2[[#This Row],[budget]])/Table2[[#This Row],[budget]]</f>
        <v>4.5588888593344938</v>
      </c>
      <c r="N180" t="str">
        <f t="shared" si="7"/>
        <v>OK</v>
      </c>
      <c r="O180" s="2">
        <f t="shared" si="8"/>
        <v>6.5029233544104059E-2</v>
      </c>
    </row>
    <row r="181" spans="1:15" x14ac:dyDescent="0.3">
      <c r="A181" t="s">
        <v>199</v>
      </c>
      <c r="B181" s="1">
        <v>44893</v>
      </c>
      <c r="C181" s="1">
        <v>45398</v>
      </c>
      <c r="D181">
        <v>67048.320000000007</v>
      </c>
      <c r="E181" s="2">
        <f>(Table2[[#This Row],[revenue]]-Table2[[#This Row],[budget]])/Table2[[#This Row],[budget]]</f>
        <v>2.6732607170470484</v>
      </c>
      <c r="F181" t="s">
        <v>21</v>
      </c>
      <c r="G181" t="s">
        <v>12</v>
      </c>
      <c r="H181" t="s">
        <v>13</v>
      </c>
      <c r="I181">
        <v>0.42</v>
      </c>
      <c r="J181">
        <v>246285.96</v>
      </c>
      <c r="K181">
        <f>Table2[[#This Row],[revenue]]/Table2[[#This Row],[budget]]</f>
        <v>3.6732607170470484</v>
      </c>
      <c r="L181" s="2">
        <f t="shared" si="6"/>
        <v>246285.96</v>
      </c>
      <c r="M181" s="2">
        <f>(Table2[[#This Row],[Adjusted revenue]]-Table2[[#This Row],[budget]])/Table2[[#This Row],[budget]]</f>
        <v>2.6732607170470484</v>
      </c>
      <c r="N181" t="str">
        <f t="shared" si="7"/>
        <v>OK</v>
      </c>
      <c r="O181" s="2">
        <f t="shared" si="8"/>
        <v>-0.3319451122006214</v>
      </c>
    </row>
    <row r="182" spans="1:15" x14ac:dyDescent="0.3">
      <c r="A182" t="s">
        <v>200</v>
      </c>
      <c r="B182" s="1">
        <v>44970</v>
      </c>
      <c r="C182" s="1">
        <v>45291</v>
      </c>
      <c r="D182">
        <v>34303.919999999998</v>
      </c>
      <c r="E182" s="2">
        <f>(Table2[[#This Row],[revenue]]-Table2[[#This Row],[budget]])/Table2[[#This Row],[budget]]</f>
        <v>11.266961326868767</v>
      </c>
      <c r="F182" t="s">
        <v>21</v>
      </c>
      <c r="G182" t="s">
        <v>15</v>
      </c>
      <c r="H182" t="s">
        <v>19</v>
      </c>
      <c r="I182">
        <v>0.48</v>
      </c>
      <c r="J182">
        <v>420804.86</v>
      </c>
      <c r="K182">
        <f>Table2[[#This Row],[revenue]]/Table2[[#This Row],[budget]]</f>
        <v>12.266961326868767</v>
      </c>
      <c r="L182" s="2">
        <f t="shared" si="6"/>
        <v>343039.19999999995</v>
      </c>
      <c r="M182" s="2">
        <f>(Table2[[#This Row],[Adjusted revenue]]-Table2[[#This Row],[budget]])/Table2[[#This Row],[budget]]</f>
        <v>9</v>
      </c>
      <c r="N182" t="str">
        <f t="shared" si="7"/>
        <v>OK</v>
      </c>
      <c r="O182" s="2">
        <f t="shared" si="8"/>
        <v>1</v>
      </c>
    </row>
    <row r="183" spans="1:15" x14ac:dyDescent="0.3">
      <c r="A183" t="s">
        <v>201</v>
      </c>
      <c r="B183" s="1">
        <v>45016</v>
      </c>
      <c r="C183" s="1">
        <v>45309</v>
      </c>
      <c r="D183">
        <v>52871.17</v>
      </c>
      <c r="E183" s="2">
        <f>(Table2[[#This Row],[revenue]]-Table2[[#This Row],[budget]])/Table2[[#This Row],[budget]]</f>
        <v>10.571139810221712</v>
      </c>
      <c r="F183" t="s">
        <v>21</v>
      </c>
      <c r="G183" t="s">
        <v>12</v>
      </c>
      <c r="H183" t="s">
        <v>16</v>
      </c>
      <c r="I183">
        <v>0.53</v>
      </c>
      <c r="J183">
        <v>611779.69999999995</v>
      </c>
      <c r="K183">
        <f>Table2[[#This Row],[revenue]]/Table2[[#This Row],[budget]]</f>
        <v>11.571139810221714</v>
      </c>
      <c r="L183" s="2">
        <f t="shared" si="6"/>
        <v>528711.69999999995</v>
      </c>
      <c r="M183" s="2">
        <f>(Table2[[#This Row],[Adjusted revenue]]-Table2[[#This Row],[budget]])/Table2[[#This Row],[budget]]</f>
        <v>9</v>
      </c>
      <c r="N183" t="str">
        <f t="shared" si="7"/>
        <v>OK</v>
      </c>
      <c r="O183" s="2">
        <f t="shared" si="8"/>
        <v>1</v>
      </c>
    </row>
    <row r="184" spans="1:15" x14ac:dyDescent="0.3">
      <c r="A184" t="s">
        <v>202</v>
      </c>
      <c r="B184" s="1">
        <v>44852</v>
      </c>
      <c r="C184" s="1">
        <v>45157</v>
      </c>
      <c r="D184">
        <v>53678.65</v>
      </c>
      <c r="E184" s="2">
        <f>(Table2[[#This Row],[revenue]]-Table2[[#This Row],[budget]])/Table2[[#This Row],[budget]]</f>
        <v>1.4216872071112072</v>
      </c>
      <c r="F184" t="s">
        <v>11</v>
      </c>
      <c r="G184" t="s">
        <v>12</v>
      </c>
      <c r="H184" t="s">
        <v>16</v>
      </c>
      <c r="I184">
        <v>0.24</v>
      </c>
      <c r="J184">
        <v>129992.9</v>
      </c>
      <c r="K184">
        <f>Table2[[#This Row],[revenue]]/Table2[[#This Row],[budget]]</f>
        <v>2.4216872071112068</v>
      </c>
      <c r="L184" s="2">
        <f t="shared" si="6"/>
        <v>129992.9</v>
      </c>
      <c r="M184" s="2">
        <f>(Table2[[#This Row],[Adjusted revenue]]-Table2[[#This Row],[budget]])/Table2[[#This Row],[budget]]</f>
        <v>1.4216872071112072</v>
      </c>
      <c r="N184" t="str">
        <f t="shared" si="7"/>
        <v>OK</v>
      </c>
      <c r="O184" s="2">
        <f t="shared" si="8"/>
        <v>-0.5954342721871142</v>
      </c>
    </row>
    <row r="185" spans="1:15" x14ac:dyDescent="0.3">
      <c r="A185" t="s">
        <v>203</v>
      </c>
      <c r="B185" s="1">
        <v>45055</v>
      </c>
      <c r="C185" s="1">
        <v>45256</v>
      </c>
      <c r="D185">
        <v>21921.72</v>
      </c>
      <c r="E185" s="2">
        <f>(Table2[[#This Row],[revenue]]-Table2[[#This Row],[budget]])/Table2[[#This Row],[budget]]</f>
        <v>31.902252195539401</v>
      </c>
      <c r="F185" t="s">
        <v>21</v>
      </c>
      <c r="G185" t="s">
        <v>15</v>
      </c>
      <c r="H185" t="s">
        <v>13</v>
      </c>
      <c r="I185">
        <v>0.55000000000000004</v>
      </c>
      <c r="J185">
        <v>721273.96</v>
      </c>
      <c r="K185">
        <f>Table2[[#This Row],[revenue]]/Table2[[#This Row],[budget]]</f>
        <v>32.902252195539397</v>
      </c>
      <c r="L185" s="2">
        <f t="shared" si="6"/>
        <v>219217.2</v>
      </c>
      <c r="M185" s="2">
        <f>(Table2[[#This Row],[Adjusted revenue]]-Table2[[#This Row],[budget]])/Table2[[#This Row],[budget]]</f>
        <v>9</v>
      </c>
      <c r="N185" t="str">
        <f t="shared" si="7"/>
        <v>OK</v>
      </c>
      <c r="O185" s="2">
        <f t="shared" si="8"/>
        <v>1</v>
      </c>
    </row>
    <row r="186" spans="1:15" x14ac:dyDescent="0.3">
      <c r="A186" t="s">
        <v>204</v>
      </c>
      <c r="B186" s="1">
        <v>44996</v>
      </c>
      <c r="C186" s="1">
        <v>45159</v>
      </c>
      <c r="D186">
        <v>98706.34</v>
      </c>
      <c r="E186" s="2">
        <f>(Table2[[#This Row],[revenue]]-Table2[[#This Row],[budget]])/Table2[[#This Row],[budget]]</f>
        <v>4.0620699744312274</v>
      </c>
      <c r="F186" t="s">
        <v>11</v>
      </c>
      <c r="G186" t="s">
        <v>15</v>
      </c>
      <c r="H186" t="s">
        <v>16</v>
      </c>
      <c r="I186">
        <v>0.92</v>
      </c>
      <c r="J186">
        <v>499658.4</v>
      </c>
      <c r="K186">
        <f>Table2[[#This Row],[revenue]]/Table2[[#This Row],[budget]]</f>
        <v>5.0620699744312274</v>
      </c>
      <c r="L186" s="2">
        <f t="shared" si="6"/>
        <v>499658.4</v>
      </c>
      <c r="M186" s="2">
        <f>(Table2[[#This Row],[Adjusted revenue]]-Table2[[#This Row],[budget]])/Table2[[#This Row],[budget]]</f>
        <v>4.0620699744312274</v>
      </c>
      <c r="N186" t="str">
        <f t="shared" si="7"/>
        <v>OK</v>
      </c>
      <c r="O186" s="2">
        <f t="shared" si="8"/>
        <v>-3.9564215909215328E-2</v>
      </c>
    </row>
    <row r="187" spans="1:15" x14ac:dyDescent="0.3">
      <c r="A187" t="s">
        <v>205</v>
      </c>
      <c r="B187" s="1">
        <v>44840</v>
      </c>
      <c r="C187" s="1">
        <v>45402</v>
      </c>
      <c r="D187">
        <v>16290.7</v>
      </c>
      <c r="E187" s="2">
        <f>(Table2[[#This Row],[revenue]]-Table2[[#This Row],[budget]])/Table2[[#This Row],[budget]]</f>
        <v>9.6133990559030611</v>
      </c>
      <c r="F187" t="s">
        <v>21</v>
      </c>
      <c r="G187" t="s">
        <v>15</v>
      </c>
      <c r="H187" t="s">
        <v>16</v>
      </c>
      <c r="I187">
        <v>0.99</v>
      </c>
      <c r="J187">
        <v>172899.7</v>
      </c>
      <c r="K187">
        <f>Table2[[#This Row],[revenue]]/Table2[[#This Row],[budget]]</f>
        <v>10.613399055903061</v>
      </c>
      <c r="L187" s="2">
        <f t="shared" si="6"/>
        <v>162907</v>
      </c>
      <c r="M187" s="2">
        <f>(Table2[[#This Row],[Adjusted revenue]]-Table2[[#This Row],[budget]])/Table2[[#This Row],[budget]]</f>
        <v>8.9999999999999982</v>
      </c>
      <c r="N187" t="str">
        <f t="shared" si="7"/>
        <v>OK</v>
      </c>
      <c r="O187" s="2">
        <f t="shared" si="8"/>
        <v>0.99999999999999956</v>
      </c>
    </row>
    <row r="188" spans="1:15" x14ac:dyDescent="0.3">
      <c r="A188" t="s">
        <v>206</v>
      </c>
      <c r="B188" s="1">
        <v>45135</v>
      </c>
      <c r="C188" s="1">
        <v>45255</v>
      </c>
      <c r="D188">
        <v>24936.91</v>
      </c>
      <c r="E188" s="2">
        <f>(Table2[[#This Row],[revenue]]-Table2[[#This Row],[budget]])/Table2[[#This Row],[budget]]</f>
        <v>20.708091339303866</v>
      </c>
      <c r="F188" t="s">
        <v>21</v>
      </c>
      <c r="G188" t="s">
        <v>12</v>
      </c>
      <c r="H188" t="s">
        <v>16</v>
      </c>
      <c r="I188">
        <v>0.37</v>
      </c>
      <c r="J188">
        <v>541332.72</v>
      </c>
      <c r="K188">
        <f>Table2[[#This Row],[revenue]]/Table2[[#This Row],[budget]]</f>
        <v>21.708091339303866</v>
      </c>
      <c r="L188" s="2">
        <f t="shared" si="6"/>
        <v>249369.1</v>
      </c>
      <c r="M188" s="2">
        <f>(Table2[[#This Row],[Adjusted revenue]]-Table2[[#This Row],[budget]])/Table2[[#This Row],[budget]]</f>
        <v>9</v>
      </c>
      <c r="N188" t="str">
        <f t="shared" si="7"/>
        <v>OK</v>
      </c>
      <c r="O188" s="2">
        <f t="shared" si="8"/>
        <v>1</v>
      </c>
    </row>
    <row r="189" spans="1:15" x14ac:dyDescent="0.3">
      <c r="A189" t="s">
        <v>207</v>
      </c>
      <c r="B189" s="1">
        <v>44803</v>
      </c>
      <c r="C189" s="1">
        <v>45424</v>
      </c>
      <c r="D189">
        <v>20401.62</v>
      </c>
      <c r="E189" s="2">
        <f>(Table2[[#This Row],[revenue]]-Table2[[#This Row],[budget]])/Table2[[#This Row],[budget]]</f>
        <v>41.906147649059243</v>
      </c>
      <c r="F189" t="s">
        <v>18</v>
      </c>
      <c r="G189" t="s">
        <v>12</v>
      </c>
      <c r="H189" t="s">
        <v>19</v>
      </c>
      <c r="I189">
        <v>0.28000000000000003</v>
      </c>
      <c r="J189">
        <v>875354.92</v>
      </c>
      <c r="K189">
        <f>Table2[[#This Row],[revenue]]/Table2[[#This Row],[budget]]</f>
        <v>42.906147649059243</v>
      </c>
      <c r="L189" s="2">
        <f t="shared" si="6"/>
        <v>204016.19999999998</v>
      </c>
      <c r="M189" s="2">
        <f>(Table2[[#This Row],[Adjusted revenue]]-Table2[[#This Row],[budget]])/Table2[[#This Row],[budget]]</f>
        <v>9</v>
      </c>
      <c r="N189" t="str">
        <f t="shared" si="7"/>
        <v>OK</v>
      </c>
      <c r="O189" s="2">
        <f t="shared" si="8"/>
        <v>1</v>
      </c>
    </row>
    <row r="190" spans="1:15" x14ac:dyDescent="0.3">
      <c r="A190" t="s">
        <v>208</v>
      </c>
      <c r="B190" s="1">
        <v>44901</v>
      </c>
      <c r="C190" s="1">
        <v>45415</v>
      </c>
      <c r="D190">
        <v>33675.46</v>
      </c>
      <c r="E190" s="2">
        <f>(Table2[[#This Row],[revenue]]-Table2[[#This Row],[budget]])/Table2[[#This Row],[budget]]</f>
        <v>5.0431207175789137</v>
      </c>
      <c r="F190" t="s">
        <v>11</v>
      </c>
      <c r="G190" t="s">
        <v>12</v>
      </c>
      <c r="H190" t="s">
        <v>16</v>
      </c>
      <c r="I190">
        <v>0.89</v>
      </c>
      <c r="J190">
        <v>203504.87</v>
      </c>
      <c r="K190">
        <f>Table2[[#This Row],[revenue]]/Table2[[#This Row],[budget]]</f>
        <v>6.0431207175789137</v>
      </c>
      <c r="L190" s="2">
        <f t="shared" si="6"/>
        <v>203504.87</v>
      </c>
      <c r="M190" s="2">
        <f>(Table2[[#This Row],[Adjusted revenue]]-Table2[[#This Row],[budget]])/Table2[[#This Row],[budget]]</f>
        <v>5.0431207175789137</v>
      </c>
      <c r="N190" t="str">
        <f t="shared" si="7"/>
        <v>OK</v>
      </c>
      <c r="O190" s="2">
        <f t="shared" si="8"/>
        <v>0.16697278264819237</v>
      </c>
    </row>
    <row r="191" spans="1:15" x14ac:dyDescent="0.3">
      <c r="A191" t="s">
        <v>209</v>
      </c>
      <c r="B191" s="1">
        <v>45104</v>
      </c>
      <c r="C191" s="1">
        <v>45499</v>
      </c>
      <c r="D191">
        <v>87618.4</v>
      </c>
      <c r="E191" s="2">
        <f>(Table2[[#This Row],[revenue]]-Table2[[#This Row],[budget]])/Table2[[#This Row],[budget]]</f>
        <v>2.1308710270902003</v>
      </c>
      <c r="F191" t="s">
        <v>18</v>
      </c>
      <c r="G191" t="s">
        <v>15</v>
      </c>
      <c r="H191" t="s">
        <v>16</v>
      </c>
      <c r="I191">
        <v>0.5</v>
      </c>
      <c r="J191">
        <v>274321.90999999997</v>
      </c>
      <c r="K191">
        <f>Table2[[#This Row],[revenue]]/Table2[[#This Row],[budget]]</f>
        <v>3.1308710270902003</v>
      </c>
      <c r="L191" s="2">
        <f t="shared" si="6"/>
        <v>274321.90999999997</v>
      </c>
      <c r="M191" s="2">
        <f>(Table2[[#This Row],[Adjusted revenue]]-Table2[[#This Row],[budget]])/Table2[[#This Row],[budget]]</f>
        <v>2.1308710270902003</v>
      </c>
      <c r="N191" t="str">
        <f t="shared" si="7"/>
        <v>OK</v>
      </c>
      <c r="O191" s="2">
        <f t="shared" si="8"/>
        <v>-0.44613241534943149</v>
      </c>
    </row>
    <row r="192" spans="1:15" x14ac:dyDescent="0.3">
      <c r="A192" t="s">
        <v>210</v>
      </c>
      <c r="B192" s="1">
        <v>45126</v>
      </c>
      <c r="C192" s="1">
        <v>45333</v>
      </c>
      <c r="D192">
        <v>33524.69</v>
      </c>
      <c r="E192" s="2">
        <f>(Table2[[#This Row],[revenue]]-Table2[[#This Row],[budget]])/Table2[[#This Row],[budget]]</f>
        <v>27.95210514996559</v>
      </c>
      <c r="F192" t="s">
        <v>18</v>
      </c>
      <c r="G192" t="s">
        <v>15</v>
      </c>
      <c r="H192" t="s">
        <v>19</v>
      </c>
      <c r="I192">
        <v>0.19</v>
      </c>
      <c r="J192">
        <v>970610.35</v>
      </c>
      <c r="K192">
        <f>Table2[[#This Row],[revenue]]/Table2[[#This Row],[budget]]</f>
        <v>28.95210514996559</v>
      </c>
      <c r="L192" s="2">
        <f t="shared" si="6"/>
        <v>335246.90000000002</v>
      </c>
      <c r="M192" s="2">
        <f>(Table2[[#This Row],[Adjusted revenue]]-Table2[[#This Row],[budget]])/Table2[[#This Row],[budget]]</f>
        <v>9</v>
      </c>
      <c r="N192" t="str">
        <f t="shared" si="7"/>
        <v>OK</v>
      </c>
      <c r="O192" s="2">
        <f t="shared" si="8"/>
        <v>1</v>
      </c>
    </row>
    <row r="193" spans="1:15" x14ac:dyDescent="0.3">
      <c r="A193" t="s">
        <v>211</v>
      </c>
      <c r="B193" s="1">
        <v>45048</v>
      </c>
      <c r="C193" s="1">
        <v>45441</v>
      </c>
      <c r="D193">
        <v>86623.59</v>
      </c>
      <c r="E193" s="2">
        <f>(Table2[[#This Row],[revenue]]-Table2[[#This Row],[budget]])/Table2[[#This Row],[budget]]</f>
        <v>0.23677580206500343</v>
      </c>
      <c r="F193" t="s">
        <v>21</v>
      </c>
      <c r="G193" t="s">
        <v>15</v>
      </c>
      <c r="H193" t="s">
        <v>13</v>
      </c>
      <c r="I193">
        <v>0.23</v>
      </c>
      <c r="J193">
        <v>107133.96</v>
      </c>
      <c r="K193">
        <f>Table2[[#This Row],[revenue]]/Table2[[#This Row],[budget]]</f>
        <v>1.2367758020650035</v>
      </c>
      <c r="L193" s="2">
        <f t="shared" si="6"/>
        <v>107133.96</v>
      </c>
      <c r="M193" s="2">
        <f>(Table2[[#This Row],[Adjusted revenue]]-Table2[[#This Row],[budget]])/Table2[[#This Row],[budget]]</f>
        <v>0.23677580206500343</v>
      </c>
      <c r="N193" t="str">
        <f t="shared" si="7"/>
        <v>Failed</v>
      </c>
      <c r="O193" s="2">
        <f t="shared" si="8"/>
        <v>-0.84488930482842028</v>
      </c>
    </row>
    <row r="194" spans="1:15" x14ac:dyDescent="0.3">
      <c r="A194" t="s">
        <v>212</v>
      </c>
      <c r="B194" s="1">
        <v>44994</v>
      </c>
      <c r="C194" s="1">
        <v>45299</v>
      </c>
      <c r="D194">
        <v>8473.58</v>
      </c>
      <c r="E194" s="2">
        <f>(Table2[[#This Row],[revenue]]-Table2[[#This Row],[budget]])/Table2[[#This Row],[budget]]</f>
        <v>98.236921112445984</v>
      </c>
      <c r="F194" t="s">
        <v>23</v>
      </c>
      <c r="G194" t="s">
        <v>12</v>
      </c>
      <c r="H194" t="s">
        <v>13</v>
      </c>
      <c r="I194">
        <v>0.93</v>
      </c>
      <c r="J194">
        <v>840891.99</v>
      </c>
      <c r="K194">
        <f>Table2[[#This Row],[revenue]]/Table2[[#This Row],[budget]]</f>
        <v>99.236921112445984</v>
      </c>
      <c r="L194" s="2">
        <f t="shared" ref="L194:L257" si="9">MIN(MAX(J194, D194*0.5), D194*10)</f>
        <v>84735.8</v>
      </c>
      <c r="M194" s="2">
        <f>(Table2[[#This Row],[Adjusted revenue]]-Table2[[#This Row],[budget]])/Table2[[#This Row],[budget]]</f>
        <v>9</v>
      </c>
      <c r="N194" t="str">
        <f t="shared" ref="N194:N257" si="10">IF(M194&lt;0.5,"Failed",IF(M194&gt;10,"Suspicious","OK"))</f>
        <v>OK</v>
      </c>
      <c r="O194" s="2">
        <f t="shared" ref="O194:O257" si="11">((M194 - (-0.5)) / (9 - (-0.5))) * (1 - (-1)) + (-1)</f>
        <v>1</v>
      </c>
    </row>
    <row r="195" spans="1:15" x14ac:dyDescent="0.3">
      <c r="A195" t="s">
        <v>213</v>
      </c>
      <c r="B195" s="1">
        <v>44857</v>
      </c>
      <c r="C195" s="1">
        <v>45391</v>
      </c>
      <c r="D195">
        <v>20951.3</v>
      </c>
      <c r="E195" s="2">
        <f>(Table2[[#This Row],[revenue]]-Table2[[#This Row],[budget]])/Table2[[#This Row],[budget]]</f>
        <v>46.457981604960075</v>
      </c>
      <c r="F195" t="s">
        <v>23</v>
      </c>
      <c r="G195" t="s">
        <v>15</v>
      </c>
      <c r="H195" t="s">
        <v>13</v>
      </c>
      <c r="I195">
        <v>0.24</v>
      </c>
      <c r="J195">
        <v>994306.41</v>
      </c>
      <c r="K195">
        <f>Table2[[#This Row],[revenue]]/Table2[[#This Row],[budget]]</f>
        <v>47.457981604960075</v>
      </c>
      <c r="L195" s="2">
        <f t="shared" si="9"/>
        <v>209513</v>
      </c>
      <c r="M195" s="2">
        <f>(Table2[[#This Row],[Adjusted revenue]]-Table2[[#This Row],[budget]])/Table2[[#This Row],[budget]]</f>
        <v>9</v>
      </c>
      <c r="N195" t="str">
        <f t="shared" si="10"/>
        <v>OK</v>
      </c>
      <c r="O195" s="2">
        <f t="shared" si="11"/>
        <v>1</v>
      </c>
    </row>
    <row r="196" spans="1:15" x14ac:dyDescent="0.3">
      <c r="A196" t="s">
        <v>214</v>
      </c>
      <c r="B196" s="1">
        <v>45093</v>
      </c>
      <c r="C196" s="1">
        <v>45479</v>
      </c>
      <c r="D196">
        <v>36331.800000000003</v>
      </c>
      <c r="E196" s="2">
        <f>(Table2[[#This Row],[revenue]]-Table2[[#This Row],[budget]])/Table2[[#This Row],[budget]]</f>
        <v>16.137586632096397</v>
      </c>
      <c r="F196" t="s">
        <v>23</v>
      </c>
      <c r="G196" t="s">
        <v>12</v>
      </c>
      <c r="H196" t="s">
        <v>16</v>
      </c>
      <c r="I196">
        <v>0.76</v>
      </c>
      <c r="J196">
        <v>622639.37</v>
      </c>
      <c r="K196">
        <f>Table2[[#This Row],[revenue]]/Table2[[#This Row],[budget]]</f>
        <v>17.137586632096397</v>
      </c>
      <c r="L196" s="2">
        <f t="shared" si="9"/>
        <v>363318</v>
      </c>
      <c r="M196" s="2">
        <f>(Table2[[#This Row],[Adjusted revenue]]-Table2[[#This Row],[budget]])/Table2[[#This Row],[budget]]</f>
        <v>9</v>
      </c>
      <c r="N196" t="str">
        <f t="shared" si="10"/>
        <v>OK</v>
      </c>
      <c r="O196" s="2">
        <f t="shared" si="11"/>
        <v>1</v>
      </c>
    </row>
    <row r="197" spans="1:15" x14ac:dyDescent="0.3">
      <c r="A197" t="s">
        <v>215</v>
      </c>
      <c r="B197" s="1">
        <v>45006</v>
      </c>
      <c r="C197" s="1">
        <v>45386</v>
      </c>
      <c r="D197">
        <v>19401.939999999999</v>
      </c>
      <c r="E197" s="2">
        <f>(Table2[[#This Row],[revenue]]-Table2[[#This Row],[budget]])/Table2[[#This Row],[budget]]</f>
        <v>30.80135079275578</v>
      </c>
      <c r="F197" t="s">
        <v>11</v>
      </c>
      <c r="G197" t="s">
        <v>12</v>
      </c>
      <c r="H197" t="s">
        <v>13</v>
      </c>
      <c r="I197">
        <v>0.25</v>
      </c>
      <c r="J197">
        <v>617007.9</v>
      </c>
      <c r="K197">
        <f>Table2[[#This Row],[revenue]]/Table2[[#This Row],[budget]]</f>
        <v>31.80135079275578</v>
      </c>
      <c r="L197" s="2">
        <f t="shared" si="9"/>
        <v>194019.4</v>
      </c>
      <c r="M197" s="2">
        <f>(Table2[[#This Row],[Adjusted revenue]]-Table2[[#This Row],[budget]])/Table2[[#This Row],[budget]]</f>
        <v>9</v>
      </c>
      <c r="N197" t="str">
        <f t="shared" si="10"/>
        <v>OK</v>
      </c>
      <c r="O197" s="2">
        <f t="shared" si="11"/>
        <v>1</v>
      </c>
    </row>
    <row r="198" spans="1:15" x14ac:dyDescent="0.3">
      <c r="A198" t="s">
        <v>216</v>
      </c>
      <c r="B198" s="1">
        <v>44989</v>
      </c>
      <c r="C198" s="1">
        <v>45236</v>
      </c>
      <c r="D198">
        <v>59532.42</v>
      </c>
      <c r="E198" s="2">
        <f>(Table2[[#This Row],[revenue]]-Table2[[#This Row],[budget]])/Table2[[#This Row],[budget]]</f>
        <v>11.99608398247543</v>
      </c>
      <c r="F198" t="s">
        <v>21</v>
      </c>
      <c r="G198" t="s">
        <v>12</v>
      </c>
      <c r="H198" t="s">
        <v>19</v>
      </c>
      <c r="I198">
        <v>0.9</v>
      </c>
      <c r="J198">
        <v>773688.33</v>
      </c>
      <c r="K198">
        <f>Table2[[#This Row],[revenue]]/Table2[[#This Row],[budget]]</f>
        <v>12.996083982475431</v>
      </c>
      <c r="L198" s="2">
        <f t="shared" si="9"/>
        <v>595324.19999999995</v>
      </c>
      <c r="M198" s="2">
        <f>(Table2[[#This Row],[Adjusted revenue]]-Table2[[#This Row],[budget]])/Table2[[#This Row],[budget]]</f>
        <v>8.9999999999999982</v>
      </c>
      <c r="N198" t="str">
        <f t="shared" si="10"/>
        <v>OK</v>
      </c>
      <c r="O198" s="2">
        <f t="shared" si="11"/>
        <v>0.99999999999999956</v>
      </c>
    </row>
    <row r="199" spans="1:15" x14ac:dyDescent="0.3">
      <c r="A199" t="s">
        <v>217</v>
      </c>
      <c r="B199" s="1">
        <v>44930</v>
      </c>
      <c r="C199" s="1">
        <v>45408</v>
      </c>
      <c r="D199">
        <v>98089.919999999998</v>
      </c>
      <c r="E199" s="2">
        <f>(Table2[[#This Row],[revenue]]-Table2[[#This Row],[budget]])/Table2[[#This Row],[budget]]</f>
        <v>4.3240096433965896</v>
      </c>
      <c r="F199" t="s">
        <v>21</v>
      </c>
      <c r="G199" t="s">
        <v>15</v>
      </c>
      <c r="H199" t="s">
        <v>19</v>
      </c>
      <c r="I199">
        <v>0.22</v>
      </c>
      <c r="J199">
        <v>522231.68</v>
      </c>
      <c r="K199">
        <f>Table2[[#This Row],[revenue]]/Table2[[#This Row],[budget]]</f>
        <v>5.3240096433965896</v>
      </c>
      <c r="L199" s="2">
        <f t="shared" si="9"/>
        <v>522231.68</v>
      </c>
      <c r="M199" s="2">
        <f>(Table2[[#This Row],[Adjusted revenue]]-Table2[[#This Row],[budget]])/Table2[[#This Row],[budget]]</f>
        <v>4.3240096433965896</v>
      </c>
      <c r="N199" t="str">
        <f t="shared" si="10"/>
        <v>OK</v>
      </c>
      <c r="O199" s="2">
        <f t="shared" si="11"/>
        <v>1.558097755717669E-2</v>
      </c>
    </row>
    <row r="200" spans="1:15" x14ac:dyDescent="0.3">
      <c r="A200" t="s">
        <v>218</v>
      </c>
      <c r="B200" s="1">
        <v>44884</v>
      </c>
      <c r="C200" s="1">
        <v>45228</v>
      </c>
      <c r="D200">
        <v>16308.37</v>
      </c>
      <c r="E200" s="2">
        <f>(Table2[[#This Row],[revenue]]-Table2[[#This Row],[budget]])/Table2[[#This Row],[budget]]</f>
        <v>30.354750352119801</v>
      </c>
      <c r="F200" t="s">
        <v>21</v>
      </c>
      <c r="G200" t="s">
        <v>15</v>
      </c>
      <c r="H200" t="s">
        <v>16</v>
      </c>
      <c r="I200">
        <v>0.37</v>
      </c>
      <c r="J200">
        <v>511344.87</v>
      </c>
      <c r="K200">
        <f>Table2[[#This Row],[revenue]]/Table2[[#This Row],[budget]]</f>
        <v>31.354750352119801</v>
      </c>
      <c r="L200" s="2">
        <f t="shared" si="9"/>
        <v>163083.70000000001</v>
      </c>
      <c r="M200" s="2">
        <f>(Table2[[#This Row],[Adjusted revenue]]-Table2[[#This Row],[budget]])/Table2[[#This Row],[budget]]</f>
        <v>9</v>
      </c>
      <c r="N200" t="str">
        <f t="shared" si="10"/>
        <v>OK</v>
      </c>
      <c r="O200" s="2">
        <f t="shared" si="11"/>
        <v>1</v>
      </c>
    </row>
    <row r="201" spans="1:15" x14ac:dyDescent="0.3">
      <c r="A201" t="s">
        <v>219</v>
      </c>
      <c r="B201" s="1">
        <v>45089</v>
      </c>
      <c r="C201" s="1">
        <v>45236</v>
      </c>
      <c r="D201">
        <v>36824.239999999998</v>
      </c>
      <c r="E201" s="2">
        <f>(Table2[[#This Row],[revenue]]-Table2[[#This Row],[budget]])/Table2[[#This Row],[budget]]</f>
        <v>25.381452543216099</v>
      </c>
      <c r="F201" t="s">
        <v>11</v>
      </c>
      <c r="G201" t="s">
        <v>12</v>
      </c>
      <c r="H201" t="s">
        <v>16</v>
      </c>
      <c r="I201">
        <v>0.42</v>
      </c>
      <c r="J201">
        <v>971476.94</v>
      </c>
      <c r="K201">
        <f>Table2[[#This Row],[revenue]]/Table2[[#This Row],[budget]]</f>
        <v>26.381452543216099</v>
      </c>
      <c r="L201" s="2">
        <f t="shared" si="9"/>
        <v>368242.39999999997</v>
      </c>
      <c r="M201" s="2">
        <f>(Table2[[#This Row],[Adjusted revenue]]-Table2[[#This Row],[budget]])/Table2[[#This Row],[budget]]</f>
        <v>9</v>
      </c>
      <c r="N201" t="str">
        <f t="shared" si="10"/>
        <v>OK</v>
      </c>
      <c r="O201" s="2">
        <f t="shared" si="11"/>
        <v>1</v>
      </c>
    </row>
    <row r="202" spans="1:15" x14ac:dyDescent="0.3">
      <c r="A202" t="s">
        <v>220</v>
      </c>
      <c r="B202" s="1">
        <v>44963</v>
      </c>
      <c r="C202" s="1">
        <v>45284</v>
      </c>
      <c r="D202">
        <v>62406.71</v>
      </c>
      <c r="E202" s="2">
        <f>(Table2[[#This Row],[revenue]]-Table2[[#This Row],[budget]])/Table2[[#This Row],[budget]]</f>
        <v>0.98565010076640802</v>
      </c>
      <c r="F202" t="s">
        <v>21</v>
      </c>
      <c r="G202" t="s">
        <v>12</v>
      </c>
      <c r="H202" t="s">
        <v>16</v>
      </c>
      <c r="I202">
        <v>0.67</v>
      </c>
      <c r="J202">
        <v>123917.89</v>
      </c>
      <c r="K202">
        <f>Table2[[#This Row],[revenue]]/Table2[[#This Row],[budget]]</f>
        <v>1.985650100766408</v>
      </c>
      <c r="L202" s="2">
        <f t="shared" si="9"/>
        <v>123917.89</v>
      </c>
      <c r="M202" s="2">
        <f>(Table2[[#This Row],[Adjusted revenue]]-Table2[[#This Row],[budget]])/Table2[[#This Row],[budget]]</f>
        <v>0.98565010076640802</v>
      </c>
      <c r="N202" t="str">
        <f t="shared" si="10"/>
        <v>OK</v>
      </c>
      <c r="O202" s="2">
        <f t="shared" si="11"/>
        <v>-0.68723155773338784</v>
      </c>
    </row>
    <row r="203" spans="1:15" x14ac:dyDescent="0.3">
      <c r="A203" t="s">
        <v>221</v>
      </c>
      <c r="B203" s="1">
        <v>44779</v>
      </c>
      <c r="C203" s="1">
        <v>45495</v>
      </c>
      <c r="D203">
        <v>96713.47</v>
      </c>
      <c r="E203" s="2">
        <f>(Table2[[#This Row],[revenue]]-Table2[[#This Row],[budget]])/Table2[[#This Row],[budget]]</f>
        <v>9.2916441732470147</v>
      </c>
      <c r="F203" t="s">
        <v>18</v>
      </c>
      <c r="G203" t="s">
        <v>15</v>
      </c>
      <c r="H203" t="s">
        <v>19</v>
      </c>
      <c r="I203">
        <v>0.63</v>
      </c>
      <c r="J203">
        <v>995340.62</v>
      </c>
      <c r="K203">
        <f>Table2[[#This Row],[revenue]]/Table2[[#This Row],[budget]]</f>
        <v>10.291644173247015</v>
      </c>
      <c r="L203" s="2">
        <f t="shared" si="9"/>
        <v>967134.7</v>
      </c>
      <c r="M203" s="2">
        <f>(Table2[[#This Row],[Adjusted revenue]]-Table2[[#This Row],[budget]])/Table2[[#This Row],[budget]]</f>
        <v>9</v>
      </c>
      <c r="N203" t="str">
        <f t="shared" si="10"/>
        <v>OK</v>
      </c>
      <c r="O203" s="2">
        <f t="shared" si="11"/>
        <v>1</v>
      </c>
    </row>
    <row r="204" spans="1:15" x14ac:dyDescent="0.3">
      <c r="A204" t="s">
        <v>222</v>
      </c>
      <c r="B204" s="1">
        <v>44874</v>
      </c>
      <c r="C204" s="1">
        <v>45319</v>
      </c>
      <c r="D204">
        <v>91490.92</v>
      </c>
      <c r="E204" s="2">
        <f>(Table2[[#This Row],[revenue]]-Table2[[#This Row],[budget]])/Table2[[#This Row],[budget]]</f>
        <v>-0.5780784584962092</v>
      </c>
      <c r="F204" t="s">
        <v>21</v>
      </c>
      <c r="G204" t="s">
        <v>15</v>
      </c>
      <c r="H204" t="s">
        <v>25</v>
      </c>
      <c r="I204">
        <v>0.95</v>
      </c>
      <c r="J204">
        <v>38601.99</v>
      </c>
      <c r="K204">
        <f>Table2[[#This Row],[revenue]]/Table2[[#This Row],[budget]]</f>
        <v>0.42192154150379074</v>
      </c>
      <c r="L204" s="2">
        <f t="shared" si="9"/>
        <v>45745.46</v>
      </c>
      <c r="M204" s="2">
        <f>(Table2[[#This Row],[Adjusted revenue]]-Table2[[#This Row],[budget]])/Table2[[#This Row],[budget]]</f>
        <v>-0.5</v>
      </c>
      <c r="N204" t="str">
        <f t="shared" si="10"/>
        <v>Failed</v>
      </c>
      <c r="O204" s="2">
        <f t="shared" si="11"/>
        <v>-1</v>
      </c>
    </row>
    <row r="205" spans="1:15" x14ac:dyDescent="0.3">
      <c r="A205" t="s">
        <v>223</v>
      </c>
      <c r="B205" s="1">
        <v>45133</v>
      </c>
      <c r="C205" s="1">
        <v>45441</v>
      </c>
      <c r="D205">
        <v>12246.32</v>
      </c>
      <c r="E205" s="2">
        <f>(Table2[[#This Row],[revenue]]-Table2[[#This Row],[budget]])/Table2[[#This Row],[budget]]</f>
        <v>79.612403562866248</v>
      </c>
      <c r="F205" t="s">
        <v>11</v>
      </c>
      <c r="G205" t="s">
        <v>12</v>
      </c>
      <c r="H205" t="s">
        <v>25</v>
      </c>
      <c r="I205">
        <v>0.44</v>
      </c>
      <c r="J205">
        <v>987205.29</v>
      </c>
      <c r="K205">
        <f>Table2[[#This Row],[revenue]]/Table2[[#This Row],[budget]]</f>
        <v>80.612403562866234</v>
      </c>
      <c r="L205" s="2">
        <f t="shared" si="9"/>
        <v>122463.2</v>
      </c>
      <c r="M205" s="2">
        <f>(Table2[[#This Row],[Adjusted revenue]]-Table2[[#This Row],[budget]])/Table2[[#This Row],[budget]]</f>
        <v>9</v>
      </c>
      <c r="N205" t="str">
        <f t="shared" si="10"/>
        <v>OK</v>
      </c>
      <c r="O205" s="2">
        <f t="shared" si="11"/>
        <v>1</v>
      </c>
    </row>
    <row r="206" spans="1:15" x14ac:dyDescent="0.3">
      <c r="A206" t="s">
        <v>224</v>
      </c>
      <c r="B206" s="1">
        <v>44934</v>
      </c>
      <c r="C206" s="1">
        <v>45450</v>
      </c>
      <c r="D206">
        <v>29724.33</v>
      </c>
      <c r="E206" s="2">
        <f>(Table2[[#This Row],[revenue]]-Table2[[#This Row],[budget]])/Table2[[#This Row],[budget]]</f>
        <v>31.34453526791016</v>
      </c>
      <c r="F206" t="s">
        <v>18</v>
      </c>
      <c r="G206" t="s">
        <v>15</v>
      </c>
      <c r="H206" t="s">
        <v>16</v>
      </c>
      <c r="I206">
        <v>0.27</v>
      </c>
      <c r="J206">
        <v>961419.64</v>
      </c>
      <c r="K206">
        <f>Table2[[#This Row],[revenue]]/Table2[[#This Row],[budget]]</f>
        <v>32.34453526791016</v>
      </c>
      <c r="L206" s="2">
        <f t="shared" si="9"/>
        <v>297243.30000000005</v>
      </c>
      <c r="M206" s="2">
        <f>(Table2[[#This Row],[Adjusted revenue]]-Table2[[#This Row],[budget]])/Table2[[#This Row],[budget]]</f>
        <v>9</v>
      </c>
      <c r="N206" t="str">
        <f t="shared" si="10"/>
        <v>OK</v>
      </c>
      <c r="O206" s="2">
        <f t="shared" si="11"/>
        <v>1</v>
      </c>
    </row>
    <row r="207" spans="1:15" x14ac:dyDescent="0.3">
      <c r="A207" t="s">
        <v>225</v>
      </c>
      <c r="B207" s="1">
        <v>44996</v>
      </c>
      <c r="C207" s="1">
        <v>45257</v>
      </c>
      <c r="D207">
        <v>32343.79</v>
      </c>
      <c r="E207" s="2">
        <f>(Table2[[#This Row],[revenue]]-Table2[[#This Row],[budget]])/Table2[[#This Row],[budget]]</f>
        <v>0.70182869725533081</v>
      </c>
      <c r="F207" t="s">
        <v>23</v>
      </c>
      <c r="G207" t="s">
        <v>12</v>
      </c>
      <c r="H207" t="s">
        <v>19</v>
      </c>
      <c r="I207">
        <v>0.5</v>
      </c>
      <c r="J207">
        <v>55043.59</v>
      </c>
      <c r="K207">
        <f>Table2[[#This Row],[revenue]]/Table2[[#This Row],[budget]]</f>
        <v>1.7018286972553307</v>
      </c>
      <c r="L207" s="2">
        <f t="shared" si="9"/>
        <v>55043.59</v>
      </c>
      <c r="M207" s="2">
        <f>(Table2[[#This Row],[Adjusted revenue]]-Table2[[#This Row],[budget]])/Table2[[#This Row],[budget]]</f>
        <v>0.70182869725533081</v>
      </c>
      <c r="N207" t="str">
        <f t="shared" si="10"/>
        <v>OK</v>
      </c>
      <c r="O207" s="2">
        <f t="shared" si="11"/>
        <v>-0.74698343215677254</v>
      </c>
    </row>
    <row r="208" spans="1:15" x14ac:dyDescent="0.3">
      <c r="A208" t="s">
        <v>226</v>
      </c>
      <c r="B208" s="1">
        <v>45102</v>
      </c>
      <c r="C208" s="1">
        <v>45398</v>
      </c>
      <c r="D208">
        <v>59590.26</v>
      </c>
      <c r="E208" s="2">
        <f>(Table2[[#This Row],[revenue]]-Table2[[#This Row],[budget]])/Table2[[#This Row],[budget]]</f>
        <v>8.6443573161117264</v>
      </c>
      <c r="F208" t="s">
        <v>18</v>
      </c>
      <c r="G208" t="s">
        <v>12</v>
      </c>
      <c r="H208" t="s">
        <v>25</v>
      </c>
      <c r="I208">
        <v>0.99</v>
      </c>
      <c r="J208">
        <v>574709.76000000001</v>
      </c>
      <c r="K208">
        <f>Table2[[#This Row],[revenue]]/Table2[[#This Row],[budget]]</f>
        <v>9.6443573161117264</v>
      </c>
      <c r="L208" s="2">
        <f t="shared" si="9"/>
        <v>574709.76000000001</v>
      </c>
      <c r="M208" s="2">
        <f>(Table2[[#This Row],[Adjusted revenue]]-Table2[[#This Row],[budget]])/Table2[[#This Row],[budget]]</f>
        <v>8.6443573161117264</v>
      </c>
      <c r="N208" t="str">
        <f t="shared" si="10"/>
        <v>OK</v>
      </c>
      <c r="O208" s="2">
        <f t="shared" si="11"/>
        <v>0.92512785602352143</v>
      </c>
    </row>
    <row r="209" spans="1:15" x14ac:dyDescent="0.3">
      <c r="A209" t="s">
        <v>227</v>
      </c>
      <c r="B209" s="1">
        <v>44877</v>
      </c>
      <c r="C209" s="1">
        <v>45156</v>
      </c>
      <c r="D209">
        <v>77582.36</v>
      </c>
      <c r="E209" s="2">
        <f>(Table2[[#This Row],[revenue]]-Table2[[#This Row],[budget]])/Table2[[#This Row],[budget]]</f>
        <v>4.5189852435527875</v>
      </c>
      <c r="F209" t="s">
        <v>18</v>
      </c>
      <c r="G209" t="s">
        <v>15</v>
      </c>
      <c r="H209" t="s">
        <v>16</v>
      </c>
      <c r="I209">
        <v>0.47</v>
      </c>
      <c r="J209">
        <v>428175.9</v>
      </c>
      <c r="K209">
        <f>Table2[[#This Row],[revenue]]/Table2[[#This Row],[budget]]</f>
        <v>5.5189852435527875</v>
      </c>
      <c r="L209" s="2">
        <f t="shared" si="9"/>
        <v>428175.9</v>
      </c>
      <c r="M209" s="2">
        <f>(Table2[[#This Row],[Adjusted revenue]]-Table2[[#This Row],[budget]])/Table2[[#This Row],[budget]]</f>
        <v>4.5189852435527875</v>
      </c>
      <c r="N209" t="str">
        <f t="shared" si="10"/>
        <v>OK</v>
      </c>
      <c r="O209" s="2">
        <f t="shared" si="11"/>
        <v>5.6628472326902601E-2</v>
      </c>
    </row>
    <row r="210" spans="1:15" x14ac:dyDescent="0.3">
      <c r="A210" t="s">
        <v>228</v>
      </c>
      <c r="B210" s="1">
        <v>44910</v>
      </c>
      <c r="C210" s="1">
        <v>45276</v>
      </c>
      <c r="D210">
        <v>23477.599999999999</v>
      </c>
      <c r="E210" s="2">
        <f>(Table2[[#This Row],[revenue]]-Table2[[#This Row],[budget]])/Table2[[#This Row],[budget]]</f>
        <v>8.3307535693597305</v>
      </c>
      <c r="F210" t="s">
        <v>11</v>
      </c>
      <c r="G210" t="s">
        <v>12</v>
      </c>
      <c r="H210" t="s">
        <v>19</v>
      </c>
      <c r="I210">
        <v>0.34</v>
      </c>
      <c r="J210">
        <v>219063.7</v>
      </c>
      <c r="K210">
        <f>Table2[[#This Row],[revenue]]/Table2[[#This Row],[budget]]</f>
        <v>9.3307535693597305</v>
      </c>
      <c r="L210" s="2">
        <f t="shared" si="9"/>
        <v>219063.7</v>
      </c>
      <c r="M210" s="2">
        <f>(Table2[[#This Row],[Adjusted revenue]]-Table2[[#This Row],[budget]])/Table2[[#This Row],[budget]]</f>
        <v>8.3307535693597305</v>
      </c>
      <c r="N210" t="str">
        <f t="shared" si="10"/>
        <v>OK</v>
      </c>
      <c r="O210" s="2">
        <f t="shared" si="11"/>
        <v>0.85910601460204861</v>
      </c>
    </row>
    <row r="211" spans="1:15" x14ac:dyDescent="0.3">
      <c r="A211" t="s">
        <v>229</v>
      </c>
      <c r="B211" s="1">
        <v>44865</v>
      </c>
      <c r="C211" s="1">
        <v>45420</v>
      </c>
      <c r="D211">
        <v>9666.1299999999992</v>
      </c>
      <c r="E211" s="2">
        <f>(Table2[[#This Row],[revenue]]-Table2[[#This Row],[budget]])/Table2[[#This Row],[budget]]</f>
        <v>4.4871929096753309</v>
      </c>
      <c r="F211" t="s">
        <v>11</v>
      </c>
      <c r="G211" t="s">
        <v>15</v>
      </c>
      <c r="H211" t="s">
        <v>25</v>
      </c>
      <c r="I211">
        <v>0.65</v>
      </c>
      <c r="J211">
        <v>53039.92</v>
      </c>
      <c r="K211">
        <f>Table2[[#This Row],[revenue]]/Table2[[#This Row],[budget]]</f>
        <v>5.4871929096753309</v>
      </c>
      <c r="L211" s="2">
        <f t="shared" si="9"/>
        <v>53039.92</v>
      </c>
      <c r="M211" s="2">
        <f>(Table2[[#This Row],[Adjusted revenue]]-Table2[[#This Row],[budget]])/Table2[[#This Row],[budget]]</f>
        <v>4.4871929096753309</v>
      </c>
      <c r="N211" t="str">
        <f t="shared" si="10"/>
        <v>OK</v>
      </c>
      <c r="O211" s="2">
        <f t="shared" si="11"/>
        <v>4.993534940533273E-2</v>
      </c>
    </row>
    <row r="212" spans="1:15" x14ac:dyDescent="0.3">
      <c r="A212" t="s">
        <v>230</v>
      </c>
      <c r="B212" s="1">
        <v>45084</v>
      </c>
      <c r="C212" s="1">
        <v>45144</v>
      </c>
      <c r="D212">
        <v>63938.71</v>
      </c>
      <c r="E212" s="2">
        <f>(Table2[[#This Row],[revenue]]-Table2[[#This Row],[budget]])/Table2[[#This Row],[budget]]</f>
        <v>12.928491675856458</v>
      </c>
      <c r="F212" t="s">
        <v>11</v>
      </c>
      <c r="G212" t="s">
        <v>15</v>
      </c>
      <c r="H212" t="s">
        <v>25</v>
      </c>
      <c r="I212">
        <v>0.49</v>
      </c>
      <c r="J212">
        <v>890569.79</v>
      </c>
      <c r="K212">
        <f>Table2[[#This Row],[revenue]]/Table2[[#This Row],[budget]]</f>
        <v>13.928491675856458</v>
      </c>
      <c r="L212" s="2">
        <f t="shared" si="9"/>
        <v>639387.1</v>
      </c>
      <c r="M212" s="2">
        <f>(Table2[[#This Row],[Adjusted revenue]]-Table2[[#This Row],[budget]])/Table2[[#This Row],[budget]]</f>
        <v>9</v>
      </c>
      <c r="N212" t="str">
        <f t="shared" si="10"/>
        <v>OK</v>
      </c>
      <c r="O212" s="2">
        <f t="shared" si="11"/>
        <v>1</v>
      </c>
    </row>
    <row r="213" spans="1:15" x14ac:dyDescent="0.3">
      <c r="A213" t="s">
        <v>231</v>
      </c>
      <c r="B213" s="1">
        <v>45114</v>
      </c>
      <c r="C213" s="1">
        <v>45291</v>
      </c>
      <c r="D213">
        <v>44248.38</v>
      </c>
      <c r="E213" s="2">
        <f>(Table2[[#This Row],[revenue]]-Table2[[#This Row],[budget]])/Table2[[#This Row],[budget]]</f>
        <v>6.0826443815570199</v>
      </c>
      <c r="F213" t="s">
        <v>21</v>
      </c>
      <c r="G213" t="s">
        <v>12</v>
      </c>
      <c r="H213" t="s">
        <v>19</v>
      </c>
      <c r="I213">
        <v>0.65</v>
      </c>
      <c r="J213">
        <v>313395.53999999998</v>
      </c>
      <c r="K213">
        <f>Table2[[#This Row],[revenue]]/Table2[[#This Row],[budget]]</f>
        <v>7.0826443815570199</v>
      </c>
      <c r="L213" s="2">
        <f t="shared" si="9"/>
        <v>313395.53999999998</v>
      </c>
      <c r="M213" s="2">
        <f>(Table2[[#This Row],[Adjusted revenue]]-Table2[[#This Row],[budget]])/Table2[[#This Row],[budget]]</f>
        <v>6.0826443815570199</v>
      </c>
      <c r="N213" t="str">
        <f t="shared" si="10"/>
        <v>OK</v>
      </c>
      <c r="O213" s="2">
        <f t="shared" si="11"/>
        <v>0.38581986980147787</v>
      </c>
    </row>
    <row r="214" spans="1:15" x14ac:dyDescent="0.3">
      <c r="A214" t="s">
        <v>232</v>
      </c>
      <c r="B214" s="1">
        <v>45053</v>
      </c>
      <c r="C214" s="1">
        <v>45335</v>
      </c>
      <c r="D214">
        <v>97083.41</v>
      </c>
      <c r="E214" s="2">
        <f>(Table2[[#This Row],[revenue]]-Table2[[#This Row],[budget]])/Table2[[#This Row],[budget]]</f>
        <v>2.8969078239011168</v>
      </c>
      <c r="F214" t="s">
        <v>18</v>
      </c>
      <c r="G214" t="s">
        <v>12</v>
      </c>
      <c r="H214" t="s">
        <v>16</v>
      </c>
      <c r="I214">
        <v>0.25</v>
      </c>
      <c r="J214">
        <v>378325.1</v>
      </c>
      <c r="K214">
        <f>Table2[[#This Row],[revenue]]/Table2[[#This Row],[budget]]</f>
        <v>3.8969078239011172</v>
      </c>
      <c r="L214" s="2">
        <f t="shared" si="9"/>
        <v>378325.1</v>
      </c>
      <c r="M214" s="2">
        <f>(Table2[[#This Row],[Adjusted revenue]]-Table2[[#This Row],[budget]])/Table2[[#This Row],[budget]]</f>
        <v>2.8969078239011168</v>
      </c>
      <c r="N214" t="str">
        <f t="shared" si="10"/>
        <v>OK</v>
      </c>
      <c r="O214" s="2">
        <f t="shared" si="11"/>
        <v>-0.28486151075765964</v>
      </c>
    </row>
    <row r="215" spans="1:15" x14ac:dyDescent="0.3">
      <c r="A215" t="s">
        <v>233</v>
      </c>
      <c r="B215" s="1">
        <v>44852</v>
      </c>
      <c r="C215" s="1">
        <v>45202</v>
      </c>
      <c r="D215">
        <v>18706.919999999998</v>
      </c>
      <c r="E215" s="2">
        <f>(Table2[[#This Row],[revenue]]-Table2[[#This Row],[budget]])/Table2[[#This Row],[budget]]</f>
        <v>28.662935961665525</v>
      </c>
      <c r="F215" t="s">
        <v>21</v>
      </c>
      <c r="G215" t="s">
        <v>12</v>
      </c>
      <c r="H215" t="s">
        <v>25</v>
      </c>
      <c r="I215">
        <v>0.44</v>
      </c>
      <c r="J215">
        <v>554902.17000000004</v>
      </c>
      <c r="K215">
        <f>Table2[[#This Row],[revenue]]/Table2[[#This Row],[budget]]</f>
        <v>29.662935961665529</v>
      </c>
      <c r="L215" s="2">
        <f t="shared" si="9"/>
        <v>187069.19999999998</v>
      </c>
      <c r="M215" s="2">
        <f>(Table2[[#This Row],[Adjusted revenue]]-Table2[[#This Row],[budget]])/Table2[[#This Row],[budget]]</f>
        <v>9</v>
      </c>
      <c r="N215" t="str">
        <f t="shared" si="10"/>
        <v>OK</v>
      </c>
      <c r="O215" s="2">
        <f t="shared" si="11"/>
        <v>1</v>
      </c>
    </row>
    <row r="216" spans="1:15" x14ac:dyDescent="0.3">
      <c r="A216" t="s">
        <v>234</v>
      </c>
      <c r="B216" s="1">
        <v>44844</v>
      </c>
      <c r="C216" s="1">
        <v>45211</v>
      </c>
      <c r="D216">
        <v>92742.9</v>
      </c>
      <c r="E216" s="2">
        <f>(Table2[[#This Row],[revenue]]-Table2[[#This Row],[budget]])/Table2[[#This Row],[budget]]</f>
        <v>7.1494368841172751</v>
      </c>
      <c r="F216" t="s">
        <v>21</v>
      </c>
      <c r="G216" t="s">
        <v>12</v>
      </c>
      <c r="H216" t="s">
        <v>13</v>
      </c>
      <c r="I216">
        <v>0.33</v>
      </c>
      <c r="J216">
        <v>755802.41</v>
      </c>
      <c r="K216">
        <f>Table2[[#This Row],[revenue]]/Table2[[#This Row],[budget]]</f>
        <v>8.1494368841172751</v>
      </c>
      <c r="L216" s="2">
        <f t="shared" si="9"/>
        <v>755802.41</v>
      </c>
      <c r="M216" s="2">
        <f>(Table2[[#This Row],[Adjusted revenue]]-Table2[[#This Row],[budget]])/Table2[[#This Row],[budget]]</f>
        <v>7.1494368841172751</v>
      </c>
      <c r="N216" t="str">
        <f t="shared" si="10"/>
        <v>OK</v>
      </c>
      <c r="O216" s="2">
        <f t="shared" si="11"/>
        <v>0.61040776507732097</v>
      </c>
    </row>
    <row r="217" spans="1:15" x14ac:dyDescent="0.3">
      <c r="A217" t="s">
        <v>235</v>
      </c>
      <c r="B217" s="1">
        <v>44995</v>
      </c>
      <c r="C217" s="1">
        <v>45408</v>
      </c>
      <c r="D217">
        <v>14418.29</v>
      </c>
      <c r="E217" s="2">
        <f>(Table2[[#This Row],[revenue]]-Table2[[#This Row],[budget]])/Table2[[#This Row],[budget]]</f>
        <v>46.412897784688752</v>
      </c>
      <c r="F217" t="s">
        <v>11</v>
      </c>
      <c r="G217" t="s">
        <v>12</v>
      </c>
      <c r="H217" t="s">
        <v>16</v>
      </c>
      <c r="I217">
        <v>0.67</v>
      </c>
      <c r="J217">
        <v>683612.91</v>
      </c>
      <c r="K217">
        <f>Table2[[#This Row],[revenue]]/Table2[[#This Row],[budget]]</f>
        <v>47.412897784688752</v>
      </c>
      <c r="L217" s="2">
        <f t="shared" si="9"/>
        <v>144182.90000000002</v>
      </c>
      <c r="M217" s="2">
        <f>(Table2[[#This Row],[Adjusted revenue]]-Table2[[#This Row],[budget]])/Table2[[#This Row],[budget]]</f>
        <v>9</v>
      </c>
      <c r="N217" t="str">
        <f t="shared" si="10"/>
        <v>OK</v>
      </c>
      <c r="O217" s="2">
        <f t="shared" si="11"/>
        <v>1</v>
      </c>
    </row>
    <row r="218" spans="1:15" x14ac:dyDescent="0.3">
      <c r="A218" t="s">
        <v>236</v>
      </c>
      <c r="B218" s="1">
        <v>44790</v>
      </c>
      <c r="C218" s="1">
        <v>45395</v>
      </c>
      <c r="D218">
        <v>55644.28</v>
      </c>
      <c r="E218" s="2">
        <f>(Table2[[#This Row],[revenue]]-Table2[[#This Row],[budget]])/Table2[[#This Row],[budget]]</f>
        <v>12.733875431580747</v>
      </c>
      <c r="F218" t="s">
        <v>18</v>
      </c>
      <c r="G218" t="s">
        <v>15</v>
      </c>
      <c r="H218" t="s">
        <v>25</v>
      </c>
      <c r="I218">
        <v>0.68</v>
      </c>
      <c r="J218">
        <v>764211.61</v>
      </c>
      <c r="K218">
        <f>Table2[[#This Row],[revenue]]/Table2[[#This Row],[budget]]</f>
        <v>13.733875431580749</v>
      </c>
      <c r="L218" s="2">
        <f t="shared" si="9"/>
        <v>556442.80000000005</v>
      </c>
      <c r="M218" s="2">
        <f>(Table2[[#This Row],[Adjusted revenue]]-Table2[[#This Row],[budget]])/Table2[[#This Row],[budget]]</f>
        <v>9</v>
      </c>
      <c r="N218" t="str">
        <f t="shared" si="10"/>
        <v>OK</v>
      </c>
      <c r="O218" s="2">
        <f t="shared" si="11"/>
        <v>1</v>
      </c>
    </row>
    <row r="219" spans="1:15" x14ac:dyDescent="0.3">
      <c r="A219" t="s">
        <v>237</v>
      </c>
      <c r="B219" s="1">
        <v>45100</v>
      </c>
      <c r="C219" s="1">
        <v>45415</v>
      </c>
      <c r="D219">
        <v>49973.41</v>
      </c>
      <c r="E219" s="2">
        <f>(Table2[[#This Row],[revenue]]-Table2[[#This Row],[budget]])/Table2[[#This Row],[budget]]</f>
        <v>5.1051903402229302</v>
      </c>
      <c r="F219" t="s">
        <v>18</v>
      </c>
      <c r="G219" t="s">
        <v>12</v>
      </c>
      <c r="H219" t="s">
        <v>16</v>
      </c>
      <c r="I219">
        <v>0.4</v>
      </c>
      <c r="J219">
        <v>305097.18</v>
      </c>
      <c r="K219">
        <f>Table2[[#This Row],[revenue]]/Table2[[#This Row],[budget]]</f>
        <v>6.1051903402229302</v>
      </c>
      <c r="L219" s="2">
        <f t="shared" si="9"/>
        <v>305097.18</v>
      </c>
      <c r="M219" s="2">
        <f>(Table2[[#This Row],[Adjusted revenue]]-Table2[[#This Row],[budget]])/Table2[[#This Row],[budget]]</f>
        <v>5.1051903402229302</v>
      </c>
      <c r="N219" t="str">
        <f t="shared" si="10"/>
        <v>OK</v>
      </c>
      <c r="O219" s="2">
        <f t="shared" si="11"/>
        <v>0.18004007162588009</v>
      </c>
    </row>
    <row r="220" spans="1:15" x14ac:dyDescent="0.3">
      <c r="A220" t="s">
        <v>238</v>
      </c>
      <c r="B220" s="1">
        <v>44840</v>
      </c>
      <c r="C220" s="1">
        <v>45439</v>
      </c>
      <c r="D220">
        <v>52495.87</v>
      </c>
      <c r="E220" s="2">
        <f>(Table2[[#This Row],[revenue]]-Table2[[#This Row],[budget]])/Table2[[#This Row],[budget]]</f>
        <v>6.1540574525195977</v>
      </c>
      <c r="F220" t="s">
        <v>21</v>
      </c>
      <c r="G220" t="s">
        <v>12</v>
      </c>
      <c r="H220" t="s">
        <v>16</v>
      </c>
      <c r="I220">
        <v>0.56000000000000005</v>
      </c>
      <c r="J220">
        <v>375558.47</v>
      </c>
      <c r="K220">
        <f>Table2[[#This Row],[revenue]]/Table2[[#This Row],[budget]]</f>
        <v>7.1540574525195977</v>
      </c>
      <c r="L220" s="2">
        <f t="shared" si="9"/>
        <v>375558.47</v>
      </c>
      <c r="M220" s="2">
        <f>(Table2[[#This Row],[Adjusted revenue]]-Table2[[#This Row],[budget]])/Table2[[#This Row],[budget]]</f>
        <v>6.1540574525195977</v>
      </c>
      <c r="N220" t="str">
        <f t="shared" si="10"/>
        <v>OK</v>
      </c>
      <c r="O220" s="2">
        <f t="shared" si="11"/>
        <v>0.40085420053044163</v>
      </c>
    </row>
    <row r="221" spans="1:15" x14ac:dyDescent="0.3">
      <c r="A221" t="s">
        <v>239</v>
      </c>
      <c r="B221" s="1">
        <v>45068</v>
      </c>
      <c r="C221" s="1">
        <v>45151</v>
      </c>
      <c r="D221">
        <v>22905.15</v>
      </c>
      <c r="E221" s="2">
        <f>(Table2[[#This Row],[revenue]]-Table2[[#This Row],[budget]])/Table2[[#This Row],[budget]]</f>
        <v>39.325862087783747</v>
      </c>
      <c r="F221" t="s">
        <v>18</v>
      </c>
      <c r="G221" t="s">
        <v>15</v>
      </c>
      <c r="H221" t="s">
        <v>19</v>
      </c>
      <c r="I221">
        <v>0.2</v>
      </c>
      <c r="J221">
        <v>923669.92</v>
      </c>
      <c r="K221">
        <f>Table2[[#This Row],[revenue]]/Table2[[#This Row],[budget]]</f>
        <v>40.325862087783754</v>
      </c>
      <c r="L221" s="2">
        <f t="shared" si="9"/>
        <v>229051.5</v>
      </c>
      <c r="M221" s="2">
        <f>(Table2[[#This Row],[Adjusted revenue]]-Table2[[#This Row],[budget]])/Table2[[#This Row],[budget]]</f>
        <v>9</v>
      </c>
      <c r="N221" t="str">
        <f t="shared" si="10"/>
        <v>OK</v>
      </c>
      <c r="O221" s="2">
        <f t="shared" si="11"/>
        <v>1</v>
      </c>
    </row>
    <row r="222" spans="1:15" x14ac:dyDescent="0.3">
      <c r="A222" t="s">
        <v>240</v>
      </c>
      <c r="B222" s="1">
        <v>44986</v>
      </c>
      <c r="C222" s="1">
        <v>45250</v>
      </c>
      <c r="D222">
        <v>70871.649999999994</v>
      </c>
      <c r="E222" s="2">
        <f>(Table2[[#This Row],[revenue]]-Table2[[#This Row],[budget]])/Table2[[#This Row],[budget]]</f>
        <v>1.7317202294570537</v>
      </c>
      <c r="F222" t="s">
        <v>11</v>
      </c>
      <c r="G222" t="s">
        <v>15</v>
      </c>
      <c r="H222" t="s">
        <v>13</v>
      </c>
      <c r="I222">
        <v>0.46</v>
      </c>
      <c r="J222">
        <v>193601.52</v>
      </c>
      <c r="K222">
        <f>Table2[[#This Row],[revenue]]/Table2[[#This Row],[budget]]</f>
        <v>2.731720229457054</v>
      </c>
      <c r="L222" s="2">
        <f t="shared" si="9"/>
        <v>193601.52</v>
      </c>
      <c r="M222" s="2">
        <f>(Table2[[#This Row],[Adjusted revenue]]-Table2[[#This Row],[budget]])/Table2[[#This Row],[budget]]</f>
        <v>1.7317202294570537</v>
      </c>
      <c r="N222" t="str">
        <f t="shared" si="10"/>
        <v>OK</v>
      </c>
      <c r="O222" s="2">
        <f t="shared" si="11"/>
        <v>-0.53016416221956764</v>
      </c>
    </row>
    <row r="223" spans="1:15" x14ac:dyDescent="0.3">
      <c r="A223" t="s">
        <v>241</v>
      </c>
      <c r="B223" s="1">
        <v>44902</v>
      </c>
      <c r="C223" s="1">
        <v>45145</v>
      </c>
      <c r="D223">
        <v>91280.14</v>
      </c>
      <c r="E223" s="2">
        <f>(Table2[[#This Row],[revenue]]-Table2[[#This Row],[budget]])/Table2[[#This Row],[budget]]</f>
        <v>7.3744491408536401</v>
      </c>
      <c r="F223" t="s">
        <v>23</v>
      </c>
      <c r="G223" t="s">
        <v>12</v>
      </c>
      <c r="H223" t="s">
        <v>19</v>
      </c>
      <c r="I223">
        <v>0.24</v>
      </c>
      <c r="J223">
        <v>764420.89</v>
      </c>
      <c r="K223">
        <f>Table2[[#This Row],[revenue]]/Table2[[#This Row],[budget]]</f>
        <v>8.3744491408536401</v>
      </c>
      <c r="L223" s="2">
        <f t="shared" si="9"/>
        <v>764420.89</v>
      </c>
      <c r="M223" s="2">
        <f>(Table2[[#This Row],[Adjusted revenue]]-Table2[[#This Row],[budget]])/Table2[[#This Row],[budget]]</f>
        <v>7.3744491408536401</v>
      </c>
      <c r="N223" t="str">
        <f t="shared" si="10"/>
        <v>OK</v>
      </c>
      <c r="O223" s="2">
        <f t="shared" si="11"/>
        <v>0.65777876649550326</v>
      </c>
    </row>
    <row r="224" spans="1:15" x14ac:dyDescent="0.3">
      <c r="A224" t="s">
        <v>242</v>
      </c>
      <c r="B224" s="1">
        <v>44795</v>
      </c>
      <c r="C224" s="1">
        <v>45348</v>
      </c>
      <c r="D224">
        <v>43142.37</v>
      </c>
      <c r="E224" s="2">
        <f>(Table2[[#This Row],[revenue]]-Table2[[#This Row],[budget]])/Table2[[#This Row],[budget]]</f>
        <v>16.865166656351981</v>
      </c>
      <c r="F224" t="s">
        <v>21</v>
      </c>
      <c r="G224" t="s">
        <v>15</v>
      </c>
      <c r="H224" t="s">
        <v>25</v>
      </c>
      <c r="I224">
        <v>0.9</v>
      </c>
      <c r="J224">
        <v>770745.63</v>
      </c>
      <c r="K224">
        <f>Table2[[#This Row],[revenue]]/Table2[[#This Row],[budget]]</f>
        <v>17.865166656351981</v>
      </c>
      <c r="L224" s="2">
        <f t="shared" si="9"/>
        <v>431423.7</v>
      </c>
      <c r="M224" s="2">
        <f>(Table2[[#This Row],[Adjusted revenue]]-Table2[[#This Row],[budget]])/Table2[[#This Row],[budget]]</f>
        <v>9</v>
      </c>
      <c r="N224" t="str">
        <f t="shared" si="10"/>
        <v>OK</v>
      </c>
      <c r="O224" s="2">
        <f t="shared" si="11"/>
        <v>1</v>
      </c>
    </row>
    <row r="225" spans="1:15" x14ac:dyDescent="0.3">
      <c r="A225" t="s">
        <v>243</v>
      </c>
      <c r="B225" s="1">
        <v>45120</v>
      </c>
      <c r="C225" s="1">
        <v>45241</v>
      </c>
      <c r="D225">
        <v>90807.23</v>
      </c>
      <c r="E225" s="2">
        <f>(Table2[[#This Row],[revenue]]-Table2[[#This Row],[budget]])/Table2[[#This Row],[budget]]</f>
        <v>0.6917452498000437</v>
      </c>
      <c r="F225" t="s">
        <v>11</v>
      </c>
      <c r="G225" t="s">
        <v>12</v>
      </c>
      <c r="H225" t="s">
        <v>25</v>
      </c>
      <c r="I225">
        <v>0.76</v>
      </c>
      <c r="J225">
        <v>153622.70000000001</v>
      </c>
      <c r="K225">
        <f>Table2[[#This Row],[revenue]]/Table2[[#This Row],[budget]]</f>
        <v>1.6917452498000436</v>
      </c>
      <c r="L225" s="2">
        <f t="shared" si="9"/>
        <v>153622.70000000001</v>
      </c>
      <c r="M225" s="2">
        <f>(Table2[[#This Row],[Adjusted revenue]]-Table2[[#This Row],[budget]])/Table2[[#This Row],[budget]]</f>
        <v>0.6917452498000437</v>
      </c>
      <c r="N225" t="str">
        <f t="shared" si="10"/>
        <v>OK</v>
      </c>
      <c r="O225" s="2">
        <f t="shared" si="11"/>
        <v>-0.74910626319999074</v>
      </c>
    </row>
    <row r="226" spans="1:15" x14ac:dyDescent="0.3">
      <c r="A226" t="s">
        <v>244</v>
      </c>
      <c r="B226" s="1">
        <v>44927</v>
      </c>
      <c r="C226" s="1">
        <v>45397</v>
      </c>
      <c r="D226">
        <v>32622.799999999999</v>
      </c>
      <c r="E226" s="2">
        <f>(Table2[[#This Row],[revenue]]-Table2[[#This Row],[budget]])/Table2[[#This Row],[budget]]</f>
        <v>16.417088661917429</v>
      </c>
      <c r="F226" t="s">
        <v>18</v>
      </c>
      <c r="G226" t="s">
        <v>15</v>
      </c>
      <c r="H226" t="s">
        <v>16</v>
      </c>
      <c r="I226">
        <v>0.3</v>
      </c>
      <c r="J226">
        <v>568194.19999999995</v>
      </c>
      <c r="K226">
        <f>Table2[[#This Row],[revenue]]/Table2[[#This Row],[budget]]</f>
        <v>17.417088661917433</v>
      </c>
      <c r="L226" s="2">
        <f t="shared" si="9"/>
        <v>326228</v>
      </c>
      <c r="M226" s="2">
        <f>(Table2[[#This Row],[Adjusted revenue]]-Table2[[#This Row],[budget]])/Table2[[#This Row],[budget]]</f>
        <v>9</v>
      </c>
      <c r="N226" t="str">
        <f t="shared" si="10"/>
        <v>OK</v>
      </c>
      <c r="O226" s="2">
        <f t="shared" si="11"/>
        <v>1</v>
      </c>
    </row>
    <row r="227" spans="1:15" x14ac:dyDescent="0.3">
      <c r="A227" t="s">
        <v>245</v>
      </c>
      <c r="B227" s="1">
        <v>45081</v>
      </c>
      <c r="C227" s="1">
        <v>45217</v>
      </c>
      <c r="D227">
        <v>25277.14</v>
      </c>
      <c r="E227" s="2">
        <f>(Table2[[#This Row],[revenue]]-Table2[[#This Row],[budget]])/Table2[[#This Row],[budget]]</f>
        <v>0.94091380591316898</v>
      </c>
      <c r="F227" t="s">
        <v>11</v>
      </c>
      <c r="G227" t="s">
        <v>15</v>
      </c>
      <c r="H227" t="s">
        <v>13</v>
      </c>
      <c r="I227">
        <v>0.92</v>
      </c>
      <c r="J227">
        <v>49060.75</v>
      </c>
      <c r="K227">
        <f>Table2[[#This Row],[revenue]]/Table2[[#This Row],[budget]]</f>
        <v>1.940913805913169</v>
      </c>
      <c r="L227" s="2">
        <f t="shared" si="9"/>
        <v>49060.75</v>
      </c>
      <c r="M227" s="2">
        <f>(Table2[[#This Row],[Adjusted revenue]]-Table2[[#This Row],[budget]])/Table2[[#This Row],[budget]]</f>
        <v>0.94091380591316898</v>
      </c>
      <c r="N227" t="str">
        <f t="shared" si="10"/>
        <v>OK</v>
      </c>
      <c r="O227" s="2">
        <f t="shared" si="11"/>
        <v>-0.69664972507091183</v>
      </c>
    </row>
    <row r="228" spans="1:15" x14ac:dyDescent="0.3">
      <c r="A228" t="s">
        <v>246</v>
      </c>
      <c r="B228" s="1">
        <v>45084</v>
      </c>
      <c r="C228" s="1">
        <v>45208</v>
      </c>
      <c r="D228">
        <v>84489.59</v>
      </c>
      <c r="E228" s="2">
        <f>(Table2[[#This Row],[revenue]]-Table2[[#This Row],[budget]])/Table2[[#This Row],[budget]]</f>
        <v>8.3108930934568406</v>
      </c>
      <c r="F228" t="s">
        <v>23</v>
      </c>
      <c r="G228" t="s">
        <v>12</v>
      </c>
      <c r="H228" t="s">
        <v>16</v>
      </c>
      <c r="I228">
        <v>0.83</v>
      </c>
      <c r="J228">
        <v>786673.54</v>
      </c>
      <c r="K228">
        <f>Table2[[#This Row],[revenue]]/Table2[[#This Row],[budget]]</f>
        <v>9.3108930934568406</v>
      </c>
      <c r="L228" s="2">
        <f t="shared" si="9"/>
        <v>786673.54</v>
      </c>
      <c r="M228" s="2">
        <f>(Table2[[#This Row],[Adjusted revenue]]-Table2[[#This Row],[budget]])/Table2[[#This Row],[budget]]</f>
        <v>8.3108930934568406</v>
      </c>
      <c r="N228" t="str">
        <f t="shared" si="10"/>
        <v>OK</v>
      </c>
      <c r="O228" s="2">
        <f t="shared" si="11"/>
        <v>0.85492486178038751</v>
      </c>
    </row>
    <row r="229" spans="1:15" x14ac:dyDescent="0.3">
      <c r="A229" t="s">
        <v>247</v>
      </c>
      <c r="B229" s="1">
        <v>44912</v>
      </c>
      <c r="C229" s="1">
        <v>45454</v>
      </c>
      <c r="D229">
        <v>28928.55</v>
      </c>
      <c r="E229" s="2">
        <f>(Table2[[#This Row],[revenue]]-Table2[[#This Row],[budget]])/Table2[[#This Row],[budget]]</f>
        <v>3.496704812373935</v>
      </c>
      <c r="F229" t="s">
        <v>11</v>
      </c>
      <c r="G229" t="s">
        <v>15</v>
      </c>
      <c r="H229" t="s">
        <v>25</v>
      </c>
      <c r="I229">
        <v>0.12</v>
      </c>
      <c r="J229">
        <v>130083.15</v>
      </c>
      <c r="K229">
        <f>Table2[[#This Row],[revenue]]/Table2[[#This Row],[budget]]</f>
        <v>4.4967048123739346</v>
      </c>
      <c r="L229" s="2">
        <f t="shared" si="9"/>
        <v>130083.15</v>
      </c>
      <c r="M229" s="2">
        <f>(Table2[[#This Row],[Adjusted revenue]]-Table2[[#This Row],[budget]])/Table2[[#This Row],[budget]]</f>
        <v>3.496704812373935</v>
      </c>
      <c r="N229" t="str">
        <f t="shared" si="10"/>
        <v>OK</v>
      </c>
      <c r="O229" s="2">
        <f t="shared" si="11"/>
        <v>-0.1585884605528558</v>
      </c>
    </row>
    <row r="230" spans="1:15" x14ac:dyDescent="0.3">
      <c r="A230" t="s">
        <v>248</v>
      </c>
      <c r="B230" s="1">
        <v>44947</v>
      </c>
      <c r="C230" s="1">
        <v>45373</v>
      </c>
      <c r="D230">
        <v>9774.56</v>
      </c>
      <c r="E230" s="2">
        <f>(Table2[[#This Row],[revenue]]-Table2[[#This Row],[budget]])/Table2[[#This Row],[budget]]</f>
        <v>92.945455345304538</v>
      </c>
      <c r="F230" t="s">
        <v>11</v>
      </c>
      <c r="G230" t="s">
        <v>12</v>
      </c>
      <c r="H230" t="s">
        <v>19</v>
      </c>
      <c r="I230">
        <v>0.6</v>
      </c>
      <c r="J230">
        <v>918275.49</v>
      </c>
      <c r="K230">
        <f>Table2[[#This Row],[revenue]]/Table2[[#This Row],[budget]]</f>
        <v>93.945455345304552</v>
      </c>
      <c r="L230" s="2">
        <f t="shared" si="9"/>
        <v>97745.599999999991</v>
      </c>
      <c r="M230" s="2">
        <f>(Table2[[#This Row],[Adjusted revenue]]-Table2[[#This Row],[budget]])/Table2[[#This Row],[budget]]</f>
        <v>9</v>
      </c>
      <c r="N230" t="str">
        <f t="shared" si="10"/>
        <v>OK</v>
      </c>
      <c r="O230" s="2">
        <f t="shared" si="11"/>
        <v>1</v>
      </c>
    </row>
    <row r="231" spans="1:15" x14ac:dyDescent="0.3">
      <c r="A231" t="s">
        <v>249</v>
      </c>
      <c r="B231" s="1">
        <v>44779</v>
      </c>
      <c r="C231" s="1">
        <v>45169</v>
      </c>
      <c r="D231">
        <v>59889.62</v>
      </c>
      <c r="E231" s="2">
        <f>(Table2[[#This Row],[revenue]]-Table2[[#This Row],[budget]])/Table2[[#This Row],[budget]]</f>
        <v>1.3873627850702677</v>
      </c>
      <c r="F231" t="s">
        <v>21</v>
      </c>
      <c r="G231" t="s">
        <v>15</v>
      </c>
      <c r="H231" t="s">
        <v>25</v>
      </c>
      <c r="I231">
        <v>0.85</v>
      </c>
      <c r="J231">
        <v>142978.25</v>
      </c>
      <c r="K231">
        <f>Table2[[#This Row],[revenue]]/Table2[[#This Row],[budget]]</f>
        <v>2.3873627850702674</v>
      </c>
      <c r="L231" s="2">
        <f t="shared" si="9"/>
        <v>142978.25</v>
      </c>
      <c r="M231" s="2">
        <f>(Table2[[#This Row],[Adjusted revenue]]-Table2[[#This Row],[budget]])/Table2[[#This Row],[budget]]</f>
        <v>1.3873627850702677</v>
      </c>
      <c r="N231" t="str">
        <f t="shared" si="10"/>
        <v>OK</v>
      </c>
      <c r="O231" s="2">
        <f t="shared" si="11"/>
        <v>-0.60266046630099623</v>
      </c>
    </row>
    <row r="232" spans="1:15" x14ac:dyDescent="0.3">
      <c r="A232" t="s">
        <v>250</v>
      </c>
      <c r="B232" s="1">
        <v>45034</v>
      </c>
      <c r="C232" s="1">
        <v>45208</v>
      </c>
      <c r="D232">
        <v>90656.1</v>
      </c>
      <c r="E232" s="2">
        <f>(Table2[[#This Row],[revenue]]-Table2[[#This Row],[budget]])/Table2[[#This Row],[budget]]</f>
        <v>8.7766056558797469</v>
      </c>
      <c r="F232" t="s">
        <v>18</v>
      </c>
      <c r="G232" t="s">
        <v>15</v>
      </c>
      <c r="H232" t="s">
        <v>13</v>
      </c>
      <c r="I232">
        <v>0.56000000000000005</v>
      </c>
      <c r="J232">
        <v>886308.94</v>
      </c>
      <c r="K232">
        <f>Table2[[#This Row],[revenue]]/Table2[[#This Row],[budget]]</f>
        <v>9.7766056558797469</v>
      </c>
      <c r="L232" s="2">
        <f t="shared" si="9"/>
        <v>886308.94</v>
      </c>
      <c r="M232" s="2">
        <f>(Table2[[#This Row],[Adjusted revenue]]-Table2[[#This Row],[budget]])/Table2[[#This Row],[budget]]</f>
        <v>8.7766056558797469</v>
      </c>
      <c r="N232" t="str">
        <f t="shared" si="10"/>
        <v>OK</v>
      </c>
      <c r="O232" s="2">
        <f t="shared" si="11"/>
        <v>0.95296961176415729</v>
      </c>
    </row>
    <row r="233" spans="1:15" x14ac:dyDescent="0.3">
      <c r="A233" t="s">
        <v>251</v>
      </c>
      <c r="B233" s="1">
        <v>45077</v>
      </c>
      <c r="C233" s="1">
        <v>45343</v>
      </c>
      <c r="D233">
        <v>84627.74</v>
      </c>
      <c r="E233" s="2">
        <f>(Table2[[#This Row],[revenue]]-Table2[[#This Row],[budget]])/Table2[[#This Row],[budget]]</f>
        <v>7.6481203444638837</v>
      </c>
      <c r="F233" t="s">
        <v>18</v>
      </c>
      <c r="G233" t="s">
        <v>15</v>
      </c>
      <c r="H233" t="s">
        <v>19</v>
      </c>
      <c r="I233">
        <v>0.75</v>
      </c>
      <c r="J233">
        <v>731870.88</v>
      </c>
      <c r="K233">
        <f>Table2[[#This Row],[revenue]]/Table2[[#This Row],[budget]]</f>
        <v>8.6481203444638837</v>
      </c>
      <c r="L233" s="2">
        <f t="shared" si="9"/>
        <v>731870.88</v>
      </c>
      <c r="M233" s="2">
        <f>(Table2[[#This Row],[Adjusted revenue]]-Table2[[#This Row],[budget]])/Table2[[#This Row],[budget]]</f>
        <v>7.6481203444638837</v>
      </c>
      <c r="N233" t="str">
        <f t="shared" si="10"/>
        <v>OK</v>
      </c>
      <c r="O233" s="2">
        <f t="shared" si="11"/>
        <v>0.71539375672923877</v>
      </c>
    </row>
    <row r="234" spans="1:15" x14ac:dyDescent="0.3">
      <c r="A234" t="s">
        <v>252</v>
      </c>
      <c r="B234" s="1">
        <v>44988</v>
      </c>
      <c r="C234" s="1">
        <v>45261</v>
      </c>
      <c r="D234">
        <v>61961.66</v>
      </c>
      <c r="E234" s="2">
        <f>(Table2[[#This Row],[revenue]]-Table2[[#This Row],[budget]])/Table2[[#This Row],[budget]]</f>
        <v>11.826318081213445</v>
      </c>
      <c r="F234" t="s">
        <v>21</v>
      </c>
      <c r="G234" t="s">
        <v>12</v>
      </c>
      <c r="H234" t="s">
        <v>13</v>
      </c>
      <c r="I234">
        <v>0.81</v>
      </c>
      <c r="J234">
        <v>794739.96</v>
      </c>
      <c r="K234">
        <f>Table2[[#This Row],[revenue]]/Table2[[#This Row],[budget]]</f>
        <v>12.826318081213445</v>
      </c>
      <c r="L234" s="2">
        <f t="shared" si="9"/>
        <v>619616.60000000009</v>
      </c>
      <c r="M234" s="2">
        <f>(Table2[[#This Row],[Adjusted revenue]]-Table2[[#This Row],[budget]])/Table2[[#This Row],[budget]]</f>
        <v>9</v>
      </c>
      <c r="N234" t="str">
        <f t="shared" si="10"/>
        <v>OK</v>
      </c>
      <c r="O234" s="2">
        <f t="shared" si="11"/>
        <v>1</v>
      </c>
    </row>
    <row r="235" spans="1:15" x14ac:dyDescent="0.3">
      <c r="A235" t="s">
        <v>253</v>
      </c>
      <c r="B235" s="1">
        <v>45134</v>
      </c>
      <c r="C235" s="1">
        <v>45333</v>
      </c>
      <c r="D235">
        <v>67729.899999999994</v>
      </c>
      <c r="E235" s="2">
        <f>(Table2[[#This Row],[revenue]]-Table2[[#This Row],[budget]])/Table2[[#This Row],[budget]]</f>
        <v>12.458675415141615</v>
      </c>
      <c r="F235" t="s">
        <v>21</v>
      </c>
      <c r="G235" t="s">
        <v>12</v>
      </c>
      <c r="H235" t="s">
        <v>16</v>
      </c>
      <c r="I235">
        <v>0.44</v>
      </c>
      <c r="J235">
        <v>911554.74</v>
      </c>
      <c r="K235">
        <f>Table2[[#This Row],[revenue]]/Table2[[#This Row],[budget]]</f>
        <v>13.458675415141615</v>
      </c>
      <c r="L235" s="2">
        <f t="shared" si="9"/>
        <v>677299</v>
      </c>
      <c r="M235" s="2">
        <f>(Table2[[#This Row],[Adjusted revenue]]-Table2[[#This Row],[budget]])/Table2[[#This Row],[budget]]</f>
        <v>9</v>
      </c>
      <c r="N235" t="str">
        <f t="shared" si="10"/>
        <v>OK</v>
      </c>
      <c r="O235" s="2">
        <f t="shared" si="11"/>
        <v>1</v>
      </c>
    </row>
    <row r="236" spans="1:15" x14ac:dyDescent="0.3">
      <c r="A236" t="s">
        <v>254</v>
      </c>
      <c r="B236" s="1">
        <v>44897</v>
      </c>
      <c r="C236" s="1">
        <v>45187</v>
      </c>
      <c r="D236">
        <v>53669.55</v>
      </c>
      <c r="E236" s="2">
        <f>(Table2[[#This Row],[revenue]]-Table2[[#This Row],[budget]])/Table2[[#This Row],[budget]]</f>
        <v>11.112223225273919</v>
      </c>
      <c r="F236" t="s">
        <v>18</v>
      </c>
      <c r="G236" t="s">
        <v>12</v>
      </c>
      <c r="H236" t="s">
        <v>19</v>
      </c>
      <c r="I236">
        <v>0.22</v>
      </c>
      <c r="J236">
        <v>650057.56999999995</v>
      </c>
      <c r="K236">
        <f>Table2[[#This Row],[revenue]]/Table2[[#This Row],[budget]]</f>
        <v>12.112223225273921</v>
      </c>
      <c r="L236" s="2">
        <f t="shared" si="9"/>
        <v>536695.5</v>
      </c>
      <c r="M236" s="2">
        <f>(Table2[[#This Row],[Adjusted revenue]]-Table2[[#This Row],[budget]])/Table2[[#This Row],[budget]]</f>
        <v>9</v>
      </c>
      <c r="N236" t="str">
        <f t="shared" si="10"/>
        <v>OK</v>
      </c>
      <c r="O236" s="2">
        <f t="shared" si="11"/>
        <v>1</v>
      </c>
    </row>
    <row r="237" spans="1:15" x14ac:dyDescent="0.3">
      <c r="A237" t="s">
        <v>255</v>
      </c>
      <c r="B237" s="1">
        <v>45053</v>
      </c>
      <c r="C237" s="1">
        <v>45274</v>
      </c>
      <c r="D237">
        <v>45957.86</v>
      </c>
      <c r="E237" s="2">
        <f>(Table2[[#This Row],[revenue]]-Table2[[#This Row],[budget]])/Table2[[#This Row],[budget]]</f>
        <v>19.487202189135871</v>
      </c>
      <c r="F237" t="s">
        <v>18</v>
      </c>
      <c r="G237" t="s">
        <v>12</v>
      </c>
      <c r="H237" t="s">
        <v>25</v>
      </c>
      <c r="I237">
        <v>0.56999999999999995</v>
      </c>
      <c r="J237">
        <v>941547.97</v>
      </c>
      <c r="K237">
        <f>Table2[[#This Row],[revenue]]/Table2[[#This Row],[budget]]</f>
        <v>20.487202189135871</v>
      </c>
      <c r="L237" s="2">
        <f t="shared" si="9"/>
        <v>459578.6</v>
      </c>
      <c r="M237" s="2">
        <f>(Table2[[#This Row],[Adjusted revenue]]-Table2[[#This Row],[budget]])/Table2[[#This Row],[budget]]</f>
        <v>9</v>
      </c>
      <c r="N237" t="str">
        <f t="shared" si="10"/>
        <v>OK</v>
      </c>
      <c r="O237" s="2">
        <f t="shared" si="11"/>
        <v>1</v>
      </c>
    </row>
    <row r="238" spans="1:15" x14ac:dyDescent="0.3">
      <c r="A238" t="s">
        <v>256</v>
      </c>
      <c r="B238" s="1">
        <v>44954</v>
      </c>
      <c r="C238" s="1">
        <v>45208</v>
      </c>
      <c r="D238">
        <v>77240.69</v>
      </c>
      <c r="E238" s="2">
        <f>(Table2[[#This Row],[revenue]]-Table2[[#This Row],[budget]])/Table2[[#This Row],[budget]]</f>
        <v>6.0805016112621466</v>
      </c>
      <c r="F238" t="s">
        <v>11</v>
      </c>
      <c r="G238" t="s">
        <v>15</v>
      </c>
      <c r="H238" t="s">
        <v>16</v>
      </c>
      <c r="I238">
        <v>0.93</v>
      </c>
      <c r="J238">
        <v>546902.82999999996</v>
      </c>
      <c r="K238">
        <f>Table2[[#This Row],[revenue]]/Table2[[#This Row],[budget]]</f>
        <v>7.0805016112621466</v>
      </c>
      <c r="L238" s="2">
        <f t="shared" si="9"/>
        <v>546902.82999999996</v>
      </c>
      <c r="M238" s="2">
        <f>(Table2[[#This Row],[Adjusted revenue]]-Table2[[#This Row],[budget]])/Table2[[#This Row],[budget]]</f>
        <v>6.0805016112621466</v>
      </c>
      <c r="N238" t="str">
        <f t="shared" si="10"/>
        <v>OK</v>
      </c>
      <c r="O238" s="2">
        <f t="shared" si="11"/>
        <v>0.38536876026571498</v>
      </c>
    </row>
    <row r="239" spans="1:15" x14ac:dyDescent="0.3">
      <c r="A239" t="s">
        <v>257</v>
      </c>
      <c r="B239" s="1">
        <v>44970</v>
      </c>
      <c r="C239" s="1">
        <v>45352</v>
      </c>
      <c r="D239">
        <v>27897.65</v>
      </c>
      <c r="E239" s="2">
        <f>(Table2[[#This Row],[revenue]]-Table2[[#This Row],[budget]])/Table2[[#This Row],[budget]]</f>
        <v>25.758871804614365</v>
      </c>
      <c r="F239" t="s">
        <v>18</v>
      </c>
      <c r="G239" t="s">
        <v>15</v>
      </c>
      <c r="H239" t="s">
        <v>25</v>
      </c>
      <c r="I239">
        <v>0.36</v>
      </c>
      <c r="J239">
        <v>746509.64</v>
      </c>
      <c r="K239">
        <f>Table2[[#This Row],[revenue]]/Table2[[#This Row],[budget]]</f>
        <v>26.758871804614365</v>
      </c>
      <c r="L239" s="2">
        <f t="shared" si="9"/>
        <v>278976.5</v>
      </c>
      <c r="M239" s="2">
        <f>(Table2[[#This Row],[Adjusted revenue]]-Table2[[#This Row],[budget]])/Table2[[#This Row],[budget]]</f>
        <v>9</v>
      </c>
      <c r="N239" t="str">
        <f t="shared" si="10"/>
        <v>OK</v>
      </c>
      <c r="O239" s="2">
        <f t="shared" si="11"/>
        <v>1</v>
      </c>
    </row>
    <row r="240" spans="1:15" x14ac:dyDescent="0.3">
      <c r="A240" t="s">
        <v>258</v>
      </c>
      <c r="B240" s="1">
        <v>45017</v>
      </c>
      <c r="C240" s="1">
        <v>45342</v>
      </c>
      <c r="D240">
        <v>81083.98</v>
      </c>
      <c r="E240" s="2">
        <f>(Table2[[#This Row],[revenue]]-Table2[[#This Row],[budget]])/Table2[[#This Row],[budget]]</f>
        <v>0.18297399806965581</v>
      </c>
      <c r="F240" t="s">
        <v>18</v>
      </c>
      <c r="G240" t="s">
        <v>15</v>
      </c>
      <c r="H240" t="s">
        <v>19</v>
      </c>
      <c r="I240">
        <v>0.9</v>
      </c>
      <c r="J240">
        <v>95920.24</v>
      </c>
      <c r="K240">
        <f>Table2[[#This Row],[revenue]]/Table2[[#This Row],[budget]]</f>
        <v>1.1829739980696559</v>
      </c>
      <c r="L240" s="2">
        <f t="shared" si="9"/>
        <v>95920.24</v>
      </c>
      <c r="M240" s="2">
        <f>(Table2[[#This Row],[Adjusted revenue]]-Table2[[#This Row],[budget]])/Table2[[#This Row],[budget]]</f>
        <v>0.18297399806965581</v>
      </c>
      <c r="N240" t="str">
        <f t="shared" si="10"/>
        <v>Failed</v>
      </c>
      <c r="O240" s="2">
        <f t="shared" si="11"/>
        <v>-0.85621600040638823</v>
      </c>
    </row>
    <row r="241" spans="1:15" x14ac:dyDescent="0.3">
      <c r="A241" t="s">
        <v>259</v>
      </c>
      <c r="B241" s="1">
        <v>44885</v>
      </c>
      <c r="C241" s="1">
        <v>45398</v>
      </c>
      <c r="D241">
        <v>81664.5</v>
      </c>
      <c r="E241" s="2">
        <f>(Table2[[#This Row],[revenue]]-Table2[[#This Row],[budget]])/Table2[[#This Row],[budget]]</f>
        <v>9.5655436572807027</v>
      </c>
      <c r="F241" t="s">
        <v>23</v>
      </c>
      <c r="G241" t="s">
        <v>15</v>
      </c>
      <c r="H241" t="s">
        <v>19</v>
      </c>
      <c r="I241">
        <v>0.3</v>
      </c>
      <c r="J241">
        <v>862829.84</v>
      </c>
      <c r="K241">
        <f>Table2[[#This Row],[revenue]]/Table2[[#This Row],[budget]]</f>
        <v>10.565543657280703</v>
      </c>
      <c r="L241" s="2">
        <f t="shared" si="9"/>
        <v>816645</v>
      </c>
      <c r="M241" s="2">
        <f>(Table2[[#This Row],[Adjusted revenue]]-Table2[[#This Row],[budget]])/Table2[[#This Row],[budget]]</f>
        <v>9</v>
      </c>
      <c r="N241" t="str">
        <f t="shared" si="10"/>
        <v>OK</v>
      </c>
      <c r="O241" s="2">
        <f t="shared" si="11"/>
        <v>1</v>
      </c>
    </row>
    <row r="242" spans="1:15" x14ac:dyDescent="0.3">
      <c r="A242" t="s">
        <v>260</v>
      </c>
      <c r="B242" s="1">
        <v>45064</v>
      </c>
      <c r="C242" s="1">
        <v>45162</v>
      </c>
      <c r="D242">
        <v>78742.39</v>
      </c>
      <c r="E242" s="2">
        <f>(Table2[[#This Row],[revenue]]-Table2[[#This Row],[budget]])/Table2[[#This Row],[budget]]</f>
        <v>-0.86978678193537173</v>
      </c>
      <c r="F242" t="s">
        <v>23</v>
      </c>
      <c r="G242" t="s">
        <v>15</v>
      </c>
      <c r="H242" t="s">
        <v>25</v>
      </c>
      <c r="I242">
        <v>0.79</v>
      </c>
      <c r="J242">
        <v>10253.299999999999</v>
      </c>
      <c r="K242">
        <f>Table2[[#This Row],[revenue]]/Table2[[#This Row],[budget]]</f>
        <v>0.13021321806462821</v>
      </c>
      <c r="L242" s="2">
        <f t="shared" si="9"/>
        <v>39371.195</v>
      </c>
      <c r="M242" s="2">
        <f>(Table2[[#This Row],[Adjusted revenue]]-Table2[[#This Row],[budget]])/Table2[[#This Row],[budget]]</f>
        <v>-0.5</v>
      </c>
      <c r="N242" t="str">
        <f t="shared" si="10"/>
        <v>Failed</v>
      </c>
      <c r="O242" s="2">
        <f t="shared" si="11"/>
        <v>-1</v>
      </c>
    </row>
    <row r="243" spans="1:15" x14ac:dyDescent="0.3">
      <c r="A243" t="s">
        <v>261</v>
      </c>
      <c r="B243" s="1">
        <v>44847</v>
      </c>
      <c r="C243" s="1">
        <v>45417</v>
      </c>
      <c r="D243">
        <v>1580.69</v>
      </c>
      <c r="E243" s="2">
        <f>(Table2[[#This Row],[revenue]]-Table2[[#This Row],[budget]])/Table2[[#This Row],[budget]]</f>
        <v>150.064294706742</v>
      </c>
      <c r="F243" t="s">
        <v>18</v>
      </c>
      <c r="G243" t="s">
        <v>12</v>
      </c>
      <c r="H243" t="s">
        <v>13</v>
      </c>
      <c r="I243">
        <v>0.17</v>
      </c>
      <c r="J243">
        <v>238785.82</v>
      </c>
      <c r="K243">
        <f>Table2[[#This Row],[revenue]]/Table2[[#This Row],[budget]]</f>
        <v>151.064294706742</v>
      </c>
      <c r="L243" s="2">
        <f t="shared" si="9"/>
        <v>15806.900000000001</v>
      </c>
      <c r="M243" s="2">
        <f>(Table2[[#This Row],[Adjusted revenue]]-Table2[[#This Row],[budget]])/Table2[[#This Row],[budget]]</f>
        <v>9</v>
      </c>
      <c r="N243" t="str">
        <f t="shared" si="10"/>
        <v>OK</v>
      </c>
      <c r="O243" s="2">
        <f t="shared" si="11"/>
        <v>1</v>
      </c>
    </row>
    <row r="244" spans="1:15" x14ac:dyDescent="0.3">
      <c r="A244" t="s">
        <v>262</v>
      </c>
      <c r="B244" s="1">
        <v>45101</v>
      </c>
      <c r="C244" s="1">
        <v>45422</v>
      </c>
      <c r="D244">
        <v>3889.42</v>
      </c>
      <c r="E244" s="2">
        <f>(Table2[[#This Row],[revenue]]-Table2[[#This Row],[budget]])/Table2[[#This Row],[budget]]</f>
        <v>196.89677895418851</v>
      </c>
      <c r="F244" t="s">
        <v>23</v>
      </c>
      <c r="G244" t="s">
        <v>15</v>
      </c>
      <c r="H244" t="s">
        <v>16</v>
      </c>
      <c r="I244">
        <v>0.2</v>
      </c>
      <c r="J244">
        <v>769703.69</v>
      </c>
      <c r="K244">
        <f>Table2[[#This Row],[revenue]]/Table2[[#This Row],[budget]]</f>
        <v>197.89677895418853</v>
      </c>
      <c r="L244" s="2">
        <f t="shared" si="9"/>
        <v>38894.199999999997</v>
      </c>
      <c r="M244" s="2">
        <f>(Table2[[#This Row],[Adjusted revenue]]-Table2[[#This Row],[budget]])/Table2[[#This Row],[budget]]</f>
        <v>9</v>
      </c>
      <c r="N244" t="str">
        <f t="shared" si="10"/>
        <v>OK</v>
      </c>
      <c r="O244" s="2">
        <f t="shared" si="11"/>
        <v>1</v>
      </c>
    </row>
    <row r="245" spans="1:15" x14ac:dyDescent="0.3">
      <c r="A245" t="s">
        <v>263</v>
      </c>
      <c r="B245" s="1">
        <v>45138</v>
      </c>
      <c r="C245" s="1">
        <v>45419</v>
      </c>
      <c r="D245">
        <v>45499.9</v>
      </c>
      <c r="E245" s="2">
        <f>(Table2[[#This Row],[revenue]]-Table2[[#This Row],[budget]])/Table2[[#This Row],[budget]]</f>
        <v>5.4344486471398845</v>
      </c>
      <c r="F245" t="s">
        <v>23</v>
      </c>
      <c r="G245" t="s">
        <v>15</v>
      </c>
      <c r="H245" t="s">
        <v>13</v>
      </c>
      <c r="I245">
        <v>0.19</v>
      </c>
      <c r="J245">
        <v>292766.77</v>
      </c>
      <c r="K245">
        <f>Table2[[#This Row],[revenue]]/Table2[[#This Row],[budget]]</f>
        <v>6.4344486471398836</v>
      </c>
      <c r="L245" s="2">
        <f t="shared" si="9"/>
        <v>292766.77</v>
      </c>
      <c r="M245" s="2">
        <f>(Table2[[#This Row],[Adjusted revenue]]-Table2[[#This Row],[budget]])/Table2[[#This Row],[budget]]</f>
        <v>5.4344486471398845</v>
      </c>
      <c r="N245" t="str">
        <f t="shared" si="10"/>
        <v>OK</v>
      </c>
      <c r="O245" s="2">
        <f t="shared" si="11"/>
        <v>0.24935760992418632</v>
      </c>
    </row>
    <row r="246" spans="1:15" x14ac:dyDescent="0.3">
      <c r="A246" t="s">
        <v>264</v>
      </c>
      <c r="B246" s="1">
        <v>45109</v>
      </c>
      <c r="C246" s="1">
        <v>45361</v>
      </c>
      <c r="D246">
        <v>98544.63</v>
      </c>
      <c r="E246" s="2">
        <f>(Table2[[#This Row],[revenue]]-Table2[[#This Row],[budget]])/Table2[[#This Row],[budget]]</f>
        <v>7.155125753681352</v>
      </c>
      <c r="F246" t="s">
        <v>18</v>
      </c>
      <c r="G246" t="s">
        <v>15</v>
      </c>
      <c r="H246" t="s">
        <v>25</v>
      </c>
      <c r="I246">
        <v>0.95</v>
      </c>
      <c r="J246">
        <v>803643.85</v>
      </c>
      <c r="K246">
        <f>Table2[[#This Row],[revenue]]/Table2[[#This Row],[budget]]</f>
        <v>8.155125753681352</v>
      </c>
      <c r="L246" s="2">
        <f t="shared" si="9"/>
        <v>803643.85</v>
      </c>
      <c r="M246" s="2">
        <f>(Table2[[#This Row],[Adjusted revenue]]-Table2[[#This Row],[budget]])/Table2[[#This Row],[budget]]</f>
        <v>7.155125753681352</v>
      </c>
      <c r="N246" t="str">
        <f t="shared" si="10"/>
        <v>OK</v>
      </c>
      <c r="O246" s="2">
        <f t="shared" si="11"/>
        <v>0.61160542182765298</v>
      </c>
    </row>
    <row r="247" spans="1:15" x14ac:dyDescent="0.3">
      <c r="A247" t="s">
        <v>265</v>
      </c>
      <c r="B247" s="1">
        <v>44948</v>
      </c>
      <c r="C247" s="1">
        <v>45195</v>
      </c>
      <c r="D247">
        <v>96004.64</v>
      </c>
      <c r="E247" s="2">
        <f>(Table2[[#This Row],[revenue]]-Table2[[#This Row],[budget]])/Table2[[#This Row],[budget]]</f>
        <v>5.1783070068280033</v>
      </c>
      <c r="F247" t="s">
        <v>18</v>
      </c>
      <c r="G247" t="s">
        <v>12</v>
      </c>
      <c r="H247" t="s">
        <v>16</v>
      </c>
      <c r="I247">
        <v>0.33</v>
      </c>
      <c r="J247">
        <v>593146.14</v>
      </c>
      <c r="K247">
        <f>Table2[[#This Row],[revenue]]/Table2[[#This Row],[budget]]</f>
        <v>6.1783070068280033</v>
      </c>
      <c r="L247" s="2">
        <f t="shared" si="9"/>
        <v>593146.14</v>
      </c>
      <c r="M247" s="2">
        <f>(Table2[[#This Row],[Adjusted revenue]]-Table2[[#This Row],[budget]])/Table2[[#This Row],[budget]]</f>
        <v>5.1783070068280033</v>
      </c>
      <c r="N247" t="str">
        <f t="shared" si="10"/>
        <v>OK</v>
      </c>
      <c r="O247" s="2">
        <f t="shared" si="11"/>
        <v>0.19543305406905342</v>
      </c>
    </row>
    <row r="248" spans="1:15" x14ac:dyDescent="0.3">
      <c r="A248" t="s">
        <v>266</v>
      </c>
      <c r="B248" s="1">
        <v>44843</v>
      </c>
      <c r="C248" s="1">
        <v>45222</v>
      </c>
      <c r="D248">
        <v>23192.5</v>
      </c>
      <c r="E248" s="2">
        <f>(Table2[[#This Row],[revenue]]-Table2[[#This Row],[budget]])/Table2[[#This Row],[budget]]</f>
        <v>11.014323595990083</v>
      </c>
      <c r="F248" t="s">
        <v>21</v>
      </c>
      <c r="G248" t="s">
        <v>12</v>
      </c>
      <c r="H248" t="s">
        <v>25</v>
      </c>
      <c r="I248">
        <v>0.53</v>
      </c>
      <c r="J248">
        <v>278642.2</v>
      </c>
      <c r="K248">
        <f>Table2[[#This Row],[revenue]]/Table2[[#This Row],[budget]]</f>
        <v>12.014323595990083</v>
      </c>
      <c r="L248" s="2">
        <f t="shared" si="9"/>
        <v>231925</v>
      </c>
      <c r="M248" s="2">
        <f>(Table2[[#This Row],[Adjusted revenue]]-Table2[[#This Row],[budget]])/Table2[[#This Row],[budget]]</f>
        <v>9</v>
      </c>
      <c r="N248" t="str">
        <f t="shared" si="10"/>
        <v>OK</v>
      </c>
      <c r="O248" s="2">
        <f t="shared" si="11"/>
        <v>1</v>
      </c>
    </row>
    <row r="249" spans="1:15" x14ac:dyDescent="0.3">
      <c r="A249" t="s">
        <v>267</v>
      </c>
      <c r="B249" s="1">
        <v>44801</v>
      </c>
      <c r="C249" s="1">
        <v>45259</v>
      </c>
      <c r="D249">
        <v>28757.86</v>
      </c>
      <c r="E249" s="2">
        <f>(Table2[[#This Row],[revenue]]-Table2[[#This Row],[budget]])/Table2[[#This Row],[budget]]</f>
        <v>6.489227640721527</v>
      </c>
      <c r="F249" t="s">
        <v>11</v>
      </c>
      <c r="G249" t="s">
        <v>15</v>
      </c>
      <c r="H249" t="s">
        <v>25</v>
      </c>
      <c r="I249">
        <v>0.3</v>
      </c>
      <c r="J249">
        <v>215374.16</v>
      </c>
      <c r="K249">
        <f>Table2[[#This Row],[revenue]]/Table2[[#This Row],[budget]]</f>
        <v>7.4892276407215279</v>
      </c>
      <c r="L249" s="2">
        <f t="shared" si="9"/>
        <v>215374.16</v>
      </c>
      <c r="M249" s="2">
        <f>(Table2[[#This Row],[Adjusted revenue]]-Table2[[#This Row],[budget]])/Table2[[#This Row],[budget]]</f>
        <v>6.489227640721527</v>
      </c>
      <c r="N249" t="str">
        <f t="shared" si="10"/>
        <v>OK</v>
      </c>
      <c r="O249" s="2">
        <f t="shared" si="11"/>
        <v>0.47141634541505839</v>
      </c>
    </row>
    <row r="250" spans="1:15" x14ac:dyDescent="0.3">
      <c r="A250" t="s">
        <v>268</v>
      </c>
      <c r="B250" s="1">
        <v>45096</v>
      </c>
      <c r="C250" s="1">
        <v>45262</v>
      </c>
      <c r="D250">
        <v>97448.7</v>
      </c>
      <c r="E250" s="2">
        <f>(Table2[[#This Row],[revenue]]-Table2[[#This Row],[budget]])/Table2[[#This Row],[budget]]</f>
        <v>0.32255104480613911</v>
      </c>
      <c r="F250" t="s">
        <v>11</v>
      </c>
      <c r="G250" t="s">
        <v>15</v>
      </c>
      <c r="H250" t="s">
        <v>19</v>
      </c>
      <c r="I250">
        <v>0.51</v>
      </c>
      <c r="J250">
        <v>128880.88</v>
      </c>
      <c r="K250">
        <f>Table2[[#This Row],[revenue]]/Table2[[#This Row],[budget]]</f>
        <v>1.3225510448061391</v>
      </c>
      <c r="L250" s="2">
        <f t="shared" si="9"/>
        <v>128880.88</v>
      </c>
      <c r="M250" s="2">
        <f>(Table2[[#This Row],[Adjusted revenue]]-Table2[[#This Row],[budget]])/Table2[[#This Row],[budget]]</f>
        <v>0.32255104480613911</v>
      </c>
      <c r="N250" t="str">
        <f t="shared" si="10"/>
        <v>Failed</v>
      </c>
      <c r="O250" s="2">
        <f t="shared" si="11"/>
        <v>-0.82683135898818128</v>
      </c>
    </row>
    <row r="251" spans="1:15" x14ac:dyDescent="0.3">
      <c r="A251" t="s">
        <v>269</v>
      </c>
      <c r="B251" s="1">
        <v>44865</v>
      </c>
      <c r="C251" s="1">
        <v>45400</v>
      </c>
      <c r="D251">
        <v>58194.33</v>
      </c>
      <c r="E251" s="2">
        <f>(Table2[[#This Row],[revenue]]-Table2[[#This Row],[budget]])/Table2[[#This Row],[budget]]</f>
        <v>2.5967278942811101</v>
      </c>
      <c r="F251" t="s">
        <v>23</v>
      </c>
      <c r="G251" t="s">
        <v>15</v>
      </c>
      <c r="H251" t="s">
        <v>13</v>
      </c>
      <c r="I251">
        <v>0.57999999999999996</v>
      </c>
      <c r="J251">
        <v>209309.17</v>
      </c>
      <c r="K251">
        <f>Table2[[#This Row],[revenue]]/Table2[[#This Row],[budget]]</f>
        <v>3.5967278942811096</v>
      </c>
      <c r="L251" s="2">
        <f t="shared" si="9"/>
        <v>209309.17</v>
      </c>
      <c r="M251" s="2">
        <f>(Table2[[#This Row],[Adjusted revenue]]-Table2[[#This Row],[budget]])/Table2[[#This Row],[budget]]</f>
        <v>2.5967278942811101</v>
      </c>
      <c r="N251" t="str">
        <f t="shared" si="10"/>
        <v>OK</v>
      </c>
      <c r="O251" s="2">
        <f t="shared" si="11"/>
        <v>-0.34805728541450309</v>
      </c>
    </row>
    <row r="252" spans="1:15" x14ac:dyDescent="0.3">
      <c r="A252" t="s">
        <v>270</v>
      </c>
      <c r="B252" s="1">
        <v>45125</v>
      </c>
      <c r="C252" s="1">
        <v>45334</v>
      </c>
      <c r="D252">
        <v>36038.699999999997</v>
      </c>
      <c r="E252" s="2">
        <f>(Table2[[#This Row],[revenue]]-Table2[[#This Row],[budget]])/Table2[[#This Row],[budget]]</f>
        <v>6.1439147361031345</v>
      </c>
      <c r="F252" t="s">
        <v>21</v>
      </c>
      <c r="G252" t="s">
        <v>12</v>
      </c>
      <c r="H252" t="s">
        <v>25</v>
      </c>
      <c r="I252">
        <v>0.5</v>
      </c>
      <c r="J252">
        <v>257457.4</v>
      </c>
      <c r="K252">
        <f>Table2[[#This Row],[revenue]]/Table2[[#This Row],[budget]]</f>
        <v>7.1439147361031337</v>
      </c>
      <c r="L252" s="2">
        <f t="shared" si="9"/>
        <v>257457.4</v>
      </c>
      <c r="M252" s="2">
        <f>(Table2[[#This Row],[Adjusted revenue]]-Table2[[#This Row],[budget]])/Table2[[#This Row],[budget]]</f>
        <v>6.1439147361031345</v>
      </c>
      <c r="N252" t="str">
        <f t="shared" si="10"/>
        <v>OK</v>
      </c>
      <c r="O252" s="2">
        <f t="shared" si="11"/>
        <v>0.39871889181118614</v>
      </c>
    </row>
    <row r="253" spans="1:15" x14ac:dyDescent="0.3">
      <c r="A253" t="s">
        <v>271</v>
      </c>
      <c r="B253" s="1">
        <v>45014</v>
      </c>
      <c r="C253" s="1">
        <v>45289</v>
      </c>
      <c r="D253">
        <v>53597.41</v>
      </c>
      <c r="E253" s="2">
        <f>(Table2[[#This Row],[revenue]]-Table2[[#This Row],[budget]])/Table2[[#This Row],[budget]]</f>
        <v>16.151196485054033</v>
      </c>
      <c r="F253" t="s">
        <v>18</v>
      </c>
      <c r="G253" t="s">
        <v>15</v>
      </c>
      <c r="H253" t="s">
        <v>19</v>
      </c>
      <c r="I253">
        <v>0.68</v>
      </c>
      <c r="J253">
        <v>919259.71</v>
      </c>
      <c r="K253">
        <f>Table2[[#This Row],[revenue]]/Table2[[#This Row],[budget]]</f>
        <v>17.151196485054033</v>
      </c>
      <c r="L253" s="2">
        <f t="shared" si="9"/>
        <v>535974.10000000009</v>
      </c>
      <c r="M253" s="2">
        <f>(Table2[[#This Row],[Adjusted revenue]]-Table2[[#This Row],[budget]])/Table2[[#This Row],[budget]]</f>
        <v>9</v>
      </c>
      <c r="N253" t="str">
        <f t="shared" si="10"/>
        <v>OK</v>
      </c>
      <c r="O253" s="2">
        <f t="shared" si="11"/>
        <v>1</v>
      </c>
    </row>
    <row r="254" spans="1:15" x14ac:dyDescent="0.3">
      <c r="A254" t="s">
        <v>272</v>
      </c>
      <c r="B254" s="1">
        <v>45012</v>
      </c>
      <c r="C254" s="1">
        <v>45224</v>
      </c>
      <c r="D254">
        <v>1052.57</v>
      </c>
      <c r="E254" s="2">
        <f>(Table2[[#This Row],[revenue]]-Table2[[#This Row],[budget]])/Table2[[#This Row],[budget]]</f>
        <v>884.75899940146508</v>
      </c>
      <c r="F254" t="s">
        <v>11</v>
      </c>
      <c r="G254" t="s">
        <v>15</v>
      </c>
      <c r="H254" t="s">
        <v>16</v>
      </c>
      <c r="I254">
        <v>0.44</v>
      </c>
      <c r="J254">
        <v>932323.35</v>
      </c>
      <c r="K254">
        <f>Table2[[#This Row],[revenue]]/Table2[[#This Row],[budget]]</f>
        <v>885.75899940146496</v>
      </c>
      <c r="L254" s="2">
        <f t="shared" si="9"/>
        <v>10525.699999999999</v>
      </c>
      <c r="M254" s="2">
        <f>(Table2[[#This Row],[Adjusted revenue]]-Table2[[#This Row],[budget]])/Table2[[#This Row],[budget]]</f>
        <v>9</v>
      </c>
      <c r="N254" t="str">
        <f t="shared" si="10"/>
        <v>OK</v>
      </c>
      <c r="O254" s="2">
        <f t="shared" si="11"/>
        <v>1</v>
      </c>
    </row>
    <row r="255" spans="1:15" x14ac:dyDescent="0.3">
      <c r="A255" t="s">
        <v>273</v>
      </c>
      <c r="B255" s="1">
        <v>45044</v>
      </c>
      <c r="C255" s="1">
        <v>45219</v>
      </c>
      <c r="D255">
        <v>81795.53</v>
      </c>
      <c r="E255" s="2">
        <f>(Table2[[#This Row],[revenue]]-Table2[[#This Row],[budget]])/Table2[[#This Row],[budget]]</f>
        <v>7.6610566616537596</v>
      </c>
      <c r="F255" t="s">
        <v>21</v>
      </c>
      <c r="G255" t="s">
        <v>15</v>
      </c>
      <c r="H255" t="s">
        <v>13</v>
      </c>
      <c r="I255">
        <v>0.98</v>
      </c>
      <c r="J255">
        <v>708435.72</v>
      </c>
      <c r="K255">
        <f>Table2[[#This Row],[revenue]]/Table2[[#This Row],[budget]]</f>
        <v>8.6610566616537596</v>
      </c>
      <c r="L255" s="2">
        <f t="shared" si="9"/>
        <v>708435.72</v>
      </c>
      <c r="M255" s="2">
        <f>(Table2[[#This Row],[Adjusted revenue]]-Table2[[#This Row],[budget]])/Table2[[#This Row],[budget]]</f>
        <v>7.6610566616537596</v>
      </c>
      <c r="N255" t="str">
        <f t="shared" si="10"/>
        <v>OK</v>
      </c>
      <c r="O255" s="2">
        <f t="shared" si="11"/>
        <v>0.71811719192710721</v>
      </c>
    </row>
    <row r="256" spans="1:15" x14ac:dyDescent="0.3">
      <c r="A256" t="s">
        <v>274</v>
      </c>
      <c r="B256" s="1">
        <v>44965</v>
      </c>
      <c r="C256" s="1">
        <v>45164</v>
      </c>
      <c r="D256">
        <v>97675.33</v>
      </c>
      <c r="E256" s="2">
        <f>(Table2[[#This Row],[revenue]]-Table2[[#This Row],[budget]])/Table2[[#This Row],[budget]]</f>
        <v>8.8457815294813944</v>
      </c>
      <c r="F256" t="s">
        <v>11</v>
      </c>
      <c r="G256" t="s">
        <v>12</v>
      </c>
      <c r="H256" t="s">
        <v>13</v>
      </c>
      <c r="I256">
        <v>0.77</v>
      </c>
      <c r="J256">
        <v>961689.96</v>
      </c>
      <c r="K256">
        <f>Table2[[#This Row],[revenue]]/Table2[[#This Row],[budget]]</f>
        <v>9.8457815294813944</v>
      </c>
      <c r="L256" s="2">
        <f t="shared" si="9"/>
        <v>961689.96</v>
      </c>
      <c r="M256" s="2">
        <f>(Table2[[#This Row],[Adjusted revenue]]-Table2[[#This Row],[budget]])/Table2[[#This Row],[budget]]</f>
        <v>8.8457815294813944</v>
      </c>
      <c r="N256" t="str">
        <f t="shared" si="10"/>
        <v>OK</v>
      </c>
      <c r="O256" s="2">
        <f t="shared" si="11"/>
        <v>0.96753295357503033</v>
      </c>
    </row>
    <row r="257" spans="1:15" x14ac:dyDescent="0.3">
      <c r="A257" t="s">
        <v>275</v>
      </c>
      <c r="B257" s="1">
        <v>45011</v>
      </c>
      <c r="C257" s="1">
        <v>45449</v>
      </c>
      <c r="D257">
        <v>32997.589999999997</v>
      </c>
      <c r="E257" s="2">
        <f>(Table2[[#This Row],[revenue]]-Table2[[#This Row],[budget]])/Table2[[#This Row],[budget]]</f>
        <v>3.3934835847102778</v>
      </c>
      <c r="F257" t="s">
        <v>18</v>
      </c>
      <c r="G257" t="s">
        <v>12</v>
      </c>
      <c r="H257" t="s">
        <v>19</v>
      </c>
      <c r="I257">
        <v>0.21</v>
      </c>
      <c r="J257">
        <v>144974.37</v>
      </c>
      <c r="K257">
        <f>Table2[[#This Row],[revenue]]/Table2[[#This Row],[budget]]</f>
        <v>4.3934835847102773</v>
      </c>
      <c r="L257" s="2">
        <f t="shared" si="9"/>
        <v>144974.37</v>
      </c>
      <c r="M257" s="2">
        <f>(Table2[[#This Row],[Adjusted revenue]]-Table2[[#This Row],[budget]])/Table2[[#This Row],[budget]]</f>
        <v>3.3934835847102778</v>
      </c>
      <c r="N257" t="str">
        <f t="shared" si="10"/>
        <v>OK</v>
      </c>
      <c r="O257" s="2">
        <f t="shared" si="11"/>
        <v>-0.180319245324152</v>
      </c>
    </row>
    <row r="258" spans="1:15" x14ac:dyDescent="0.3">
      <c r="A258" t="s">
        <v>276</v>
      </c>
      <c r="B258" s="1">
        <v>44872</v>
      </c>
      <c r="C258" s="1">
        <v>45310</v>
      </c>
      <c r="D258">
        <v>85249.47</v>
      </c>
      <c r="E258" s="2">
        <f>(Table2[[#This Row],[revenue]]-Table2[[#This Row],[budget]])/Table2[[#This Row],[budget]]</f>
        <v>-0.5936374736405986</v>
      </c>
      <c r="F258" t="s">
        <v>23</v>
      </c>
      <c r="G258" t="s">
        <v>12</v>
      </c>
      <c r="H258" t="s">
        <v>19</v>
      </c>
      <c r="I258">
        <v>0.9</v>
      </c>
      <c r="J258">
        <v>34642.19</v>
      </c>
      <c r="K258">
        <f>Table2[[#This Row],[revenue]]/Table2[[#This Row],[budget]]</f>
        <v>0.40636252635940145</v>
      </c>
      <c r="L258" s="2">
        <f t="shared" ref="L258:L321" si="12">MIN(MAX(J258, D258*0.5), D258*10)</f>
        <v>42624.735000000001</v>
      </c>
      <c r="M258" s="2">
        <f>(Table2[[#This Row],[Adjusted revenue]]-Table2[[#This Row],[budget]])/Table2[[#This Row],[budget]]</f>
        <v>-0.5</v>
      </c>
      <c r="N258" t="str">
        <f t="shared" ref="N258:N321" si="13">IF(M258&lt;0.5,"Failed",IF(M258&gt;10,"Suspicious","OK"))</f>
        <v>Failed</v>
      </c>
      <c r="O258" s="2">
        <f t="shared" ref="O258:O321" si="14">((M258 - (-0.5)) / (9 - (-0.5))) * (1 - (-1)) + (-1)</f>
        <v>-1</v>
      </c>
    </row>
    <row r="259" spans="1:15" x14ac:dyDescent="0.3">
      <c r="A259" t="s">
        <v>277</v>
      </c>
      <c r="B259" s="1">
        <v>44866</v>
      </c>
      <c r="C259" s="1">
        <v>45502</v>
      </c>
      <c r="D259">
        <v>8645.67</v>
      </c>
      <c r="E259" s="2">
        <f>(Table2[[#This Row],[revenue]]-Table2[[#This Row],[budget]])/Table2[[#This Row],[budget]]</f>
        <v>110.21773673989406</v>
      </c>
      <c r="F259" t="s">
        <v>11</v>
      </c>
      <c r="G259" t="s">
        <v>12</v>
      </c>
      <c r="H259" t="s">
        <v>19</v>
      </c>
      <c r="I259">
        <v>0.37</v>
      </c>
      <c r="J259">
        <v>961551.85</v>
      </c>
      <c r="K259">
        <f>Table2[[#This Row],[revenue]]/Table2[[#This Row],[budget]]</f>
        <v>111.21773673989406</v>
      </c>
      <c r="L259" s="2">
        <f t="shared" si="12"/>
        <v>86456.7</v>
      </c>
      <c r="M259" s="2">
        <f>(Table2[[#This Row],[Adjusted revenue]]-Table2[[#This Row],[budget]])/Table2[[#This Row],[budget]]</f>
        <v>9</v>
      </c>
      <c r="N259" t="str">
        <f t="shared" si="13"/>
        <v>OK</v>
      </c>
      <c r="O259" s="2">
        <f t="shared" si="14"/>
        <v>1</v>
      </c>
    </row>
    <row r="260" spans="1:15" x14ac:dyDescent="0.3">
      <c r="A260" t="s">
        <v>278</v>
      </c>
      <c r="B260" s="1">
        <v>44935</v>
      </c>
      <c r="C260" s="1">
        <v>45502</v>
      </c>
      <c r="D260">
        <v>7952.59</v>
      </c>
      <c r="E260" s="2">
        <f>(Table2[[#This Row],[revenue]]-Table2[[#This Row],[budget]])/Table2[[#This Row],[budget]]</f>
        <v>78.563843980388782</v>
      </c>
      <c r="F260" t="s">
        <v>11</v>
      </c>
      <c r="G260" t="s">
        <v>15</v>
      </c>
      <c r="H260" t="s">
        <v>13</v>
      </c>
      <c r="I260">
        <v>0.64</v>
      </c>
      <c r="J260">
        <v>632738.63</v>
      </c>
      <c r="K260">
        <f>Table2[[#This Row],[revenue]]/Table2[[#This Row],[budget]]</f>
        <v>79.563843980388782</v>
      </c>
      <c r="L260" s="2">
        <f t="shared" si="12"/>
        <v>79525.899999999994</v>
      </c>
      <c r="M260" s="2">
        <f>(Table2[[#This Row],[Adjusted revenue]]-Table2[[#This Row],[budget]])/Table2[[#This Row],[budget]]</f>
        <v>9</v>
      </c>
      <c r="N260" t="str">
        <f t="shared" si="13"/>
        <v>OK</v>
      </c>
      <c r="O260" s="2">
        <f t="shared" si="14"/>
        <v>1</v>
      </c>
    </row>
    <row r="261" spans="1:15" x14ac:dyDescent="0.3">
      <c r="A261" t="s">
        <v>279</v>
      </c>
      <c r="B261" s="1">
        <v>45101</v>
      </c>
      <c r="C261" s="1">
        <v>45261</v>
      </c>
      <c r="D261">
        <v>97730.37</v>
      </c>
      <c r="E261" s="2">
        <f>(Table2[[#This Row],[revenue]]-Table2[[#This Row],[budget]])/Table2[[#This Row],[budget]]</f>
        <v>8.2205857810627343</v>
      </c>
      <c r="F261" t="s">
        <v>21</v>
      </c>
      <c r="G261" t="s">
        <v>15</v>
      </c>
      <c r="H261" t="s">
        <v>13</v>
      </c>
      <c r="I261">
        <v>0.34</v>
      </c>
      <c r="J261">
        <v>901131.26</v>
      </c>
      <c r="K261">
        <f>Table2[[#This Row],[revenue]]/Table2[[#This Row],[budget]]</f>
        <v>9.2205857810627343</v>
      </c>
      <c r="L261" s="2">
        <f t="shared" si="12"/>
        <v>901131.26</v>
      </c>
      <c r="M261" s="2">
        <f>(Table2[[#This Row],[Adjusted revenue]]-Table2[[#This Row],[budget]])/Table2[[#This Row],[budget]]</f>
        <v>8.2205857810627343</v>
      </c>
      <c r="N261" t="str">
        <f t="shared" si="13"/>
        <v>OK</v>
      </c>
      <c r="O261" s="2">
        <f t="shared" si="14"/>
        <v>0.83591279601320712</v>
      </c>
    </row>
    <row r="262" spans="1:15" x14ac:dyDescent="0.3">
      <c r="A262" t="s">
        <v>280</v>
      </c>
      <c r="B262" s="1">
        <v>44949</v>
      </c>
      <c r="C262" s="1">
        <v>45157</v>
      </c>
      <c r="D262">
        <v>6626.65</v>
      </c>
      <c r="E262" s="2">
        <f>(Table2[[#This Row],[revenue]]-Table2[[#This Row],[budget]])/Table2[[#This Row],[budget]]</f>
        <v>97.172631721910776</v>
      </c>
      <c r="F262" t="s">
        <v>11</v>
      </c>
      <c r="G262" t="s">
        <v>15</v>
      </c>
      <c r="H262" t="s">
        <v>25</v>
      </c>
      <c r="I262">
        <v>0.78</v>
      </c>
      <c r="J262">
        <v>650555.67000000004</v>
      </c>
      <c r="K262">
        <f>Table2[[#This Row],[revenue]]/Table2[[#This Row],[budget]]</f>
        <v>98.172631721910776</v>
      </c>
      <c r="L262" s="2">
        <f t="shared" si="12"/>
        <v>66266.5</v>
      </c>
      <c r="M262" s="2">
        <f>(Table2[[#This Row],[Adjusted revenue]]-Table2[[#This Row],[budget]])/Table2[[#This Row],[budget]]</f>
        <v>9</v>
      </c>
      <c r="N262" t="str">
        <f t="shared" si="13"/>
        <v>OK</v>
      </c>
      <c r="O262" s="2">
        <f t="shared" si="14"/>
        <v>1</v>
      </c>
    </row>
    <row r="263" spans="1:15" x14ac:dyDescent="0.3">
      <c r="A263" t="s">
        <v>281</v>
      </c>
      <c r="B263" s="1">
        <v>44796</v>
      </c>
      <c r="C263" s="1">
        <v>45468</v>
      </c>
      <c r="D263">
        <v>59892.4</v>
      </c>
      <c r="E263" s="2">
        <f>(Table2[[#This Row],[revenue]]-Table2[[#This Row],[budget]])/Table2[[#This Row],[budget]]</f>
        <v>14.231491641677406</v>
      </c>
      <c r="F263" t="s">
        <v>11</v>
      </c>
      <c r="G263" t="s">
        <v>15</v>
      </c>
      <c r="H263" t="s">
        <v>25</v>
      </c>
      <c r="I263">
        <v>0.37</v>
      </c>
      <c r="J263">
        <v>912250.59</v>
      </c>
      <c r="K263">
        <f>Table2[[#This Row],[revenue]]/Table2[[#This Row],[budget]]</f>
        <v>15.231491641677406</v>
      </c>
      <c r="L263" s="2">
        <f t="shared" si="12"/>
        <v>598924</v>
      </c>
      <c r="M263" s="2">
        <f>(Table2[[#This Row],[Adjusted revenue]]-Table2[[#This Row],[budget]])/Table2[[#This Row],[budget]]</f>
        <v>9</v>
      </c>
      <c r="N263" t="str">
        <f t="shared" si="13"/>
        <v>OK</v>
      </c>
      <c r="O263" s="2">
        <f t="shared" si="14"/>
        <v>1</v>
      </c>
    </row>
    <row r="264" spans="1:15" x14ac:dyDescent="0.3">
      <c r="A264" t="s">
        <v>282</v>
      </c>
      <c r="B264" s="1">
        <v>44920</v>
      </c>
      <c r="C264" s="1">
        <v>45475</v>
      </c>
      <c r="D264">
        <v>37166.31</v>
      </c>
      <c r="E264" s="2">
        <f>(Table2[[#This Row],[revenue]]-Table2[[#This Row],[budget]])/Table2[[#This Row],[budget]]</f>
        <v>14.41203982854365</v>
      </c>
      <c r="F264" t="s">
        <v>21</v>
      </c>
      <c r="G264" t="s">
        <v>12</v>
      </c>
      <c r="H264" t="s">
        <v>25</v>
      </c>
      <c r="I264">
        <v>0.9</v>
      </c>
      <c r="J264">
        <v>572808.65</v>
      </c>
      <c r="K264">
        <f>Table2[[#This Row],[revenue]]/Table2[[#This Row],[budget]]</f>
        <v>15.412039828543648</v>
      </c>
      <c r="L264" s="2">
        <f t="shared" si="12"/>
        <v>371663.1</v>
      </c>
      <c r="M264" s="2">
        <f>(Table2[[#This Row],[Adjusted revenue]]-Table2[[#This Row],[budget]])/Table2[[#This Row],[budget]]</f>
        <v>9</v>
      </c>
      <c r="N264" t="str">
        <f t="shared" si="13"/>
        <v>OK</v>
      </c>
      <c r="O264" s="2">
        <f t="shared" si="14"/>
        <v>1</v>
      </c>
    </row>
    <row r="265" spans="1:15" x14ac:dyDescent="0.3">
      <c r="A265" t="s">
        <v>283</v>
      </c>
      <c r="B265" s="1">
        <v>45133</v>
      </c>
      <c r="C265" s="1">
        <v>45326</v>
      </c>
      <c r="D265">
        <v>56570.94</v>
      </c>
      <c r="E265" s="2">
        <f>(Table2[[#This Row],[revenue]]-Table2[[#This Row],[budget]])/Table2[[#This Row],[budget]]</f>
        <v>0.47509763846950398</v>
      </c>
      <c r="F265" t="s">
        <v>18</v>
      </c>
      <c r="G265" t="s">
        <v>15</v>
      </c>
      <c r="H265" t="s">
        <v>25</v>
      </c>
      <c r="I265">
        <v>0.96</v>
      </c>
      <c r="J265">
        <v>83447.66</v>
      </c>
      <c r="K265">
        <f>Table2[[#This Row],[revenue]]/Table2[[#This Row],[budget]]</f>
        <v>1.475097638469504</v>
      </c>
      <c r="L265" s="2">
        <f t="shared" si="12"/>
        <v>83447.66</v>
      </c>
      <c r="M265" s="2">
        <f>(Table2[[#This Row],[Adjusted revenue]]-Table2[[#This Row],[budget]])/Table2[[#This Row],[budget]]</f>
        <v>0.47509763846950398</v>
      </c>
      <c r="N265" t="str">
        <f t="shared" si="13"/>
        <v>Failed</v>
      </c>
      <c r="O265" s="2">
        <f t="shared" si="14"/>
        <v>-0.79471628663799909</v>
      </c>
    </row>
    <row r="266" spans="1:15" x14ac:dyDescent="0.3">
      <c r="A266" t="s">
        <v>284</v>
      </c>
      <c r="B266" s="1">
        <v>44967</v>
      </c>
      <c r="C266" s="1">
        <v>45192</v>
      </c>
      <c r="D266">
        <v>91764.9</v>
      </c>
      <c r="E266" s="2">
        <f>(Table2[[#This Row],[revenue]]-Table2[[#This Row],[budget]])/Table2[[#This Row],[budget]]</f>
        <v>8.6919349337273832</v>
      </c>
      <c r="F266" t="s">
        <v>21</v>
      </c>
      <c r="G266" t="s">
        <v>15</v>
      </c>
      <c r="H266" t="s">
        <v>13</v>
      </c>
      <c r="I266">
        <v>0.61</v>
      </c>
      <c r="J266">
        <v>889379.44</v>
      </c>
      <c r="K266">
        <f>Table2[[#This Row],[revenue]]/Table2[[#This Row],[budget]]</f>
        <v>9.6919349337273832</v>
      </c>
      <c r="L266" s="2">
        <f t="shared" si="12"/>
        <v>889379.44</v>
      </c>
      <c r="M266" s="2">
        <f>(Table2[[#This Row],[Adjusted revenue]]-Table2[[#This Row],[budget]])/Table2[[#This Row],[budget]]</f>
        <v>8.6919349337273832</v>
      </c>
      <c r="N266" t="str">
        <f t="shared" si="13"/>
        <v>OK</v>
      </c>
      <c r="O266" s="2">
        <f t="shared" si="14"/>
        <v>0.93514419657418602</v>
      </c>
    </row>
    <row r="267" spans="1:15" x14ac:dyDescent="0.3">
      <c r="A267" t="s">
        <v>285</v>
      </c>
      <c r="B267" s="1">
        <v>45080</v>
      </c>
      <c r="C267" s="1">
        <v>45246</v>
      </c>
      <c r="D267">
        <v>91247.27</v>
      </c>
      <c r="E267" s="2">
        <f>(Table2[[#This Row],[revenue]]-Table2[[#This Row],[budget]])/Table2[[#This Row],[budget]]</f>
        <v>5.3478099673557349</v>
      </c>
      <c r="F267" t="s">
        <v>23</v>
      </c>
      <c r="G267" t="s">
        <v>12</v>
      </c>
      <c r="H267" t="s">
        <v>25</v>
      </c>
      <c r="I267">
        <v>0</v>
      </c>
      <c r="J267">
        <v>579220.32999999996</v>
      </c>
      <c r="K267">
        <f>Table2[[#This Row],[revenue]]/Table2[[#This Row],[budget]]</f>
        <v>6.3478099673557349</v>
      </c>
      <c r="L267" s="2">
        <f t="shared" si="12"/>
        <v>579220.32999999996</v>
      </c>
      <c r="M267" s="2">
        <f>(Table2[[#This Row],[Adjusted revenue]]-Table2[[#This Row],[budget]])/Table2[[#This Row],[budget]]</f>
        <v>5.3478099673557349</v>
      </c>
      <c r="N267" t="str">
        <f t="shared" si="13"/>
        <v>OK</v>
      </c>
      <c r="O267" s="2">
        <f t="shared" si="14"/>
        <v>0.23111788786436516</v>
      </c>
    </row>
    <row r="268" spans="1:15" x14ac:dyDescent="0.3">
      <c r="A268" t="s">
        <v>286</v>
      </c>
      <c r="B268" s="1">
        <v>44793</v>
      </c>
      <c r="C268" s="1">
        <v>45340</v>
      </c>
      <c r="D268">
        <v>59201.77</v>
      </c>
      <c r="E268" s="2">
        <f>(Table2[[#This Row],[revenue]]-Table2[[#This Row],[budget]])/Table2[[#This Row],[budget]]</f>
        <v>12.252620149701604</v>
      </c>
      <c r="F268" t="s">
        <v>23</v>
      </c>
      <c r="G268" t="s">
        <v>12</v>
      </c>
      <c r="H268" t="s">
        <v>16</v>
      </c>
      <c r="I268">
        <v>0.65</v>
      </c>
      <c r="J268">
        <v>784578.57</v>
      </c>
      <c r="K268">
        <f>Table2[[#This Row],[revenue]]/Table2[[#This Row],[budget]]</f>
        <v>13.252620149701604</v>
      </c>
      <c r="L268" s="2">
        <f t="shared" si="12"/>
        <v>592017.69999999995</v>
      </c>
      <c r="M268" s="2">
        <f>(Table2[[#This Row],[Adjusted revenue]]-Table2[[#This Row],[budget]])/Table2[[#This Row],[budget]]</f>
        <v>9</v>
      </c>
      <c r="N268" t="str">
        <f t="shared" si="13"/>
        <v>OK</v>
      </c>
      <c r="O268" s="2">
        <f t="shared" si="14"/>
        <v>1</v>
      </c>
    </row>
    <row r="269" spans="1:15" x14ac:dyDescent="0.3">
      <c r="A269" t="s">
        <v>287</v>
      </c>
      <c r="B269" s="1">
        <v>45003</v>
      </c>
      <c r="C269" s="1">
        <v>45472</v>
      </c>
      <c r="D269">
        <v>93497.4</v>
      </c>
      <c r="E269" s="2">
        <f>(Table2[[#This Row],[revenue]]-Table2[[#This Row],[budget]])/Table2[[#This Row],[budget]]</f>
        <v>-0.37615377539910194</v>
      </c>
      <c r="F269" t="s">
        <v>11</v>
      </c>
      <c r="G269" t="s">
        <v>12</v>
      </c>
      <c r="H269" t="s">
        <v>16</v>
      </c>
      <c r="I269">
        <v>0.37</v>
      </c>
      <c r="J269">
        <v>58328</v>
      </c>
      <c r="K269">
        <f>Table2[[#This Row],[revenue]]/Table2[[#This Row],[budget]]</f>
        <v>0.623846224600898</v>
      </c>
      <c r="L269" s="2">
        <f t="shared" si="12"/>
        <v>58328</v>
      </c>
      <c r="M269" s="2">
        <f>(Table2[[#This Row],[Adjusted revenue]]-Table2[[#This Row],[budget]])/Table2[[#This Row],[budget]]</f>
        <v>-0.37615377539910194</v>
      </c>
      <c r="N269" t="str">
        <f t="shared" si="13"/>
        <v>Failed</v>
      </c>
      <c r="O269" s="2">
        <f t="shared" si="14"/>
        <v>-0.97392711061033721</v>
      </c>
    </row>
    <row r="270" spans="1:15" x14ac:dyDescent="0.3">
      <c r="A270" t="s">
        <v>288</v>
      </c>
      <c r="B270" s="1">
        <v>44915</v>
      </c>
      <c r="C270" s="1">
        <v>45205</v>
      </c>
      <c r="D270">
        <v>18364.990000000002</v>
      </c>
      <c r="E270" s="2">
        <f>(Table2[[#This Row],[revenue]]-Table2[[#This Row],[budget]])/Table2[[#This Row],[budget]]</f>
        <v>22.60334201107651</v>
      </c>
      <c r="F270" t="s">
        <v>21</v>
      </c>
      <c r="G270" t="s">
        <v>12</v>
      </c>
      <c r="H270" t="s">
        <v>19</v>
      </c>
      <c r="I270">
        <v>0.85</v>
      </c>
      <c r="J270">
        <v>433475.14</v>
      </c>
      <c r="K270">
        <f>Table2[[#This Row],[revenue]]/Table2[[#This Row],[budget]]</f>
        <v>23.60334201107651</v>
      </c>
      <c r="L270" s="2">
        <f t="shared" si="12"/>
        <v>183649.90000000002</v>
      </c>
      <c r="M270" s="2">
        <f>(Table2[[#This Row],[Adjusted revenue]]-Table2[[#This Row],[budget]])/Table2[[#This Row],[budget]]</f>
        <v>9.0000000000000018</v>
      </c>
      <c r="N270" t="str">
        <f t="shared" si="13"/>
        <v>OK</v>
      </c>
      <c r="O270" s="2">
        <f t="shared" si="14"/>
        <v>1.0000000000000004</v>
      </c>
    </row>
    <row r="271" spans="1:15" x14ac:dyDescent="0.3">
      <c r="A271" t="s">
        <v>289</v>
      </c>
      <c r="B271" s="1">
        <v>45025</v>
      </c>
      <c r="C271" s="1">
        <v>45201</v>
      </c>
      <c r="D271">
        <v>63250.91</v>
      </c>
      <c r="E271" s="2">
        <f>(Table2[[#This Row],[revenue]]-Table2[[#This Row],[budget]])/Table2[[#This Row],[budget]]</f>
        <v>-0.49335653826956799</v>
      </c>
      <c r="F271" t="s">
        <v>11</v>
      </c>
      <c r="G271" t="s">
        <v>15</v>
      </c>
      <c r="H271" t="s">
        <v>19</v>
      </c>
      <c r="I271">
        <v>0.76</v>
      </c>
      <c r="J271">
        <v>32045.66</v>
      </c>
      <c r="K271">
        <f>Table2[[#This Row],[revenue]]/Table2[[#This Row],[budget]]</f>
        <v>0.50664346173043195</v>
      </c>
      <c r="L271" s="2">
        <f t="shared" si="12"/>
        <v>32045.66</v>
      </c>
      <c r="M271" s="2">
        <f>(Table2[[#This Row],[Adjusted revenue]]-Table2[[#This Row],[budget]])/Table2[[#This Row],[budget]]</f>
        <v>-0.49335653826956799</v>
      </c>
      <c r="N271" t="str">
        <f t="shared" si="13"/>
        <v>Failed</v>
      </c>
      <c r="O271" s="2">
        <f t="shared" si="14"/>
        <v>-0.99860137647780378</v>
      </c>
    </row>
    <row r="272" spans="1:15" x14ac:dyDescent="0.3">
      <c r="A272" t="s">
        <v>290</v>
      </c>
      <c r="B272" s="1">
        <v>45050</v>
      </c>
      <c r="C272" s="1">
        <v>45279</v>
      </c>
      <c r="D272">
        <v>52277.41</v>
      </c>
      <c r="E272" s="2">
        <f>(Table2[[#This Row],[revenue]]-Table2[[#This Row],[budget]])/Table2[[#This Row],[budget]]</f>
        <v>15.037568999688391</v>
      </c>
      <c r="F272" t="s">
        <v>21</v>
      </c>
      <c r="G272" t="s">
        <v>15</v>
      </c>
      <c r="H272" t="s">
        <v>16</v>
      </c>
      <c r="I272">
        <v>0.84</v>
      </c>
      <c r="J272">
        <v>838402.57</v>
      </c>
      <c r="K272">
        <f>Table2[[#This Row],[revenue]]/Table2[[#This Row],[budget]]</f>
        <v>16.037568999688393</v>
      </c>
      <c r="L272" s="2">
        <f t="shared" si="12"/>
        <v>522774.10000000003</v>
      </c>
      <c r="M272" s="2">
        <f>(Table2[[#This Row],[Adjusted revenue]]-Table2[[#This Row],[budget]])/Table2[[#This Row],[budget]]</f>
        <v>9</v>
      </c>
      <c r="N272" t="str">
        <f t="shared" si="13"/>
        <v>OK</v>
      </c>
      <c r="O272" s="2">
        <f t="shared" si="14"/>
        <v>1</v>
      </c>
    </row>
    <row r="273" spans="1:15" x14ac:dyDescent="0.3">
      <c r="A273" t="s">
        <v>291</v>
      </c>
      <c r="B273" s="1">
        <v>44821</v>
      </c>
      <c r="C273" s="1">
        <v>45498</v>
      </c>
      <c r="D273">
        <v>41022.86</v>
      </c>
      <c r="E273" s="2">
        <f>(Table2[[#This Row],[revenue]]-Table2[[#This Row],[budget]])/Table2[[#This Row],[budget]]</f>
        <v>12.495975170916898</v>
      </c>
      <c r="F273" t="s">
        <v>11</v>
      </c>
      <c r="G273" t="s">
        <v>12</v>
      </c>
      <c r="H273" t="s">
        <v>16</v>
      </c>
      <c r="I273">
        <v>0.53</v>
      </c>
      <c r="J273">
        <v>553643.5</v>
      </c>
      <c r="K273">
        <f>Table2[[#This Row],[revenue]]/Table2[[#This Row],[budget]]</f>
        <v>13.495975170916898</v>
      </c>
      <c r="L273" s="2">
        <f t="shared" si="12"/>
        <v>410228.6</v>
      </c>
      <c r="M273" s="2">
        <f>(Table2[[#This Row],[Adjusted revenue]]-Table2[[#This Row],[budget]])/Table2[[#This Row],[budget]]</f>
        <v>9</v>
      </c>
      <c r="N273" t="str">
        <f t="shared" si="13"/>
        <v>OK</v>
      </c>
      <c r="O273" s="2">
        <f t="shared" si="14"/>
        <v>1</v>
      </c>
    </row>
    <row r="274" spans="1:15" x14ac:dyDescent="0.3">
      <c r="A274" t="s">
        <v>292</v>
      </c>
      <c r="B274" s="1">
        <v>45006</v>
      </c>
      <c r="C274" s="1">
        <v>45210</v>
      </c>
      <c r="D274">
        <v>69490.13</v>
      </c>
      <c r="E274" s="2">
        <f>(Table2[[#This Row],[revenue]]-Table2[[#This Row],[budget]])/Table2[[#This Row],[budget]]</f>
        <v>8.937552282604738</v>
      </c>
      <c r="F274" t="s">
        <v>11</v>
      </c>
      <c r="G274" t="s">
        <v>15</v>
      </c>
      <c r="H274" t="s">
        <v>19</v>
      </c>
      <c r="I274">
        <v>0.5</v>
      </c>
      <c r="J274">
        <v>690561.8</v>
      </c>
      <c r="K274">
        <f>Table2[[#This Row],[revenue]]/Table2[[#This Row],[budget]]</f>
        <v>9.937552282604738</v>
      </c>
      <c r="L274" s="2">
        <f t="shared" si="12"/>
        <v>690561.8</v>
      </c>
      <c r="M274" s="2">
        <f>(Table2[[#This Row],[Adjusted revenue]]-Table2[[#This Row],[budget]])/Table2[[#This Row],[budget]]</f>
        <v>8.937552282604738</v>
      </c>
      <c r="N274" t="str">
        <f t="shared" si="13"/>
        <v>OK</v>
      </c>
      <c r="O274" s="2">
        <f t="shared" si="14"/>
        <v>0.98685311212731319</v>
      </c>
    </row>
    <row r="275" spans="1:15" x14ac:dyDescent="0.3">
      <c r="A275" t="s">
        <v>293</v>
      </c>
      <c r="B275" s="1">
        <v>44883</v>
      </c>
      <c r="C275" s="1">
        <v>45420</v>
      </c>
      <c r="D275">
        <v>16205.28</v>
      </c>
      <c r="E275" s="2">
        <f>(Table2[[#This Row],[revenue]]-Table2[[#This Row],[budget]])/Table2[[#This Row],[budget]]</f>
        <v>38.028592532804119</v>
      </c>
      <c r="F275" t="s">
        <v>11</v>
      </c>
      <c r="G275" t="s">
        <v>12</v>
      </c>
      <c r="H275" t="s">
        <v>25</v>
      </c>
      <c r="I275">
        <v>0.86</v>
      </c>
      <c r="J275">
        <v>632469.27</v>
      </c>
      <c r="K275">
        <f>Table2[[#This Row],[revenue]]/Table2[[#This Row],[budget]]</f>
        <v>39.028592532804126</v>
      </c>
      <c r="L275" s="2">
        <f t="shared" si="12"/>
        <v>162052.80000000002</v>
      </c>
      <c r="M275" s="2">
        <f>(Table2[[#This Row],[Adjusted revenue]]-Table2[[#This Row],[budget]])/Table2[[#This Row],[budget]]</f>
        <v>9</v>
      </c>
      <c r="N275" t="str">
        <f t="shared" si="13"/>
        <v>OK</v>
      </c>
      <c r="O275" s="2">
        <f t="shared" si="14"/>
        <v>1</v>
      </c>
    </row>
    <row r="276" spans="1:15" x14ac:dyDescent="0.3">
      <c r="A276" t="s">
        <v>294</v>
      </c>
      <c r="B276" s="1">
        <v>44930</v>
      </c>
      <c r="C276" s="1">
        <v>45449</v>
      </c>
      <c r="D276">
        <v>71575.570000000007</v>
      </c>
      <c r="E276" s="2">
        <f>(Table2[[#This Row],[revenue]]-Table2[[#This Row],[budget]])/Table2[[#This Row],[budget]]</f>
        <v>3.1218104165988474</v>
      </c>
      <c r="F276" t="s">
        <v>11</v>
      </c>
      <c r="G276" t="s">
        <v>15</v>
      </c>
      <c r="H276" t="s">
        <v>16</v>
      </c>
      <c r="I276">
        <v>0.81</v>
      </c>
      <c r="J276">
        <v>295020.93</v>
      </c>
      <c r="K276">
        <f>Table2[[#This Row],[revenue]]/Table2[[#This Row],[budget]]</f>
        <v>4.1218104165988478</v>
      </c>
      <c r="L276" s="2">
        <f t="shared" si="12"/>
        <v>295020.93</v>
      </c>
      <c r="M276" s="2">
        <f>(Table2[[#This Row],[Adjusted revenue]]-Table2[[#This Row],[budget]])/Table2[[#This Row],[budget]]</f>
        <v>3.1218104165988474</v>
      </c>
      <c r="N276" t="str">
        <f t="shared" si="13"/>
        <v>OK</v>
      </c>
      <c r="O276" s="2">
        <f t="shared" si="14"/>
        <v>-0.23751359650550585</v>
      </c>
    </row>
    <row r="277" spans="1:15" x14ac:dyDescent="0.3">
      <c r="A277" t="s">
        <v>295</v>
      </c>
      <c r="B277" s="1">
        <v>44817</v>
      </c>
      <c r="C277" s="1">
        <v>45193</v>
      </c>
      <c r="D277">
        <v>78034.3</v>
      </c>
      <c r="E277" s="2">
        <f>(Table2[[#This Row],[revenue]]-Table2[[#This Row],[budget]])/Table2[[#This Row],[budget]]</f>
        <v>8.2131478080792668</v>
      </c>
      <c r="F277" t="s">
        <v>18</v>
      </c>
      <c r="G277" t="s">
        <v>12</v>
      </c>
      <c r="H277" t="s">
        <v>19</v>
      </c>
      <c r="I277">
        <v>0.36</v>
      </c>
      <c r="J277">
        <v>718941.54</v>
      </c>
      <c r="K277">
        <f>Table2[[#This Row],[revenue]]/Table2[[#This Row],[budget]]</f>
        <v>9.2131478080792686</v>
      </c>
      <c r="L277" s="2">
        <f t="shared" si="12"/>
        <v>718941.54</v>
      </c>
      <c r="M277" s="2">
        <f>(Table2[[#This Row],[Adjusted revenue]]-Table2[[#This Row],[budget]])/Table2[[#This Row],[budget]]</f>
        <v>8.2131478080792668</v>
      </c>
      <c r="N277" t="str">
        <f t="shared" si="13"/>
        <v>OK</v>
      </c>
      <c r="O277" s="2">
        <f t="shared" si="14"/>
        <v>0.83434690696405611</v>
      </c>
    </row>
    <row r="278" spans="1:15" x14ac:dyDescent="0.3">
      <c r="A278" t="s">
        <v>296</v>
      </c>
      <c r="B278" s="1">
        <v>45046</v>
      </c>
      <c r="C278" s="1">
        <v>45347</v>
      </c>
      <c r="D278">
        <v>87156.45</v>
      </c>
      <c r="E278" s="2">
        <f>(Table2[[#This Row],[revenue]]-Table2[[#This Row],[budget]])/Table2[[#This Row],[budget]]</f>
        <v>9.314571669681361E-2</v>
      </c>
      <c r="F278" t="s">
        <v>23</v>
      </c>
      <c r="G278" t="s">
        <v>15</v>
      </c>
      <c r="H278" t="s">
        <v>25</v>
      </c>
      <c r="I278">
        <v>0.99</v>
      </c>
      <c r="J278">
        <v>95274.7</v>
      </c>
      <c r="K278">
        <f>Table2[[#This Row],[revenue]]/Table2[[#This Row],[budget]]</f>
        <v>1.0931457166968137</v>
      </c>
      <c r="L278" s="2">
        <f t="shared" si="12"/>
        <v>95274.7</v>
      </c>
      <c r="M278" s="2">
        <f>(Table2[[#This Row],[Adjusted revenue]]-Table2[[#This Row],[budget]])/Table2[[#This Row],[budget]]</f>
        <v>9.314571669681361E-2</v>
      </c>
      <c r="N278" t="str">
        <f t="shared" si="13"/>
        <v>Failed</v>
      </c>
      <c r="O278" s="2">
        <f t="shared" si="14"/>
        <v>-0.87512721753751288</v>
      </c>
    </row>
    <row r="279" spans="1:15" x14ac:dyDescent="0.3">
      <c r="A279" t="s">
        <v>297</v>
      </c>
      <c r="B279" s="1">
        <v>45129</v>
      </c>
      <c r="C279" s="1">
        <v>45226</v>
      </c>
      <c r="D279">
        <v>28984.240000000002</v>
      </c>
      <c r="E279" s="2">
        <f>(Table2[[#This Row],[revenue]]-Table2[[#This Row],[budget]])/Table2[[#This Row],[budget]]</f>
        <v>6.7425121376306567</v>
      </c>
      <c r="F279" t="s">
        <v>21</v>
      </c>
      <c r="G279" t="s">
        <v>15</v>
      </c>
      <c r="H279" t="s">
        <v>19</v>
      </c>
      <c r="I279">
        <v>0.93</v>
      </c>
      <c r="J279">
        <v>224410.83</v>
      </c>
      <c r="K279">
        <f>Table2[[#This Row],[revenue]]/Table2[[#This Row],[budget]]</f>
        <v>7.7425121376306567</v>
      </c>
      <c r="L279" s="2">
        <f t="shared" si="12"/>
        <v>224410.83</v>
      </c>
      <c r="M279" s="2">
        <f>(Table2[[#This Row],[Adjusted revenue]]-Table2[[#This Row],[budget]])/Table2[[#This Row],[budget]]</f>
        <v>6.7425121376306567</v>
      </c>
      <c r="N279" t="str">
        <f t="shared" si="13"/>
        <v>OK</v>
      </c>
      <c r="O279" s="2">
        <f t="shared" si="14"/>
        <v>0.52473939739592779</v>
      </c>
    </row>
    <row r="280" spans="1:15" x14ac:dyDescent="0.3">
      <c r="A280" t="s">
        <v>298</v>
      </c>
      <c r="B280" s="1">
        <v>44947</v>
      </c>
      <c r="C280" s="1">
        <v>45468</v>
      </c>
      <c r="D280">
        <v>39758.97</v>
      </c>
      <c r="E280" s="2">
        <f>(Table2[[#This Row],[revenue]]-Table2[[#This Row],[budget]])/Table2[[#This Row],[budget]]</f>
        <v>1.0542486387348564</v>
      </c>
      <c r="F280" t="s">
        <v>23</v>
      </c>
      <c r="G280" t="s">
        <v>15</v>
      </c>
      <c r="H280" t="s">
        <v>16</v>
      </c>
      <c r="I280">
        <v>0.56000000000000005</v>
      </c>
      <c r="J280">
        <v>81674.81</v>
      </c>
      <c r="K280">
        <f>Table2[[#This Row],[revenue]]/Table2[[#This Row],[budget]]</f>
        <v>2.0542486387348564</v>
      </c>
      <c r="L280" s="2">
        <f t="shared" si="12"/>
        <v>81674.81</v>
      </c>
      <c r="M280" s="2">
        <f>(Table2[[#This Row],[Adjusted revenue]]-Table2[[#This Row],[budget]])/Table2[[#This Row],[budget]]</f>
        <v>1.0542486387348564</v>
      </c>
      <c r="N280" t="str">
        <f t="shared" si="13"/>
        <v>OK</v>
      </c>
      <c r="O280" s="2">
        <f t="shared" si="14"/>
        <v>-0.67278976026634596</v>
      </c>
    </row>
    <row r="281" spans="1:15" x14ac:dyDescent="0.3">
      <c r="A281" t="s">
        <v>299</v>
      </c>
      <c r="B281" s="1">
        <v>45081</v>
      </c>
      <c r="C281" s="1">
        <v>45479</v>
      </c>
      <c r="D281">
        <v>46618.3</v>
      </c>
      <c r="E281" s="2">
        <f>(Table2[[#This Row],[revenue]]-Table2[[#This Row],[budget]])/Table2[[#This Row],[budget]]</f>
        <v>17.321406614998828</v>
      </c>
      <c r="F281" t="s">
        <v>11</v>
      </c>
      <c r="G281" t="s">
        <v>15</v>
      </c>
      <c r="H281" t="s">
        <v>13</v>
      </c>
      <c r="I281">
        <v>0.23</v>
      </c>
      <c r="J281">
        <v>854112.83</v>
      </c>
      <c r="K281">
        <f>Table2[[#This Row],[revenue]]/Table2[[#This Row],[budget]]</f>
        <v>18.321406614998828</v>
      </c>
      <c r="L281" s="2">
        <f t="shared" si="12"/>
        <v>466183</v>
      </c>
      <c r="M281" s="2">
        <f>(Table2[[#This Row],[Adjusted revenue]]-Table2[[#This Row],[budget]])/Table2[[#This Row],[budget]]</f>
        <v>9</v>
      </c>
      <c r="N281" t="str">
        <f t="shared" si="13"/>
        <v>OK</v>
      </c>
      <c r="O281" s="2">
        <f t="shared" si="14"/>
        <v>1</v>
      </c>
    </row>
    <row r="282" spans="1:15" x14ac:dyDescent="0.3">
      <c r="A282" t="s">
        <v>300</v>
      </c>
      <c r="B282" s="1">
        <v>44962</v>
      </c>
      <c r="C282" s="1">
        <v>45446</v>
      </c>
      <c r="D282">
        <v>96380.65</v>
      </c>
      <c r="E282" s="2">
        <f>(Table2[[#This Row],[revenue]]-Table2[[#This Row],[budget]])/Table2[[#This Row],[budget]]</f>
        <v>-0.63653046539943436</v>
      </c>
      <c r="F282" t="s">
        <v>11</v>
      </c>
      <c r="G282" t="s">
        <v>12</v>
      </c>
      <c r="H282" t="s">
        <v>25</v>
      </c>
      <c r="I282">
        <v>0.18</v>
      </c>
      <c r="J282">
        <v>35031.43</v>
      </c>
      <c r="K282">
        <f>Table2[[#This Row],[revenue]]/Table2[[#This Row],[budget]]</f>
        <v>0.36346953460056558</v>
      </c>
      <c r="L282" s="2">
        <f t="shared" si="12"/>
        <v>48190.324999999997</v>
      </c>
      <c r="M282" s="2">
        <f>(Table2[[#This Row],[Adjusted revenue]]-Table2[[#This Row],[budget]])/Table2[[#This Row],[budget]]</f>
        <v>-0.5</v>
      </c>
      <c r="N282" t="str">
        <f t="shared" si="13"/>
        <v>Failed</v>
      </c>
      <c r="O282" s="2">
        <f t="shared" si="14"/>
        <v>-1</v>
      </c>
    </row>
    <row r="283" spans="1:15" x14ac:dyDescent="0.3">
      <c r="A283" t="s">
        <v>301</v>
      </c>
      <c r="B283" s="1">
        <v>44776</v>
      </c>
      <c r="C283" s="1">
        <v>45234</v>
      </c>
      <c r="D283">
        <v>44406.38</v>
      </c>
      <c r="E283" s="2">
        <f>(Table2[[#This Row],[revenue]]-Table2[[#This Row],[budget]])/Table2[[#This Row],[budget]]</f>
        <v>8.8804077251962443</v>
      </c>
      <c r="F283" t="s">
        <v>11</v>
      </c>
      <c r="G283" t="s">
        <v>12</v>
      </c>
      <c r="H283" t="s">
        <v>16</v>
      </c>
      <c r="I283">
        <v>0.21</v>
      </c>
      <c r="J283">
        <v>438753.14</v>
      </c>
      <c r="K283">
        <f>Table2[[#This Row],[revenue]]/Table2[[#This Row],[budget]]</f>
        <v>9.8804077251962461</v>
      </c>
      <c r="L283" s="2">
        <f t="shared" si="12"/>
        <v>438753.14</v>
      </c>
      <c r="M283" s="2">
        <f>(Table2[[#This Row],[Adjusted revenue]]-Table2[[#This Row],[budget]])/Table2[[#This Row],[budget]]</f>
        <v>8.8804077251962443</v>
      </c>
      <c r="N283" t="str">
        <f t="shared" si="13"/>
        <v>OK</v>
      </c>
      <c r="O283" s="2">
        <f t="shared" si="14"/>
        <v>0.97482267898868291</v>
      </c>
    </row>
    <row r="284" spans="1:15" x14ac:dyDescent="0.3">
      <c r="A284" t="s">
        <v>302</v>
      </c>
      <c r="B284" s="1">
        <v>44832</v>
      </c>
      <c r="C284" s="1">
        <v>45234</v>
      </c>
      <c r="D284">
        <v>31010.799999999999</v>
      </c>
      <c r="E284" s="2">
        <f>(Table2[[#This Row],[revenue]]-Table2[[#This Row],[budget]])/Table2[[#This Row],[budget]]</f>
        <v>23.489700362454368</v>
      </c>
      <c r="F284" t="s">
        <v>11</v>
      </c>
      <c r="G284" t="s">
        <v>12</v>
      </c>
      <c r="H284" t="s">
        <v>25</v>
      </c>
      <c r="I284">
        <v>0.32</v>
      </c>
      <c r="J284">
        <v>759445.2</v>
      </c>
      <c r="K284">
        <f>Table2[[#This Row],[revenue]]/Table2[[#This Row],[budget]]</f>
        <v>24.489700362454371</v>
      </c>
      <c r="L284" s="2">
        <f t="shared" si="12"/>
        <v>310108</v>
      </c>
      <c r="M284" s="2">
        <f>(Table2[[#This Row],[Adjusted revenue]]-Table2[[#This Row],[budget]])/Table2[[#This Row],[budget]]</f>
        <v>9</v>
      </c>
      <c r="N284" t="str">
        <f t="shared" si="13"/>
        <v>OK</v>
      </c>
      <c r="O284" s="2">
        <f t="shared" si="14"/>
        <v>1</v>
      </c>
    </row>
    <row r="285" spans="1:15" x14ac:dyDescent="0.3">
      <c r="A285" t="s">
        <v>303</v>
      </c>
      <c r="B285" s="1">
        <v>45012</v>
      </c>
      <c r="C285" s="1">
        <v>45205</v>
      </c>
      <c r="D285">
        <v>19288.560000000001</v>
      </c>
      <c r="E285" s="2">
        <f>(Table2[[#This Row],[revenue]]-Table2[[#This Row],[budget]])/Table2[[#This Row],[budget]]</f>
        <v>6.2046669113712989</v>
      </c>
      <c r="F285" t="s">
        <v>21</v>
      </c>
      <c r="G285" t="s">
        <v>12</v>
      </c>
      <c r="H285" t="s">
        <v>16</v>
      </c>
      <c r="I285">
        <v>0.44</v>
      </c>
      <c r="J285">
        <v>138967.65</v>
      </c>
      <c r="K285">
        <f>Table2[[#This Row],[revenue]]/Table2[[#This Row],[budget]]</f>
        <v>7.2046669113712989</v>
      </c>
      <c r="L285" s="2">
        <f t="shared" si="12"/>
        <v>138967.65</v>
      </c>
      <c r="M285" s="2">
        <f>(Table2[[#This Row],[Adjusted revenue]]-Table2[[#This Row],[budget]])/Table2[[#This Row],[budget]]</f>
        <v>6.2046669113712989</v>
      </c>
      <c r="N285" t="str">
        <f t="shared" si="13"/>
        <v>OK</v>
      </c>
      <c r="O285" s="2">
        <f t="shared" si="14"/>
        <v>0.41150882344658934</v>
      </c>
    </row>
    <row r="286" spans="1:15" x14ac:dyDescent="0.3">
      <c r="A286" t="s">
        <v>304</v>
      </c>
      <c r="B286" s="1">
        <v>44883</v>
      </c>
      <c r="C286" s="1">
        <v>45471</v>
      </c>
      <c r="D286">
        <v>54317.78</v>
      </c>
      <c r="E286" s="2">
        <f>(Table2[[#This Row],[revenue]]-Table2[[#This Row],[budget]])/Table2[[#This Row],[budget]]</f>
        <v>2.5147152552994618</v>
      </c>
      <c r="F286" t="s">
        <v>23</v>
      </c>
      <c r="G286" t="s">
        <v>15</v>
      </c>
      <c r="H286" t="s">
        <v>19</v>
      </c>
      <c r="I286">
        <v>0.35</v>
      </c>
      <c r="J286">
        <v>190911.53</v>
      </c>
      <c r="K286">
        <f>Table2[[#This Row],[revenue]]/Table2[[#This Row],[budget]]</f>
        <v>3.5147152552994618</v>
      </c>
      <c r="L286" s="2">
        <f t="shared" si="12"/>
        <v>190911.53</v>
      </c>
      <c r="M286" s="2">
        <f>(Table2[[#This Row],[Adjusted revenue]]-Table2[[#This Row],[budget]])/Table2[[#This Row],[budget]]</f>
        <v>2.5147152552994618</v>
      </c>
      <c r="N286" t="str">
        <f t="shared" si="13"/>
        <v>OK</v>
      </c>
      <c r="O286" s="2">
        <f t="shared" si="14"/>
        <v>-0.3653231041474817</v>
      </c>
    </row>
    <row r="287" spans="1:15" x14ac:dyDescent="0.3">
      <c r="A287" t="s">
        <v>305</v>
      </c>
      <c r="B287" s="1">
        <v>45012</v>
      </c>
      <c r="C287" s="1">
        <v>45168</v>
      </c>
      <c r="D287">
        <v>41357.61</v>
      </c>
      <c r="E287" s="2">
        <f>(Table2[[#This Row],[revenue]]-Table2[[#This Row],[budget]])/Table2[[#This Row],[budget]]</f>
        <v>20.035099223576992</v>
      </c>
      <c r="F287" t="s">
        <v>23</v>
      </c>
      <c r="G287" t="s">
        <v>12</v>
      </c>
      <c r="H287" t="s">
        <v>19</v>
      </c>
      <c r="I287">
        <v>0.65</v>
      </c>
      <c r="J287">
        <v>869961.43</v>
      </c>
      <c r="K287">
        <f>Table2[[#This Row],[revenue]]/Table2[[#This Row],[budget]]</f>
        <v>21.035099223576992</v>
      </c>
      <c r="L287" s="2">
        <f t="shared" si="12"/>
        <v>413576.1</v>
      </c>
      <c r="M287" s="2">
        <f>(Table2[[#This Row],[Adjusted revenue]]-Table2[[#This Row],[budget]])/Table2[[#This Row],[budget]]</f>
        <v>9</v>
      </c>
      <c r="N287" t="str">
        <f t="shared" si="13"/>
        <v>OK</v>
      </c>
      <c r="O287" s="2">
        <f t="shared" si="14"/>
        <v>1</v>
      </c>
    </row>
    <row r="288" spans="1:15" x14ac:dyDescent="0.3">
      <c r="A288" t="s">
        <v>306</v>
      </c>
      <c r="B288" s="1">
        <v>44891</v>
      </c>
      <c r="C288" s="1">
        <v>45455</v>
      </c>
      <c r="D288">
        <v>16261.19</v>
      </c>
      <c r="E288" s="2">
        <f>(Table2[[#This Row],[revenue]]-Table2[[#This Row],[budget]])/Table2[[#This Row],[budget]]</f>
        <v>32.637653824843085</v>
      </c>
      <c r="F288" t="s">
        <v>21</v>
      </c>
      <c r="G288" t="s">
        <v>15</v>
      </c>
      <c r="H288" t="s">
        <v>25</v>
      </c>
      <c r="I288">
        <v>0.52</v>
      </c>
      <c r="J288">
        <v>546988.28</v>
      </c>
      <c r="K288">
        <f>Table2[[#This Row],[revenue]]/Table2[[#This Row],[budget]]</f>
        <v>33.637653824843078</v>
      </c>
      <c r="L288" s="2">
        <f t="shared" si="12"/>
        <v>162611.9</v>
      </c>
      <c r="M288" s="2">
        <f>(Table2[[#This Row],[Adjusted revenue]]-Table2[[#This Row],[budget]])/Table2[[#This Row],[budget]]</f>
        <v>9</v>
      </c>
      <c r="N288" t="str">
        <f t="shared" si="13"/>
        <v>OK</v>
      </c>
      <c r="O288" s="2">
        <f t="shared" si="14"/>
        <v>1</v>
      </c>
    </row>
    <row r="289" spans="1:15" x14ac:dyDescent="0.3">
      <c r="A289" t="s">
        <v>307</v>
      </c>
      <c r="B289" s="1">
        <v>44845</v>
      </c>
      <c r="C289" s="1">
        <v>45450</v>
      </c>
      <c r="D289">
        <v>27126.77</v>
      </c>
      <c r="E289" s="2">
        <f>(Table2[[#This Row],[revenue]]-Table2[[#This Row],[budget]])/Table2[[#This Row],[budget]]</f>
        <v>25.757293994087757</v>
      </c>
      <c r="F289" t="s">
        <v>21</v>
      </c>
      <c r="G289" t="s">
        <v>15</v>
      </c>
      <c r="H289" t="s">
        <v>16</v>
      </c>
      <c r="I289">
        <v>0.79</v>
      </c>
      <c r="J289">
        <v>725838.96</v>
      </c>
      <c r="K289">
        <f>Table2[[#This Row],[revenue]]/Table2[[#This Row],[budget]]</f>
        <v>26.757293994087757</v>
      </c>
      <c r="L289" s="2">
        <f t="shared" si="12"/>
        <v>271267.7</v>
      </c>
      <c r="M289" s="2">
        <f>(Table2[[#This Row],[Adjusted revenue]]-Table2[[#This Row],[budget]])/Table2[[#This Row],[budget]]</f>
        <v>9</v>
      </c>
      <c r="N289" t="str">
        <f t="shared" si="13"/>
        <v>OK</v>
      </c>
      <c r="O289" s="2">
        <f t="shared" si="14"/>
        <v>1</v>
      </c>
    </row>
    <row r="290" spans="1:15" x14ac:dyDescent="0.3">
      <c r="A290" t="s">
        <v>308</v>
      </c>
      <c r="B290" s="1">
        <v>45012</v>
      </c>
      <c r="C290" s="1">
        <v>45270</v>
      </c>
      <c r="D290">
        <v>97754.27</v>
      </c>
      <c r="E290" s="2">
        <f>(Table2[[#This Row],[revenue]]-Table2[[#This Row],[budget]])/Table2[[#This Row],[budget]]</f>
        <v>2.7662216699076159</v>
      </c>
      <c r="F290" t="s">
        <v>23</v>
      </c>
      <c r="G290" t="s">
        <v>15</v>
      </c>
      <c r="H290" t="s">
        <v>13</v>
      </c>
      <c r="I290">
        <v>0.56000000000000005</v>
      </c>
      <c r="J290">
        <v>368164.25</v>
      </c>
      <c r="K290">
        <f>Table2[[#This Row],[revenue]]/Table2[[#This Row],[budget]]</f>
        <v>3.7662216699076163</v>
      </c>
      <c r="L290" s="2">
        <f t="shared" si="12"/>
        <v>368164.25</v>
      </c>
      <c r="M290" s="2">
        <f>(Table2[[#This Row],[Adjusted revenue]]-Table2[[#This Row],[budget]])/Table2[[#This Row],[budget]]</f>
        <v>2.7662216699076159</v>
      </c>
      <c r="N290" t="str">
        <f t="shared" si="13"/>
        <v>OK</v>
      </c>
      <c r="O290" s="2">
        <f t="shared" si="14"/>
        <v>-0.31237438528260719</v>
      </c>
    </row>
    <row r="291" spans="1:15" x14ac:dyDescent="0.3">
      <c r="A291" t="s">
        <v>309</v>
      </c>
      <c r="B291" s="1">
        <v>44979</v>
      </c>
      <c r="C291" s="1">
        <v>45140</v>
      </c>
      <c r="D291">
        <v>86507.56</v>
      </c>
      <c r="E291" s="2">
        <f>(Table2[[#This Row],[revenue]]-Table2[[#This Row],[budget]])/Table2[[#This Row],[budget]]</f>
        <v>4.4161295267141973</v>
      </c>
      <c r="F291" t="s">
        <v>11</v>
      </c>
      <c r="G291" t="s">
        <v>15</v>
      </c>
      <c r="H291" t="s">
        <v>19</v>
      </c>
      <c r="I291">
        <v>0.4</v>
      </c>
      <c r="J291">
        <v>468536.15</v>
      </c>
      <c r="K291">
        <f>Table2[[#This Row],[revenue]]/Table2[[#This Row],[budget]]</f>
        <v>5.4161295267141973</v>
      </c>
      <c r="L291" s="2">
        <f t="shared" si="12"/>
        <v>468536.15</v>
      </c>
      <c r="M291" s="2">
        <f>(Table2[[#This Row],[Adjusted revenue]]-Table2[[#This Row],[budget]])/Table2[[#This Row],[budget]]</f>
        <v>4.4161295267141973</v>
      </c>
      <c r="N291" t="str">
        <f t="shared" si="13"/>
        <v>OK</v>
      </c>
      <c r="O291" s="2">
        <f t="shared" si="14"/>
        <v>3.4974637202988879E-2</v>
      </c>
    </row>
    <row r="292" spans="1:15" x14ac:dyDescent="0.3">
      <c r="A292" t="s">
        <v>310</v>
      </c>
      <c r="B292" s="1">
        <v>45060</v>
      </c>
      <c r="C292" s="1">
        <v>45502</v>
      </c>
      <c r="D292">
        <v>75067.13</v>
      </c>
      <c r="E292" s="2">
        <f>(Table2[[#This Row],[revenue]]-Table2[[#This Row],[budget]])/Table2[[#This Row],[budget]]</f>
        <v>11.886573657471651</v>
      </c>
      <c r="F292" t="s">
        <v>18</v>
      </c>
      <c r="G292" t="s">
        <v>15</v>
      </c>
      <c r="H292" t="s">
        <v>16</v>
      </c>
      <c r="I292">
        <v>0.44</v>
      </c>
      <c r="J292">
        <v>967358.1</v>
      </c>
      <c r="K292">
        <f>Table2[[#This Row],[revenue]]/Table2[[#This Row],[budget]]</f>
        <v>12.886573657471651</v>
      </c>
      <c r="L292" s="2">
        <f t="shared" si="12"/>
        <v>750671.3</v>
      </c>
      <c r="M292" s="2">
        <f>(Table2[[#This Row],[Adjusted revenue]]-Table2[[#This Row],[budget]])/Table2[[#This Row],[budget]]</f>
        <v>9</v>
      </c>
      <c r="N292" t="str">
        <f t="shared" si="13"/>
        <v>OK</v>
      </c>
      <c r="O292" s="2">
        <f t="shared" si="14"/>
        <v>1</v>
      </c>
    </row>
    <row r="293" spans="1:15" x14ac:dyDescent="0.3">
      <c r="A293" t="s">
        <v>311</v>
      </c>
      <c r="B293" s="1">
        <v>44945</v>
      </c>
      <c r="C293" s="1">
        <v>45188</v>
      </c>
      <c r="D293">
        <v>46839.92</v>
      </c>
      <c r="E293" s="2">
        <f>(Table2[[#This Row],[revenue]]-Table2[[#This Row],[budget]])/Table2[[#This Row],[budget]]</f>
        <v>2.5868831543691795</v>
      </c>
      <c r="F293" t="s">
        <v>23</v>
      </c>
      <c r="G293" t="s">
        <v>12</v>
      </c>
      <c r="H293" t="s">
        <v>19</v>
      </c>
      <c r="I293">
        <v>0.28000000000000003</v>
      </c>
      <c r="J293">
        <v>168009.32</v>
      </c>
      <c r="K293">
        <f>Table2[[#This Row],[revenue]]/Table2[[#This Row],[budget]]</f>
        <v>3.5868831543691795</v>
      </c>
      <c r="L293" s="2">
        <f t="shared" si="12"/>
        <v>168009.32</v>
      </c>
      <c r="M293" s="2">
        <f>(Table2[[#This Row],[Adjusted revenue]]-Table2[[#This Row],[budget]])/Table2[[#This Row],[budget]]</f>
        <v>2.5868831543691795</v>
      </c>
      <c r="N293" t="str">
        <f t="shared" si="13"/>
        <v>OK</v>
      </c>
      <c r="O293" s="2">
        <f t="shared" si="14"/>
        <v>-0.35012986223806752</v>
      </c>
    </row>
    <row r="294" spans="1:15" x14ac:dyDescent="0.3">
      <c r="A294" t="s">
        <v>312</v>
      </c>
      <c r="B294" s="1">
        <v>44916</v>
      </c>
      <c r="C294" s="1">
        <v>45347</v>
      </c>
      <c r="D294">
        <v>73305.279999999999</v>
      </c>
      <c r="E294" s="2">
        <f>(Table2[[#This Row],[revenue]]-Table2[[#This Row],[budget]])/Table2[[#This Row],[budget]]</f>
        <v>9.5904083580336916</v>
      </c>
      <c r="F294" t="s">
        <v>18</v>
      </c>
      <c r="G294" t="s">
        <v>15</v>
      </c>
      <c r="H294" t="s">
        <v>19</v>
      </c>
      <c r="I294">
        <v>0.48</v>
      </c>
      <c r="J294">
        <v>776332.85</v>
      </c>
      <c r="K294">
        <f>Table2[[#This Row],[revenue]]/Table2[[#This Row],[budget]]</f>
        <v>10.590408358033692</v>
      </c>
      <c r="L294" s="2">
        <f t="shared" si="12"/>
        <v>733052.8</v>
      </c>
      <c r="M294" s="2">
        <f>(Table2[[#This Row],[Adjusted revenue]]-Table2[[#This Row],[budget]])/Table2[[#This Row],[budget]]</f>
        <v>9</v>
      </c>
      <c r="N294" t="str">
        <f t="shared" si="13"/>
        <v>OK</v>
      </c>
      <c r="O294" s="2">
        <f t="shared" si="14"/>
        <v>1</v>
      </c>
    </row>
    <row r="295" spans="1:15" x14ac:dyDescent="0.3">
      <c r="A295" t="s">
        <v>313</v>
      </c>
      <c r="B295" s="1">
        <v>45114</v>
      </c>
      <c r="C295" s="1">
        <v>45427</v>
      </c>
      <c r="D295">
        <v>90612.4</v>
      </c>
      <c r="E295" s="2">
        <f>(Table2[[#This Row],[revenue]]-Table2[[#This Row],[budget]])/Table2[[#This Row],[budget]]</f>
        <v>0.36374215890981815</v>
      </c>
      <c r="F295" t="s">
        <v>11</v>
      </c>
      <c r="G295" t="s">
        <v>12</v>
      </c>
      <c r="H295" t="s">
        <v>13</v>
      </c>
      <c r="I295">
        <v>0.69</v>
      </c>
      <c r="J295">
        <v>123571.95</v>
      </c>
      <c r="K295">
        <f>Table2[[#This Row],[revenue]]/Table2[[#This Row],[budget]]</f>
        <v>1.3637421589098182</v>
      </c>
      <c r="L295" s="2">
        <f t="shared" si="12"/>
        <v>123571.95</v>
      </c>
      <c r="M295" s="2">
        <f>(Table2[[#This Row],[Adjusted revenue]]-Table2[[#This Row],[budget]])/Table2[[#This Row],[budget]]</f>
        <v>0.36374215890981815</v>
      </c>
      <c r="N295" t="str">
        <f t="shared" si="13"/>
        <v>Failed</v>
      </c>
      <c r="O295" s="2">
        <f t="shared" si="14"/>
        <v>-0.81815954549266989</v>
      </c>
    </row>
    <row r="296" spans="1:15" x14ac:dyDescent="0.3">
      <c r="A296" t="s">
        <v>314</v>
      </c>
      <c r="B296" s="1">
        <v>44991</v>
      </c>
      <c r="C296" s="1">
        <v>45382</v>
      </c>
      <c r="D296">
        <v>18541.27</v>
      </c>
      <c r="E296" s="2">
        <f>(Table2[[#This Row],[revenue]]-Table2[[#This Row],[budget]])/Table2[[#This Row],[budget]]</f>
        <v>41.281294647022563</v>
      </c>
      <c r="F296" t="s">
        <v>11</v>
      </c>
      <c r="G296" t="s">
        <v>12</v>
      </c>
      <c r="H296" t="s">
        <v>19</v>
      </c>
      <c r="I296">
        <v>0.71</v>
      </c>
      <c r="J296">
        <v>783948.9</v>
      </c>
      <c r="K296">
        <f>Table2[[#This Row],[revenue]]/Table2[[#This Row],[budget]]</f>
        <v>42.281294647022563</v>
      </c>
      <c r="L296" s="2">
        <f t="shared" si="12"/>
        <v>185412.7</v>
      </c>
      <c r="M296" s="2">
        <f>(Table2[[#This Row],[Adjusted revenue]]-Table2[[#This Row],[budget]])/Table2[[#This Row],[budget]]</f>
        <v>9.0000000000000018</v>
      </c>
      <c r="N296" t="str">
        <f t="shared" si="13"/>
        <v>OK</v>
      </c>
      <c r="O296" s="2">
        <f t="shared" si="14"/>
        <v>1.0000000000000004</v>
      </c>
    </row>
    <row r="297" spans="1:15" x14ac:dyDescent="0.3">
      <c r="A297" t="s">
        <v>315</v>
      </c>
      <c r="B297" s="1">
        <v>44804</v>
      </c>
      <c r="C297" s="1">
        <v>45339</v>
      </c>
      <c r="D297">
        <v>73723.399999999994</v>
      </c>
      <c r="E297" s="2">
        <f>(Table2[[#This Row],[revenue]]-Table2[[#This Row],[budget]])/Table2[[#This Row],[budget]]</f>
        <v>-0.15144431754368343</v>
      </c>
      <c r="F297" t="s">
        <v>21</v>
      </c>
      <c r="G297" t="s">
        <v>15</v>
      </c>
      <c r="H297" t="s">
        <v>16</v>
      </c>
      <c r="I297">
        <v>0.21</v>
      </c>
      <c r="J297">
        <v>62558.41</v>
      </c>
      <c r="K297">
        <f>Table2[[#This Row],[revenue]]/Table2[[#This Row],[budget]]</f>
        <v>0.84855568245631652</v>
      </c>
      <c r="L297" s="2">
        <f t="shared" si="12"/>
        <v>62558.41</v>
      </c>
      <c r="M297" s="2">
        <f>(Table2[[#This Row],[Adjusted revenue]]-Table2[[#This Row],[budget]])/Table2[[#This Row],[budget]]</f>
        <v>-0.15144431754368343</v>
      </c>
      <c r="N297" t="str">
        <f t="shared" si="13"/>
        <v>Failed</v>
      </c>
      <c r="O297" s="2">
        <f t="shared" si="14"/>
        <v>-0.926619856324986</v>
      </c>
    </row>
    <row r="298" spans="1:15" x14ac:dyDescent="0.3">
      <c r="A298" t="s">
        <v>316</v>
      </c>
      <c r="B298" s="1">
        <v>44865</v>
      </c>
      <c r="C298" s="1">
        <v>45501</v>
      </c>
      <c r="D298">
        <v>60705.69</v>
      </c>
      <c r="E298" s="2">
        <f>(Table2[[#This Row],[revenue]]-Table2[[#This Row],[budget]])/Table2[[#This Row],[budget]]</f>
        <v>8.4745705056642944</v>
      </c>
      <c r="F298" t="s">
        <v>21</v>
      </c>
      <c r="G298" t="s">
        <v>12</v>
      </c>
      <c r="H298" t="s">
        <v>25</v>
      </c>
      <c r="I298">
        <v>0.19</v>
      </c>
      <c r="J298">
        <v>575160.34</v>
      </c>
      <c r="K298">
        <f>Table2[[#This Row],[revenue]]/Table2[[#This Row],[budget]]</f>
        <v>9.4745705056642944</v>
      </c>
      <c r="L298" s="2">
        <f t="shared" si="12"/>
        <v>575160.34</v>
      </c>
      <c r="M298" s="2">
        <f>(Table2[[#This Row],[Adjusted revenue]]-Table2[[#This Row],[budget]])/Table2[[#This Row],[budget]]</f>
        <v>8.4745705056642944</v>
      </c>
      <c r="N298" t="str">
        <f t="shared" si="13"/>
        <v>OK</v>
      </c>
      <c r="O298" s="2">
        <f t="shared" si="14"/>
        <v>0.88938326435037784</v>
      </c>
    </row>
    <row r="299" spans="1:15" x14ac:dyDescent="0.3">
      <c r="A299" t="s">
        <v>317</v>
      </c>
      <c r="B299" s="1">
        <v>44804</v>
      </c>
      <c r="C299" s="1">
        <v>45332</v>
      </c>
      <c r="D299">
        <v>14777.5</v>
      </c>
      <c r="E299" s="2">
        <f>(Table2[[#This Row],[revenue]]-Table2[[#This Row],[budget]])/Table2[[#This Row],[budget]]</f>
        <v>57.580602943664353</v>
      </c>
      <c r="F299" t="s">
        <v>11</v>
      </c>
      <c r="G299" t="s">
        <v>15</v>
      </c>
      <c r="H299" t="s">
        <v>16</v>
      </c>
      <c r="I299">
        <v>0.38</v>
      </c>
      <c r="J299">
        <v>865674.86</v>
      </c>
      <c r="K299">
        <f>Table2[[#This Row],[revenue]]/Table2[[#This Row],[budget]]</f>
        <v>58.580602943664353</v>
      </c>
      <c r="L299" s="2">
        <f t="shared" si="12"/>
        <v>147775</v>
      </c>
      <c r="M299" s="2">
        <f>(Table2[[#This Row],[Adjusted revenue]]-Table2[[#This Row],[budget]])/Table2[[#This Row],[budget]]</f>
        <v>9</v>
      </c>
      <c r="N299" t="str">
        <f t="shared" si="13"/>
        <v>OK</v>
      </c>
      <c r="O299" s="2">
        <f t="shared" si="14"/>
        <v>1</v>
      </c>
    </row>
    <row r="300" spans="1:15" x14ac:dyDescent="0.3">
      <c r="A300" t="s">
        <v>318</v>
      </c>
      <c r="B300" s="1">
        <v>45123</v>
      </c>
      <c r="C300" s="1">
        <v>45497</v>
      </c>
      <c r="D300">
        <v>81086.350000000006</v>
      </c>
      <c r="E300" s="2">
        <f>(Table2[[#This Row],[revenue]]-Table2[[#This Row],[budget]])/Table2[[#This Row],[budget]]</f>
        <v>6.3586966240310483</v>
      </c>
      <c r="F300" t="s">
        <v>18</v>
      </c>
      <c r="G300" t="s">
        <v>15</v>
      </c>
      <c r="H300" t="s">
        <v>13</v>
      </c>
      <c r="I300">
        <v>0.32</v>
      </c>
      <c r="J300">
        <v>596689.85</v>
      </c>
      <c r="K300">
        <f>Table2[[#This Row],[revenue]]/Table2[[#This Row],[budget]]</f>
        <v>7.3586966240310474</v>
      </c>
      <c r="L300" s="2">
        <f t="shared" si="12"/>
        <v>596689.85</v>
      </c>
      <c r="M300" s="2">
        <f>(Table2[[#This Row],[Adjusted revenue]]-Table2[[#This Row],[budget]])/Table2[[#This Row],[budget]]</f>
        <v>6.3586966240310483</v>
      </c>
      <c r="N300" t="str">
        <f t="shared" si="13"/>
        <v>OK</v>
      </c>
      <c r="O300" s="2">
        <f t="shared" si="14"/>
        <v>0.44393613137495747</v>
      </c>
    </row>
    <row r="301" spans="1:15" x14ac:dyDescent="0.3">
      <c r="A301" t="s">
        <v>319</v>
      </c>
      <c r="B301" s="1">
        <v>44873</v>
      </c>
      <c r="C301" s="1">
        <v>45176</v>
      </c>
      <c r="D301">
        <v>39534.14</v>
      </c>
      <c r="E301" s="2">
        <f>(Table2[[#This Row],[revenue]]-Table2[[#This Row],[budget]])/Table2[[#This Row],[budget]]</f>
        <v>10.639142776344698</v>
      </c>
      <c r="F301" t="s">
        <v>23</v>
      </c>
      <c r="G301" t="s">
        <v>12</v>
      </c>
      <c r="H301" t="s">
        <v>16</v>
      </c>
      <c r="I301">
        <v>0.49</v>
      </c>
      <c r="J301">
        <v>460143.5</v>
      </c>
      <c r="K301">
        <f>Table2[[#This Row],[revenue]]/Table2[[#This Row],[budget]]</f>
        <v>11.639142776344698</v>
      </c>
      <c r="L301" s="2">
        <f t="shared" si="12"/>
        <v>395341.4</v>
      </c>
      <c r="M301" s="2">
        <f>(Table2[[#This Row],[Adjusted revenue]]-Table2[[#This Row],[budget]])/Table2[[#This Row],[budget]]</f>
        <v>9</v>
      </c>
      <c r="N301" t="str">
        <f t="shared" si="13"/>
        <v>OK</v>
      </c>
      <c r="O301" s="2">
        <f t="shared" si="14"/>
        <v>1</v>
      </c>
    </row>
    <row r="302" spans="1:15" x14ac:dyDescent="0.3">
      <c r="A302" t="s">
        <v>320</v>
      </c>
      <c r="B302" s="1">
        <v>45071</v>
      </c>
      <c r="C302" s="1">
        <v>45286</v>
      </c>
      <c r="D302">
        <v>63786.13</v>
      </c>
      <c r="E302" s="2">
        <f>(Table2[[#This Row],[revenue]]-Table2[[#This Row],[budget]])/Table2[[#This Row],[budget]]</f>
        <v>0.43415378860576742</v>
      </c>
      <c r="F302" t="s">
        <v>18</v>
      </c>
      <c r="G302" t="s">
        <v>15</v>
      </c>
      <c r="H302" t="s">
        <v>13</v>
      </c>
      <c r="I302">
        <v>0.43</v>
      </c>
      <c r="J302">
        <v>91479.12</v>
      </c>
      <c r="K302">
        <f>Table2[[#This Row],[revenue]]/Table2[[#This Row],[budget]]</f>
        <v>1.4341537886057674</v>
      </c>
      <c r="L302" s="2">
        <f t="shared" si="12"/>
        <v>91479.12</v>
      </c>
      <c r="M302" s="2">
        <f>(Table2[[#This Row],[Adjusted revenue]]-Table2[[#This Row],[budget]])/Table2[[#This Row],[budget]]</f>
        <v>0.43415378860576742</v>
      </c>
      <c r="N302" t="str">
        <f t="shared" si="13"/>
        <v>Failed</v>
      </c>
      <c r="O302" s="2">
        <f t="shared" si="14"/>
        <v>-0.80333604450404894</v>
      </c>
    </row>
    <row r="303" spans="1:15" x14ac:dyDescent="0.3">
      <c r="A303" t="s">
        <v>321</v>
      </c>
      <c r="B303" s="1">
        <v>45076</v>
      </c>
      <c r="C303" s="1">
        <v>45386</v>
      </c>
      <c r="D303">
        <v>63889.54</v>
      </c>
      <c r="E303" s="2">
        <f>(Table2[[#This Row],[revenue]]-Table2[[#This Row],[budget]])/Table2[[#This Row],[budget]]</f>
        <v>14.411134749131078</v>
      </c>
      <c r="F303" t="s">
        <v>21</v>
      </c>
      <c r="G303" t="s">
        <v>15</v>
      </c>
      <c r="H303" t="s">
        <v>19</v>
      </c>
      <c r="I303">
        <v>0.95</v>
      </c>
      <c r="J303">
        <v>984610.31</v>
      </c>
      <c r="K303">
        <f>Table2[[#This Row],[revenue]]/Table2[[#This Row],[budget]]</f>
        <v>15.41113474913108</v>
      </c>
      <c r="L303" s="2">
        <f t="shared" si="12"/>
        <v>638895.4</v>
      </c>
      <c r="M303" s="2">
        <f>(Table2[[#This Row],[Adjusted revenue]]-Table2[[#This Row],[budget]])/Table2[[#This Row],[budget]]</f>
        <v>9</v>
      </c>
      <c r="N303" t="str">
        <f t="shared" si="13"/>
        <v>OK</v>
      </c>
      <c r="O303" s="2">
        <f t="shared" si="14"/>
        <v>1</v>
      </c>
    </row>
    <row r="304" spans="1:15" x14ac:dyDescent="0.3">
      <c r="A304" t="s">
        <v>322</v>
      </c>
      <c r="B304" s="1">
        <v>44878</v>
      </c>
      <c r="C304" s="1">
        <v>45257</v>
      </c>
      <c r="D304">
        <v>14378.29</v>
      </c>
      <c r="E304" s="2">
        <f>(Table2[[#This Row],[revenue]]-Table2[[#This Row],[budget]])/Table2[[#This Row],[budget]]</f>
        <v>46.975096482265968</v>
      </c>
      <c r="F304" t="s">
        <v>23</v>
      </c>
      <c r="G304" t="s">
        <v>12</v>
      </c>
      <c r="H304" t="s">
        <v>13</v>
      </c>
      <c r="I304">
        <v>0.59</v>
      </c>
      <c r="J304">
        <v>689799.85</v>
      </c>
      <c r="K304">
        <f>Table2[[#This Row],[revenue]]/Table2[[#This Row],[budget]]</f>
        <v>47.975096482265968</v>
      </c>
      <c r="L304" s="2">
        <f t="shared" si="12"/>
        <v>143782.90000000002</v>
      </c>
      <c r="M304" s="2">
        <f>(Table2[[#This Row],[Adjusted revenue]]-Table2[[#This Row],[budget]])/Table2[[#This Row],[budget]]</f>
        <v>9</v>
      </c>
      <c r="N304" t="str">
        <f t="shared" si="13"/>
        <v>OK</v>
      </c>
      <c r="O304" s="2">
        <f t="shared" si="14"/>
        <v>1</v>
      </c>
    </row>
    <row r="305" spans="1:15" x14ac:dyDescent="0.3">
      <c r="A305" t="s">
        <v>323</v>
      </c>
      <c r="B305" s="1">
        <v>44796</v>
      </c>
      <c r="C305" s="1">
        <v>45154</v>
      </c>
      <c r="D305">
        <v>57635.88</v>
      </c>
      <c r="E305" s="2">
        <f>(Table2[[#This Row],[revenue]]-Table2[[#This Row],[budget]])/Table2[[#This Row],[budget]]</f>
        <v>2.340309022782336</v>
      </c>
      <c r="F305" t="s">
        <v>21</v>
      </c>
      <c r="G305" t="s">
        <v>12</v>
      </c>
      <c r="H305" t="s">
        <v>13</v>
      </c>
      <c r="I305">
        <v>0.16</v>
      </c>
      <c r="J305">
        <v>192521.65</v>
      </c>
      <c r="K305">
        <f>Table2[[#This Row],[revenue]]/Table2[[#This Row],[budget]]</f>
        <v>3.3403090227823364</v>
      </c>
      <c r="L305" s="2">
        <f t="shared" si="12"/>
        <v>192521.65</v>
      </c>
      <c r="M305" s="2">
        <f>(Table2[[#This Row],[Adjusted revenue]]-Table2[[#This Row],[budget]])/Table2[[#This Row],[budget]]</f>
        <v>2.340309022782336</v>
      </c>
      <c r="N305" t="str">
        <f t="shared" si="13"/>
        <v>OK</v>
      </c>
      <c r="O305" s="2">
        <f t="shared" si="14"/>
        <v>-0.40204020573003452</v>
      </c>
    </row>
    <row r="306" spans="1:15" x14ac:dyDescent="0.3">
      <c r="A306" t="s">
        <v>324</v>
      </c>
      <c r="B306" s="1">
        <v>44879</v>
      </c>
      <c r="C306" s="1">
        <v>45165</v>
      </c>
      <c r="D306">
        <v>78080.7</v>
      </c>
      <c r="E306" s="2">
        <f>(Table2[[#This Row],[revenue]]-Table2[[#This Row],[budget]])/Table2[[#This Row],[budget]]</f>
        <v>3.7794380685623974</v>
      </c>
      <c r="F306" t="s">
        <v>23</v>
      </c>
      <c r="G306" t="s">
        <v>12</v>
      </c>
      <c r="H306" t="s">
        <v>16</v>
      </c>
      <c r="I306">
        <v>0.6</v>
      </c>
      <c r="J306">
        <v>373181.87</v>
      </c>
      <c r="K306">
        <f>Table2[[#This Row],[revenue]]/Table2[[#This Row],[budget]]</f>
        <v>4.7794380685623974</v>
      </c>
      <c r="L306" s="2">
        <f t="shared" si="12"/>
        <v>373181.87</v>
      </c>
      <c r="M306" s="2">
        <f>(Table2[[#This Row],[Adjusted revenue]]-Table2[[#This Row],[budget]])/Table2[[#This Row],[budget]]</f>
        <v>3.7794380685623974</v>
      </c>
      <c r="N306" t="str">
        <f t="shared" si="13"/>
        <v>OK</v>
      </c>
      <c r="O306" s="2">
        <f t="shared" si="14"/>
        <v>-9.9065669776337351E-2</v>
      </c>
    </row>
    <row r="307" spans="1:15" x14ac:dyDescent="0.3">
      <c r="A307" t="s">
        <v>325</v>
      </c>
      <c r="B307" s="1">
        <v>44954</v>
      </c>
      <c r="C307" s="1">
        <v>45483</v>
      </c>
      <c r="D307">
        <v>95263.32</v>
      </c>
      <c r="E307" s="2">
        <f>(Table2[[#This Row],[revenue]]-Table2[[#This Row],[budget]])/Table2[[#This Row],[budget]]</f>
        <v>2.7019039437214656</v>
      </c>
      <c r="F307" t="s">
        <v>18</v>
      </c>
      <c r="G307" t="s">
        <v>12</v>
      </c>
      <c r="H307" t="s">
        <v>16</v>
      </c>
      <c r="I307">
        <v>0.33</v>
      </c>
      <c r="J307">
        <v>352655.66</v>
      </c>
      <c r="K307">
        <f>Table2[[#This Row],[revenue]]/Table2[[#This Row],[budget]]</f>
        <v>3.7019039437214656</v>
      </c>
      <c r="L307" s="2">
        <f t="shared" si="12"/>
        <v>352655.66</v>
      </c>
      <c r="M307" s="2">
        <f>(Table2[[#This Row],[Adjusted revenue]]-Table2[[#This Row],[budget]])/Table2[[#This Row],[budget]]</f>
        <v>2.7019039437214656</v>
      </c>
      <c r="N307" t="str">
        <f t="shared" si="13"/>
        <v>OK</v>
      </c>
      <c r="O307" s="2">
        <f t="shared" si="14"/>
        <v>-0.32591495921653357</v>
      </c>
    </row>
    <row r="308" spans="1:15" x14ac:dyDescent="0.3">
      <c r="A308" t="s">
        <v>326</v>
      </c>
      <c r="B308" s="1">
        <v>44980</v>
      </c>
      <c r="C308" s="1">
        <v>45262</v>
      </c>
      <c r="D308">
        <v>54198.81</v>
      </c>
      <c r="E308" s="2">
        <f>(Table2[[#This Row],[revenue]]-Table2[[#This Row],[budget]])/Table2[[#This Row],[budget]]</f>
        <v>13.481328833603543</v>
      </c>
      <c r="F308" t="s">
        <v>21</v>
      </c>
      <c r="G308" t="s">
        <v>15</v>
      </c>
      <c r="H308" t="s">
        <v>25</v>
      </c>
      <c r="I308">
        <v>0.4</v>
      </c>
      <c r="J308">
        <v>784870.79</v>
      </c>
      <c r="K308">
        <f>Table2[[#This Row],[revenue]]/Table2[[#This Row],[budget]]</f>
        <v>14.481328833603543</v>
      </c>
      <c r="L308" s="2">
        <f t="shared" si="12"/>
        <v>541988.1</v>
      </c>
      <c r="M308" s="2">
        <f>(Table2[[#This Row],[Adjusted revenue]]-Table2[[#This Row],[budget]])/Table2[[#This Row],[budget]]</f>
        <v>9</v>
      </c>
      <c r="N308" t="str">
        <f t="shared" si="13"/>
        <v>OK</v>
      </c>
      <c r="O308" s="2">
        <f t="shared" si="14"/>
        <v>1</v>
      </c>
    </row>
    <row r="309" spans="1:15" x14ac:dyDescent="0.3">
      <c r="A309" t="s">
        <v>327</v>
      </c>
      <c r="B309" s="1">
        <v>44893</v>
      </c>
      <c r="C309" s="1">
        <v>45373</v>
      </c>
      <c r="D309">
        <v>65189.68</v>
      </c>
      <c r="E309" s="2">
        <f>(Table2[[#This Row],[revenue]]-Table2[[#This Row],[budget]])/Table2[[#This Row],[budget]]</f>
        <v>11.522377775132506</v>
      </c>
      <c r="F309" t="s">
        <v>18</v>
      </c>
      <c r="G309" t="s">
        <v>15</v>
      </c>
      <c r="H309" t="s">
        <v>25</v>
      </c>
      <c r="I309">
        <v>0.5</v>
      </c>
      <c r="J309">
        <v>816329.8</v>
      </c>
      <c r="K309">
        <f>Table2[[#This Row],[revenue]]/Table2[[#This Row],[budget]]</f>
        <v>12.522377775132506</v>
      </c>
      <c r="L309" s="2">
        <f t="shared" si="12"/>
        <v>651896.80000000005</v>
      </c>
      <c r="M309" s="2">
        <f>(Table2[[#This Row],[Adjusted revenue]]-Table2[[#This Row],[budget]])/Table2[[#This Row],[budget]]</f>
        <v>9</v>
      </c>
      <c r="N309" t="str">
        <f t="shared" si="13"/>
        <v>OK</v>
      </c>
      <c r="O309" s="2">
        <f t="shared" si="14"/>
        <v>1</v>
      </c>
    </row>
    <row r="310" spans="1:15" x14ac:dyDescent="0.3">
      <c r="A310" t="s">
        <v>328</v>
      </c>
      <c r="B310" s="1">
        <v>44934</v>
      </c>
      <c r="C310" s="1">
        <v>45472</v>
      </c>
      <c r="D310">
        <v>85772.21</v>
      </c>
      <c r="E310" s="2">
        <f>(Table2[[#This Row],[revenue]]-Table2[[#This Row],[budget]])/Table2[[#This Row],[budget]]</f>
        <v>7.8110220081772397</v>
      </c>
      <c r="F310" t="s">
        <v>18</v>
      </c>
      <c r="G310" t="s">
        <v>12</v>
      </c>
      <c r="H310" t="s">
        <v>13</v>
      </c>
      <c r="I310">
        <v>0.86</v>
      </c>
      <c r="J310">
        <v>755740.83</v>
      </c>
      <c r="K310">
        <f>Table2[[#This Row],[revenue]]/Table2[[#This Row],[budget]]</f>
        <v>8.8110220081772397</v>
      </c>
      <c r="L310" s="2">
        <f t="shared" si="12"/>
        <v>755740.83</v>
      </c>
      <c r="M310" s="2">
        <f>(Table2[[#This Row],[Adjusted revenue]]-Table2[[#This Row],[budget]])/Table2[[#This Row],[budget]]</f>
        <v>7.8110220081772397</v>
      </c>
      <c r="N310" t="str">
        <f t="shared" si="13"/>
        <v>OK</v>
      </c>
      <c r="O310" s="2">
        <f t="shared" si="14"/>
        <v>0.74968884382678724</v>
      </c>
    </row>
    <row r="311" spans="1:15" x14ac:dyDescent="0.3">
      <c r="A311" t="s">
        <v>329</v>
      </c>
      <c r="B311" s="1">
        <v>44974</v>
      </c>
      <c r="C311" s="1">
        <v>45498</v>
      </c>
      <c r="D311">
        <v>85190.24</v>
      </c>
      <c r="E311" s="2">
        <f>(Table2[[#This Row],[revenue]]-Table2[[#This Row],[budget]])/Table2[[#This Row],[budget]]</f>
        <v>9.5733353961674474</v>
      </c>
      <c r="F311" t="s">
        <v>21</v>
      </c>
      <c r="G311" t="s">
        <v>15</v>
      </c>
      <c r="H311" t="s">
        <v>16</v>
      </c>
      <c r="I311">
        <v>0.48</v>
      </c>
      <c r="J311">
        <v>900744.98</v>
      </c>
      <c r="K311">
        <f>Table2[[#This Row],[revenue]]/Table2[[#This Row],[budget]]</f>
        <v>10.573335396167447</v>
      </c>
      <c r="L311" s="2">
        <f t="shared" si="12"/>
        <v>851902.4</v>
      </c>
      <c r="M311" s="2">
        <f>(Table2[[#This Row],[Adjusted revenue]]-Table2[[#This Row],[budget]])/Table2[[#This Row],[budget]]</f>
        <v>9</v>
      </c>
      <c r="N311" t="str">
        <f t="shared" si="13"/>
        <v>OK</v>
      </c>
      <c r="O311" s="2">
        <f t="shared" si="14"/>
        <v>1</v>
      </c>
    </row>
    <row r="312" spans="1:15" x14ac:dyDescent="0.3">
      <c r="A312" t="s">
        <v>330</v>
      </c>
      <c r="B312" s="1">
        <v>44866</v>
      </c>
      <c r="C312" s="1">
        <v>45158</v>
      </c>
      <c r="D312">
        <v>87931.71</v>
      </c>
      <c r="E312" s="2">
        <f>(Table2[[#This Row],[revenue]]-Table2[[#This Row],[budget]])/Table2[[#This Row],[budget]]</f>
        <v>2.282247325794073</v>
      </c>
      <c r="F312" t="s">
        <v>11</v>
      </c>
      <c r="G312" t="s">
        <v>15</v>
      </c>
      <c r="H312" t="s">
        <v>25</v>
      </c>
      <c r="I312">
        <v>0.77</v>
      </c>
      <c r="J312">
        <v>288613.62</v>
      </c>
      <c r="K312">
        <f>Table2[[#This Row],[revenue]]/Table2[[#This Row],[budget]]</f>
        <v>3.2822473257940734</v>
      </c>
      <c r="L312" s="2">
        <f t="shared" si="12"/>
        <v>288613.62</v>
      </c>
      <c r="M312" s="2">
        <f>(Table2[[#This Row],[Adjusted revenue]]-Table2[[#This Row],[budget]])/Table2[[#This Row],[budget]]</f>
        <v>2.282247325794073</v>
      </c>
      <c r="N312" t="str">
        <f t="shared" si="13"/>
        <v>OK</v>
      </c>
      <c r="O312" s="2">
        <f t="shared" si="14"/>
        <v>-0.41426372088545838</v>
      </c>
    </row>
    <row r="313" spans="1:15" x14ac:dyDescent="0.3">
      <c r="A313" t="s">
        <v>331</v>
      </c>
      <c r="B313" s="1">
        <v>44796</v>
      </c>
      <c r="C313" s="1">
        <v>45406</v>
      </c>
      <c r="D313">
        <v>34658.910000000003</v>
      </c>
      <c r="E313" s="2">
        <f>(Table2[[#This Row],[revenue]]-Table2[[#This Row],[budget]])/Table2[[#This Row],[budget]]</f>
        <v>16.211277850342089</v>
      </c>
      <c r="F313" t="s">
        <v>23</v>
      </c>
      <c r="G313" t="s">
        <v>12</v>
      </c>
      <c r="H313" t="s">
        <v>13</v>
      </c>
      <c r="I313">
        <v>0.59</v>
      </c>
      <c r="J313">
        <v>596524.13</v>
      </c>
      <c r="K313">
        <f>Table2[[#This Row],[revenue]]/Table2[[#This Row],[budget]]</f>
        <v>17.211277850342089</v>
      </c>
      <c r="L313" s="2">
        <f t="shared" si="12"/>
        <v>346589.10000000003</v>
      </c>
      <c r="M313" s="2">
        <f>(Table2[[#This Row],[Adjusted revenue]]-Table2[[#This Row],[budget]])/Table2[[#This Row],[budget]]</f>
        <v>9</v>
      </c>
      <c r="N313" t="str">
        <f t="shared" si="13"/>
        <v>OK</v>
      </c>
      <c r="O313" s="2">
        <f t="shared" si="14"/>
        <v>1</v>
      </c>
    </row>
    <row r="314" spans="1:15" x14ac:dyDescent="0.3">
      <c r="A314" t="s">
        <v>332</v>
      </c>
      <c r="B314" s="1">
        <v>44938</v>
      </c>
      <c r="C314" s="1">
        <v>45319</v>
      </c>
      <c r="D314">
        <v>57845.8</v>
      </c>
      <c r="E314" s="2">
        <f>(Table2[[#This Row],[revenue]]-Table2[[#This Row],[budget]])/Table2[[#This Row],[budget]]</f>
        <v>3.63036970704874</v>
      </c>
      <c r="F314" t="s">
        <v>18</v>
      </c>
      <c r="G314" t="s">
        <v>15</v>
      </c>
      <c r="H314" t="s">
        <v>19</v>
      </c>
      <c r="I314">
        <v>0.7</v>
      </c>
      <c r="J314">
        <v>267847.44</v>
      </c>
      <c r="K314">
        <f>Table2[[#This Row],[revenue]]/Table2[[#This Row],[budget]]</f>
        <v>4.6303697070487395</v>
      </c>
      <c r="L314" s="2">
        <f t="shared" si="12"/>
        <v>267847.44</v>
      </c>
      <c r="M314" s="2">
        <f>(Table2[[#This Row],[Adjusted revenue]]-Table2[[#This Row],[budget]])/Table2[[#This Row],[budget]]</f>
        <v>3.63036970704874</v>
      </c>
      <c r="N314" t="str">
        <f t="shared" si="13"/>
        <v>OK</v>
      </c>
      <c r="O314" s="2">
        <f t="shared" si="14"/>
        <v>-0.13044848272658116</v>
      </c>
    </row>
    <row r="315" spans="1:15" x14ac:dyDescent="0.3">
      <c r="A315" t="s">
        <v>333</v>
      </c>
      <c r="B315" s="1">
        <v>45090</v>
      </c>
      <c r="C315" s="1">
        <v>45304</v>
      </c>
      <c r="D315">
        <v>65653.98</v>
      </c>
      <c r="E315" s="2">
        <f>(Table2[[#This Row],[revenue]]-Table2[[#This Row],[budget]])/Table2[[#This Row],[budget]]</f>
        <v>3.8836420884156606</v>
      </c>
      <c r="F315" t="s">
        <v>23</v>
      </c>
      <c r="G315" t="s">
        <v>15</v>
      </c>
      <c r="H315" t="s">
        <v>19</v>
      </c>
      <c r="I315">
        <v>0.96</v>
      </c>
      <c r="J315">
        <v>320630.53999999998</v>
      </c>
      <c r="K315">
        <f>Table2[[#This Row],[revenue]]/Table2[[#This Row],[budget]]</f>
        <v>4.8836420884156606</v>
      </c>
      <c r="L315" s="2">
        <f t="shared" si="12"/>
        <v>320630.53999999998</v>
      </c>
      <c r="M315" s="2">
        <f>(Table2[[#This Row],[Adjusted revenue]]-Table2[[#This Row],[budget]])/Table2[[#This Row],[budget]]</f>
        <v>3.8836420884156606</v>
      </c>
      <c r="N315" t="str">
        <f t="shared" si="13"/>
        <v>OK</v>
      </c>
      <c r="O315" s="2">
        <f t="shared" si="14"/>
        <v>-7.7127981386176714E-2</v>
      </c>
    </row>
    <row r="316" spans="1:15" x14ac:dyDescent="0.3">
      <c r="A316" t="s">
        <v>334</v>
      </c>
      <c r="B316" s="1">
        <v>45015</v>
      </c>
      <c r="C316" s="1">
        <v>45366</v>
      </c>
      <c r="D316">
        <v>69996.240000000005</v>
      </c>
      <c r="E316" s="2">
        <f>(Table2[[#This Row],[revenue]]-Table2[[#This Row],[budget]])/Table2[[#This Row],[budget]]</f>
        <v>12.376207636295891</v>
      </c>
      <c r="F316" t="s">
        <v>23</v>
      </c>
      <c r="G316" t="s">
        <v>15</v>
      </c>
      <c r="H316" t="s">
        <v>19</v>
      </c>
      <c r="I316">
        <v>0.86</v>
      </c>
      <c r="J316">
        <v>936284.24</v>
      </c>
      <c r="K316">
        <f>Table2[[#This Row],[revenue]]/Table2[[#This Row],[budget]]</f>
        <v>13.376207636295891</v>
      </c>
      <c r="L316" s="2">
        <f t="shared" si="12"/>
        <v>699962.4</v>
      </c>
      <c r="M316" s="2">
        <f>(Table2[[#This Row],[Adjusted revenue]]-Table2[[#This Row],[budget]])/Table2[[#This Row],[budget]]</f>
        <v>9</v>
      </c>
      <c r="N316" t="str">
        <f t="shared" si="13"/>
        <v>OK</v>
      </c>
      <c r="O316" s="2">
        <f t="shared" si="14"/>
        <v>1</v>
      </c>
    </row>
    <row r="317" spans="1:15" x14ac:dyDescent="0.3">
      <c r="A317" t="s">
        <v>335</v>
      </c>
      <c r="B317" s="1">
        <v>45110</v>
      </c>
      <c r="C317" s="1">
        <v>45491</v>
      </c>
      <c r="D317">
        <v>2554.1799999999998</v>
      </c>
      <c r="E317" s="2">
        <f>(Table2[[#This Row],[revenue]]-Table2[[#This Row],[budget]])/Table2[[#This Row],[budget]]</f>
        <v>224.15726769452425</v>
      </c>
      <c r="F317" t="s">
        <v>23</v>
      </c>
      <c r="G317" t="s">
        <v>12</v>
      </c>
      <c r="H317" t="s">
        <v>25</v>
      </c>
      <c r="I317">
        <v>0.33</v>
      </c>
      <c r="J317">
        <v>575092.18999999994</v>
      </c>
      <c r="K317">
        <f>Table2[[#This Row],[revenue]]/Table2[[#This Row],[budget]]</f>
        <v>225.15726769452425</v>
      </c>
      <c r="L317" s="2">
        <f t="shared" si="12"/>
        <v>25541.8</v>
      </c>
      <c r="M317" s="2">
        <f>(Table2[[#This Row],[Adjusted revenue]]-Table2[[#This Row],[budget]])/Table2[[#This Row],[budget]]</f>
        <v>9</v>
      </c>
      <c r="N317" t="str">
        <f t="shared" si="13"/>
        <v>OK</v>
      </c>
      <c r="O317" s="2">
        <f t="shared" si="14"/>
        <v>1</v>
      </c>
    </row>
    <row r="318" spans="1:15" x14ac:dyDescent="0.3">
      <c r="A318" t="s">
        <v>336</v>
      </c>
      <c r="B318" s="1">
        <v>44838</v>
      </c>
      <c r="C318" s="1">
        <v>45207</v>
      </c>
      <c r="D318">
        <v>11294.95</v>
      </c>
      <c r="E318" s="2">
        <f>(Table2[[#This Row],[revenue]]-Table2[[#This Row],[budget]])/Table2[[#This Row],[budget]]</f>
        <v>33.548058203002228</v>
      </c>
      <c r="F318" t="s">
        <v>11</v>
      </c>
      <c r="G318" t="s">
        <v>15</v>
      </c>
      <c r="H318" t="s">
        <v>19</v>
      </c>
      <c r="I318">
        <v>0.95</v>
      </c>
      <c r="J318">
        <v>390218.59</v>
      </c>
      <c r="K318">
        <f>Table2[[#This Row],[revenue]]/Table2[[#This Row],[budget]]</f>
        <v>34.548058203002228</v>
      </c>
      <c r="L318" s="2">
        <f t="shared" si="12"/>
        <v>112949.5</v>
      </c>
      <c r="M318" s="2">
        <f>(Table2[[#This Row],[Adjusted revenue]]-Table2[[#This Row],[budget]])/Table2[[#This Row],[budget]]</f>
        <v>9</v>
      </c>
      <c r="N318" t="str">
        <f t="shared" si="13"/>
        <v>OK</v>
      </c>
      <c r="O318" s="2">
        <f t="shared" si="14"/>
        <v>1</v>
      </c>
    </row>
    <row r="319" spans="1:15" x14ac:dyDescent="0.3">
      <c r="A319" t="s">
        <v>337</v>
      </c>
      <c r="B319" s="1">
        <v>45115</v>
      </c>
      <c r="C319" s="1">
        <v>45256</v>
      </c>
      <c r="D319">
        <v>15971.25</v>
      </c>
      <c r="E319" s="2">
        <f>(Table2[[#This Row],[revenue]]-Table2[[#This Row],[budget]])/Table2[[#This Row],[budget]]</f>
        <v>17.541742193003053</v>
      </c>
      <c r="F319" t="s">
        <v>11</v>
      </c>
      <c r="G319" t="s">
        <v>12</v>
      </c>
      <c r="H319" t="s">
        <v>13</v>
      </c>
      <c r="I319">
        <v>0.85</v>
      </c>
      <c r="J319">
        <v>296134.8</v>
      </c>
      <c r="K319">
        <f>Table2[[#This Row],[revenue]]/Table2[[#This Row],[budget]]</f>
        <v>18.541742193003053</v>
      </c>
      <c r="L319" s="2">
        <f t="shared" si="12"/>
        <v>159712.5</v>
      </c>
      <c r="M319" s="2">
        <f>(Table2[[#This Row],[Adjusted revenue]]-Table2[[#This Row],[budget]])/Table2[[#This Row],[budget]]</f>
        <v>9</v>
      </c>
      <c r="N319" t="str">
        <f t="shared" si="13"/>
        <v>OK</v>
      </c>
      <c r="O319" s="2">
        <f t="shared" si="14"/>
        <v>1</v>
      </c>
    </row>
    <row r="320" spans="1:15" x14ac:dyDescent="0.3">
      <c r="A320" t="s">
        <v>338</v>
      </c>
      <c r="B320" s="1">
        <v>44876</v>
      </c>
      <c r="C320" s="1">
        <v>45412</v>
      </c>
      <c r="D320">
        <v>36838.480000000003</v>
      </c>
      <c r="E320" s="2">
        <f>(Table2[[#This Row],[revenue]]-Table2[[#This Row],[budget]])/Table2[[#This Row],[budget]]</f>
        <v>20.414342557021893</v>
      </c>
      <c r="F320" t="s">
        <v>11</v>
      </c>
      <c r="G320" t="s">
        <v>12</v>
      </c>
      <c r="H320" t="s">
        <v>25</v>
      </c>
      <c r="I320">
        <v>0.72</v>
      </c>
      <c r="J320">
        <v>788871.83</v>
      </c>
      <c r="K320">
        <f>Table2[[#This Row],[revenue]]/Table2[[#This Row],[budget]]</f>
        <v>21.414342557021893</v>
      </c>
      <c r="L320" s="2">
        <f t="shared" si="12"/>
        <v>368384.80000000005</v>
      </c>
      <c r="M320" s="2">
        <f>(Table2[[#This Row],[Adjusted revenue]]-Table2[[#This Row],[budget]])/Table2[[#This Row],[budget]]</f>
        <v>9.0000000000000018</v>
      </c>
      <c r="N320" t="str">
        <f t="shared" si="13"/>
        <v>OK</v>
      </c>
      <c r="O320" s="2">
        <f t="shared" si="14"/>
        <v>1.0000000000000004</v>
      </c>
    </row>
    <row r="321" spans="1:15" x14ac:dyDescent="0.3">
      <c r="A321" t="s">
        <v>339</v>
      </c>
      <c r="B321" s="1">
        <v>45074</v>
      </c>
      <c r="C321" s="1">
        <v>45372</v>
      </c>
      <c r="D321">
        <v>24501.77</v>
      </c>
      <c r="E321" s="2">
        <f>(Table2[[#This Row],[revenue]]-Table2[[#This Row],[budget]])/Table2[[#This Row],[budget]]</f>
        <v>31.188311293429003</v>
      </c>
      <c r="F321" t="s">
        <v>18</v>
      </c>
      <c r="G321" t="s">
        <v>12</v>
      </c>
      <c r="H321" t="s">
        <v>25</v>
      </c>
      <c r="I321">
        <v>0.87</v>
      </c>
      <c r="J321">
        <v>788670.6</v>
      </c>
      <c r="K321">
        <f>Table2[[#This Row],[revenue]]/Table2[[#This Row],[budget]]</f>
        <v>32.188311293429003</v>
      </c>
      <c r="L321" s="2">
        <f t="shared" si="12"/>
        <v>245017.7</v>
      </c>
      <c r="M321" s="2">
        <f>(Table2[[#This Row],[Adjusted revenue]]-Table2[[#This Row],[budget]])/Table2[[#This Row],[budget]]</f>
        <v>9</v>
      </c>
      <c r="N321" t="str">
        <f t="shared" si="13"/>
        <v>OK</v>
      </c>
      <c r="O321" s="2">
        <f t="shared" si="14"/>
        <v>1</v>
      </c>
    </row>
    <row r="322" spans="1:15" x14ac:dyDescent="0.3">
      <c r="A322" t="s">
        <v>340</v>
      </c>
      <c r="B322" s="1">
        <v>45078</v>
      </c>
      <c r="C322" s="1">
        <v>45419</v>
      </c>
      <c r="D322">
        <v>49505.24</v>
      </c>
      <c r="E322" s="2">
        <f>(Table2[[#This Row],[revenue]]-Table2[[#This Row],[budget]])/Table2[[#This Row],[budget]]</f>
        <v>13.216438098270004</v>
      </c>
      <c r="F322" t="s">
        <v>21</v>
      </c>
      <c r="G322" t="s">
        <v>12</v>
      </c>
      <c r="H322" t="s">
        <v>16</v>
      </c>
      <c r="I322">
        <v>0.87</v>
      </c>
      <c r="J322">
        <v>703788.18</v>
      </c>
      <c r="K322">
        <f>Table2[[#This Row],[revenue]]/Table2[[#This Row],[budget]]</f>
        <v>14.216438098270004</v>
      </c>
      <c r="L322" s="2">
        <f t="shared" ref="L322:L385" si="15">MIN(MAX(J322, D322*0.5), D322*10)</f>
        <v>495052.39999999997</v>
      </c>
      <c r="M322" s="2">
        <f>(Table2[[#This Row],[Adjusted revenue]]-Table2[[#This Row],[budget]])/Table2[[#This Row],[budget]]</f>
        <v>9</v>
      </c>
      <c r="N322" t="str">
        <f t="shared" ref="N322:N385" si="16">IF(M322&lt;0.5,"Failed",IF(M322&gt;10,"Suspicious","OK"))</f>
        <v>OK</v>
      </c>
      <c r="O322" s="2">
        <f t="shared" ref="O322:O385" si="17">((M322 - (-0.5)) / (9 - (-0.5))) * (1 - (-1)) + (-1)</f>
        <v>1</v>
      </c>
    </row>
    <row r="323" spans="1:15" x14ac:dyDescent="0.3">
      <c r="A323" t="s">
        <v>341</v>
      </c>
      <c r="B323" s="1">
        <v>44929</v>
      </c>
      <c r="C323" s="1">
        <v>45407</v>
      </c>
      <c r="D323">
        <v>5479.95</v>
      </c>
      <c r="E323" s="2">
        <f>(Table2[[#This Row],[revenue]]-Table2[[#This Row],[budget]])/Table2[[#This Row],[budget]]</f>
        <v>140.44796029160852</v>
      </c>
      <c r="F323" t="s">
        <v>23</v>
      </c>
      <c r="G323" t="s">
        <v>12</v>
      </c>
      <c r="H323" t="s">
        <v>13</v>
      </c>
      <c r="I323">
        <v>0.62</v>
      </c>
      <c r="J323">
        <v>775127.75</v>
      </c>
      <c r="K323">
        <f>Table2[[#This Row],[revenue]]/Table2[[#This Row],[budget]]</f>
        <v>141.4479602916085</v>
      </c>
      <c r="L323" s="2">
        <f t="shared" si="15"/>
        <v>54799.5</v>
      </c>
      <c r="M323" s="2">
        <f>(Table2[[#This Row],[Adjusted revenue]]-Table2[[#This Row],[budget]])/Table2[[#This Row],[budget]]</f>
        <v>9</v>
      </c>
      <c r="N323" t="str">
        <f t="shared" si="16"/>
        <v>OK</v>
      </c>
      <c r="O323" s="2">
        <f t="shared" si="17"/>
        <v>1</v>
      </c>
    </row>
    <row r="324" spans="1:15" x14ac:dyDescent="0.3">
      <c r="A324" t="s">
        <v>342</v>
      </c>
      <c r="B324" s="1">
        <v>44952</v>
      </c>
      <c r="C324" s="1">
        <v>45258</v>
      </c>
      <c r="D324">
        <v>13686.9</v>
      </c>
      <c r="E324" s="2">
        <f>(Table2[[#This Row],[revenue]]-Table2[[#This Row],[budget]])/Table2[[#This Row],[budget]]</f>
        <v>20.798194624056581</v>
      </c>
      <c r="F324" t="s">
        <v>18</v>
      </c>
      <c r="G324" t="s">
        <v>12</v>
      </c>
      <c r="H324" t="s">
        <v>25</v>
      </c>
      <c r="I324">
        <v>0.68</v>
      </c>
      <c r="J324">
        <v>298349.71000000002</v>
      </c>
      <c r="K324">
        <f>Table2[[#This Row],[revenue]]/Table2[[#This Row],[budget]]</f>
        <v>21.798194624056581</v>
      </c>
      <c r="L324" s="2">
        <f t="shared" si="15"/>
        <v>136869</v>
      </c>
      <c r="M324" s="2">
        <f>(Table2[[#This Row],[Adjusted revenue]]-Table2[[#This Row],[budget]])/Table2[[#This Row],[budget]]</f>
        <v>9</v>
      </c>
      <c r="N324" t="str">
        <f t="shared" si="16"/>
        <v>OK</v>
      </c>
      <c r="O324" s="2">
        <f t="shared" si="17"/>
        <v>1</v>
      </c>
    </row>
    <row r="325" spans="1:15" x14ac:dyDescent="0.3">
      <c r="A325" t="s">
        <v>343</v>
      </c>
      <c r="B325" s="1">
        <v>44788</v>
      </c>
      <c r="C325" s="1">
        <v>45302</v>
      </c>
      <c r="D325">
        <v>7306.71</v>
      </c>
      <c r="E325" s="2">
        <f>(Table2[[#This Row],[revenue]]-Table2[[#This Row],[budget]])/Table2[[#This Row],[budget]]</f>
        <v>73.042254311447977</v>
      </c>
      <c r="F325" t="s">
        <v>21</v>
      </c>
      <c r="G325" t="s">
        <v>12</v>
      </c>
      <c r="H325" t="s">
        <v>19</v>
      </c>
      <c r="I325">
        <v>0.97</v>
      </c>
      <c r="J325">
        <v>541005.28</v>
      </c>
      <c r="K325">
        <f>Table2[[#This Row],[revenue]]/Table2[[#This Row],[budget]]</f>
        <v>74.042254311447977</v>
      </c>
      <c r="L325" s="2">
        <f t="shared" si="15"/>
        <v>73067.100000000006</v>
      </c>
      <c r="M325" s="2">
        <f>(Table2[[#This Row],[Adjusted revenue]]-Table2[[#This Row],[budget]])/Table2[[#This Row],[budget]]</f>
        <v>9</v>
      </c>
      <c r="N325" t="str">
        <f t="shared" si="16"/>
        <v>OK</v>
      </c>
      <c r="O325" s="2">
        <f t="shared" si="17"/>
        <v>1</v>
      </c>
    </row>
    <row r="326" spans="1:15" x14ac:dyDescent="0.3">
      <c r="A326" t="s">
        <v>344</v>
      </c>
      <c r="B326" s="1">
        <v>44960</v>
      </c>
      <c r="C326" s="1">
        <v>45248</v>
      </c>
      <c r="D326">
        <v>96168.8</v>
      </c>
      <c r="E326" s="2">
        <f>(Table2[[#This Row],[revenue]]-Table2[[#This Row],[budget]])/Table2[[#This Row],[budget]]</f>
        <v>0.43500501202053043</v>
      </c>
      <c r="F326" t="s">
        <v>11</v>
      </c>
      <c r="G326" t="s">
        <v>15</v>
      </c>
      <c r="H326" t="s">
        <v>16</v>
      </c>
      <c r="I326">
        <v>0.26</v>
      </c>
      <c r="J326">
        <v>138002.71</v>
      </c>
      <c r="K326">
        <f>Table2[[#This Row],[revenue]]/Table2[[#This Row],[budget]]</f>
        <v>1.4350050120205304</v>
      </c>
      <c r="L326" s="2">
        <f t="shared" si="15"/>
        <v>138002.71</v>
      </c>
      <c r="M326" s="2">
        <f>(Table2[[#This Row],[Adjusted revenue]]-Table2[[#This Row],[budget]])/Table2[[#This Row],[budget]]</f>
        <v>0.43500501202053043</v>
      </c>
      <c r="N326" t="str">
        <f t="shared" si="16"/>
        <v>Failed</v>
      </c>
      <c r="O326" s="2">
        <f t="shared" si="17"/>
        <v>-0.80315683957462514</v>
      </c>
    </row>
    <row r="327" spans="1:15" x14ac:dyDescent="0.3">
      <c r="A327" t="s">
        <v>345</v>
      </c>
      <c r="B327" s="1">
        <v>45005</v>
      </c>
      <c r="C327" s="1">
        <v>45280</v>
      </c>
      <c r="D327">
        <v>80398.7</v>
      </c>
      <c r="E327" s="2">
        <f>(Table2[[#This Row],[revenue]]-Table2[[#This Row],[budget]])/Table2[[#This Row],[budget]]</f>
        <v>5.9160385677877878</v>
      </c>
      <c r="F327" t="s">
        <v>23</v>
      </c>
      <c r="G327" t="s">
        <v>12</v>
      </c>
      <c r="H327" t="s">
        <v>19</v>
      </c>
      <c r="I327">
        <v>0.77</v>
      </c>
      <c r="J327">
        <v>556040.51</v>
      </c>
      <c r="K327">
        <f>Table2[[#This Row],[revenue]]/Table2[[#This Row],[budget]]</f>
        <v>6.9160385677877878</v>
      </c>
      <c r="L327" s="2">
        <f t="shared" si="15"/>
        <v>556040.51</v>
      </c>
      <c r="M327" s="2">
        <f>(Table2[[#This Row],[Adjusted revenue]]-Table2[[#This Row],[budget]])/Table2[[#This Row],[budget]]</f>
        <v>5.9160385677877878</v>
      </c>
      <c r="N327" t="str">
        <f t="shared" si="16"/>
        <v>OK</v>
      </c>
      <c r="O327" s="2">
        <f t="shared" si="17"/>
        <v>0.35074496163953417</v>
      </c>
    </row>
    <row r="328" spans="1:15" x14ac:dyDescent="0.3">
      <c r="A328" t="s">
        <v>346</v>
      </c>
      <c r="B328" s="1">
        <v>45130</v>
      </c>
      <c r="C328" s="1">
        <v>45371</v>
      </c>
      <c r="D328">
        <v>7171.11</v>
      </c>
      <c r="E328" s="2">
        <f>(Table2[[#This Row],[revenue]]-Table2[[#This Row],[budget]])/Table2[[#This Row],[budget]]</f>
        <v>33.093971505108698</v>
      </c>
      <c r="F328" t="s">
        <v>18</v>
      </c>
      <c r="G328" t="s">
        <v>15</v>
      </c>
      <c r="H328" t="s">
        <v>25</v>
      </c>
      <c r="I328">
        <v>0.57999999999999996</v>
      </c>
      <c r="J328">
        <v>244491.62</v>
      </c>
      <c r="K328">
        <f>Table2[[#This Row],[revenue]]/Table2[[#This Row],[budget]]</f>
        <v>34.093971505108691</v>
      </c>
      <c r="L328" s="2">
        <f t="shared" si="15"/>
        <v>71711.099999999991</v>
      </c>
      <c r="M328" s="2">
        <f>(Table2[[#This Row],[Adjusted revenue]]-Table2[[#This Row],[budget]])/Table2[[#This Row],[budget]]</f>
        <v>9</v>
      </c>
      <c r="N328" t="str">
        <f t="shared" si="16"/>
        <v>OK</v>
      </c>
      <c r="O328" s="2">
        <f t="shared" si="17"/>
        <v>1</v>
      </c>
    </row>
    <row r="329" spans="1:15" x14ac:dyDescent="0.3">
      <c r="A329" t="s">
        <v>347</v>
      </c>
      <c r="B329" s="1">
        <v>44830</v>
      </c>
      <c r="C329" s="1">
        <v>45497</v>
      </c>
      <c r="D329">
        <v>40458.71</v>
      </c>
      <c r="E329" s="2">
        <f>(Table2[[#This Row],[revenue]]-Table2[[#This Row],[budget]])/Table2[[#This Row],[budget]]</f>
        <v>17.511469100225888</v>
      </c>
      <c r="F329" t="s">
        <v>11</v>
      </c>
      <c r="G329" t="s">
        <v>12</v>
      </c>
      <c r="H329" t="s">
        <v>13</v>
      </c>
      <c r="I329">
        <v>0.6</v>
      </c>
      <c r="J329">
        <v>748950.16</v>
      </c>
      <c r="K329">
        <f>Table2[[#This Row],[revenue]]/Table2[[#This Row],[budget]]</f>
        <v>18.511469100225884</v>
      </c>
      <c r="L329" s="2">
        <f t="shared" si="15"/>
        <v>404587.1</v>
      </c>
      <c r="M329" s="2">
        <f>(Table2[[#This Row],[Adjusted revenue]]-Table2[[#This Row],[budget]])/Table2[[#This Row],[budget]]</f>
        <v>8.9999999999999982</v>
      </c>
      <c r="N329" t="str">
        <f t="shared" si="16"/>
        <v>OK</v>
      </c>
      <c r="O329" s="2">
        <f t="shared" si="17"/>
        <v>0.99999999999999956</v>
      </c>
    </row>
    <row r="330" spans="1:15" x14ac:dyDescent="0.3">
      <c r="A330" t="s">
        <v>348</v>
      </c>
      <c r="B330" s="1">
        <v>45024</v>
      </c>
      <c r="C330" s="1">
        <v>45338</v>
      </c>
      <c r="D330">
        <v>85035.31</v>
      </c>
      <c r="E330" s="2">
        <f>(Table2[[#This Row],[revenue]]-Table2[[#This Row],[budget]])/Table2[[#This Row],[budget]]</f>
        <v>5.8669056419033456</v>
      </c>
      <c r="F330" t="s">
        <v>21</v>
      </c>
      <c r="G330" t="s">
        <v>15</v>
      </c>
      <c r="H330" t="s">
        <v>25</v>
      </c>
      <c r="I330">
        <v>0.69</v>
      </c>
      <c r="J330">
        <v>583929.44999999995</v>
      </c>
      <c r="K330">
        <f>Table2[[#This Row],[revenue]]/Table2[[#This Row],[budget]]</f>
        <v>6.8669056419033456</v>
      </c>
      <c r="L330" s="2">
        <f t="shared" si="15"/>
        <v>583929.44999999995</v>
      </c>
      <c r="M330" s="2">
        <f>(Table2[[#This Row],[Adjusted revenue]]-Table2[[#This Row],[budget]])/Table2[[#This Row],[budget]]</f>
        <v>5.8669056419033456</v>
      </c>
      <c r="N330" t="str">
        <f t="shared" si="16"/>
        <v>OK</v>
      </c>
      <c r="O330" s="2">
        <f t="shared" si="17"/>
        <v>0.34040118776912531</v>
      </c>
    </row>
    <row r="331" spans="1:15" x14ac:dyDescent="0.3">
      <c r="A331" t="s">
        <v>349</v>
      </c>
      <c r="B331" s="1">
        <v>44789</v>
      </c>
      <c r="C331" s="1">
        <v>45272</v>
      </c>
      <c r="D331">
        <v>28881.52</v>
      </c>
      <c r="E331" s="2">
        <f>(Table2[[#This Row],[revenue]]-Table2[[#This Row],[budget]])/Table2[[#This Row],[budget]]</f>
        <v>29.740284791105179</v>
      </c>
      <c r="F331" t="s">
        <v>11</v>
      </c>
      <c r="G331" t="s">
        <v>12</v>
      </c>
      <c r="H331" t="s">
        <v>25</v>
      </c>
      <c r="I331">
        <v>0.74</v>
      </c>
      <c r="J331">
        <v>887826.15</v>
      </c>
      <c r="K331">
        <f>Table2[[#This Row],[revenue]]/Table2[[#This Row],[budget]]</f>
        <v>30.740284791105179</v>
      </c>
      <c r="L331" s="2">
        <f t="shared" si="15"/>
        <v>288815.2</v>
      </c>
      <c r="M331" s="2">
        <f>(Table2[[#This Row],[Adjusted revenue]]-Table2[[#This Row],[budget]])/Table2[[#This Row],[budget]]</f>
        <v>9</v>
      </c>
      <c r="N331" t="str">
        <f t="shared" si="16"/>
        <v>OK</v>
      </c>
      <c r="O331" s="2">
        <f t="shared" si="17"/>
        <v>1</v>
      </c>
    </row>
    <row r="332" spans="1:15" x14ac:dyDescent="0.3">
      <c r="A332" t="s">
        <v>350</v>
      </c>
      <c r="B332" s="1">
        <v>44857</v>
      </c>
      <c r="C332" s="1">
        <v>45153</v>
      </c>
      <c r="D332">
        <v>99891.35</v>
      </c>
      <c r="E332" s="2">
        <f>(Table2[[#This Row],[revenue]]-Table2[[#This Row],[budget]])/Table2[[#This Row],[budget]]</f>
        <v>-0.91718502152588788</v>
      </c>
      <c r="F332" t="s">
        <v>11</v>
      </c>
      <c r="G332" t="s">
        <v>15</v>
      </c>
      <c r="H332" t="s">
        <v>16</v>
      </c>
      <c r="I332">
        <v>0.91</v>
      </c>
      <c r="J332">
        <v>8272.5</v>
      </c>
      <c r="K332">
        <f>Table2[[#This Row],[revenue]]/Table2[[#This Row],[budget]]</f>
        <v>8.2814978474112122E-2</v>
      </c>
      <c r="L332" s="2">
        <f t="shared" si="15"/>
        <v>49945.675000000003</v>
      </c>
      <c r="M332" s="2">
        <f>(Table2[[#This Row],[Adjusted revenue]]-Table2[[#This Row],[budget]])/Table2[[#This Row],[budget]]</f>
        <v>-0.5</v>
      </c>
      <c r="N332" t="str">
        <f t="shared" si="16"/>
        <v>Failed</v>
      </c>
      <c r="O332" s="2">
        <f t="shared" si="17"/>
        <v>-1</v>
      </c>
    </row>
    <row r="333" spans="1:15" x14ac:dyDescent="0.3">
      <c r="A333" t="s">
        <v>351</v>
      </c>
      <c r="B333" s="1">
        <v>44838</v>
      </c>
      <c r="C333" s="1">
        <v>45411</v>
      </c>
      <c r="D333">
        <v>35936.699999999997</v>
      </c>
      <c r="E333" s="2">
        <f>(Table2[[#This Row],[revenue]]-Table2[[#This Row],[budget]])/Table2[[#This Row],[budget]]</f>
        <v>15.020154883447843</v>
      </c>
      <c r="F333" t="s">
        <v>21</v>
      </c>
      <c r="G333" t="s">
        <v>12</v>
      </c>
      <c r="H333" t="s">
        <v>25</v>
      </c>
      <c r="I333">
        <v>0.13</v>
      </c>
      <c r="J333">
        <v>575711.5</v>
      </c>
      <c r="K333">
        <f>Table2[[#This Row],[revenue]]/Table2[[#This Row],[budget]]</f>
        <v>16.020154883447841</v>
      </c>
      <c r="L333" s="2">
        <f t="shared" si="15"/>
        <v>359367</v>
      </c>
      <c r="M333" s="2">
        <f>(Table2[[#This Row],[Adjusted revenue]]-Table2[[#This Row],[budget]])/Table2[[#This Row],[budget]]</f>
        <v>9</v>
      </c>
      <c r="N333" t="str">
        <f t="shared" si="16"/>
        <v>OK</v>
      </c>
      <c r="O333" s="2">
        <f t="shared" si="17"/>
        <v>1</v>
      </c>
    </row>
    <row r="334" spans="1:15" x14ac:dyDescent="0.3">
      <c r="A334" t="s">
        <v>352</v>
      </c>
      <c r="B334" s="1">
        <v>44995</v>
      </c>
      <c r="C334" s="1">
        <v>45495</v>
      </c>
      <c r="D334">
        <v>52088.32</v>
      </c>
      <c r="E334" s="2">
        <f>(Table2[[#This Row],[revenue]]-Table2[[#This Row],[budget]])/Table2[[#This Row],[budget]]</f>
        <v>0.64978233124047768</v>
      </c>
      <c r="F334" t="s">
        <v>18</v>
      </c>
      <c r="G334" t="s">
        <v>12</v>
      </c>
      <c r="H334" t="s">
        <v>25</v>
      </c>
      <c r="I334">
        <v>0.46</v>
      </c>
      <c r="J334">
        <v>85934.39</v>
      </c>
      <c r="K334">
        <f>Table2[[#This Row],[revenue]]/Table2[[#This Row],[budget]]</f>
        <v>1.6497823312404778</v>
      </c>
      <c r="L334" s="2">
        <f t="shared" si="15"/>
        <v>85934.39</v>
      </c>
      <c r="M334" s="2">
        <f>(Table2[[#This Row],[Adjusted revenue]]-Table2[[#This Row],[budget]])/Table2[[#This Row],[budget]]</f>
        <v>0.64978233124047768</v>
      </c>
      <c r="N334" t="str">
        <f t="shared" si="16"/>
        <v>OK</v>
      </c>
      <c r="O334" s="2">
        <f t="shared" si="17"/>
        <v>-0.75794056184410996</v>
      </c>
    </row>
    <row r="335" spans="1:15" x14ac:dyDescent="0.3">
      <c r="A335" t="s">
        <v>353</v>
      </c>
      <c r="B335" s="1">
        <v>44800</v>
      </c>
      <c r="C335" s="1">
        <v>45291</v>
      </c>
      <c r="D335">
        <v>19258.46</v>
      </c>
      <c r="E335" s="2">
        <f>(Table2[[#This Row],[revenue]]-Table2[[#This Row],[budget]])/Table2[[#This Row],[budget]]</f>
        <v>42.02596105815315</v>
      </c>
      <c r="F335" t="s">
        <v>18</v>
      </c>
      <c r="G335" t="s">
        <v>15</v>
      </c>
      <c r="H335" t="s">
        <v>16</v>
      </c>
      <c r="I335">
        <v>0.22</v>
      </c>
      <c r="J335">
        <v>828613.75</v>
      </c>
      <c r="K335">
        <f>Table2[[#This Row],[revenue]]/Table2[[#This Row],[budget]]</f>
        <v>43.025961058153143</v>
      </c>
      <c r="L335" s="2">
        <f t="shared" si="15"/>
        <v>192584.59999999998</v>
      </c>
      <c r="M335" s="2">
        <f>(Table2[[#This Row],[Adjusted revenue]]-Table2[[#This Row],[budget]])/Table2[[#This Row],[budget]]</f>
        <v>9</v>
      </c>
      <c r="N335" t="str">
        <f t="shared" si="16"/>
        <v>OK</v>
      </c>
      <c r="O335" s="2">
        <f t="shared" si="17"/>
        <v>1</v>
      </c>
    </row>
    <row r="336" spans="1:15" x14ac:dyDescent="0.3">
      <c r="A336" t="s">
        <v>354</v>
      </c>
      <c r="B336" s="1">
        <v>45017</v>
      </c>
      <c r="C336" s="1">
        <v>45243</v>
      </c>
      <c r="D336">
        <v>35095.839999999997</v>
      </c>
      <c r="E336" s="2">
        <f>(Table2[[#This Row],[revenue]]-Table2[[#This Row],[budget]])/Table2[[#This Row],[budget]]</f>
        <v>3.3864497900605892</v>
      </c>
      <c r="F336" t="s">
        <v>23</v>
      </c>
      <c r="G336" t="s">
        <v>15</v>
      </c>
      <c r="H336" t="s">
        <v>19</v>
      </c>
      <c r="I336">
        <v>0.26</v>
      </c>
      <c r="J336">
        <v>153946.14000000001</v>
      </c>
      <c r="K336">
        <f>Table2[[#This Row],[revenue]]/Table2[[#This Row],[budget]]</f>
        <v>4.3864497900605892</v>
      </c>
      <c r="L336" s="2">
        <f t="shared" si="15"/>
        <v>153946.14000000001</v>
      </c>
      <c r="M336" s="2">
        <f>(Table2[[#This Row],[Adjusted revenue]]-Table2[[#This Row],[budget]])/Table2[[#This Row],[budget]]</f>
        <v>3.3864497900605892</v>
      </c>
      <c r="N336" t="str">
        <f t="shared" si="16"/>
        <v>OK</v>
      </c>
      <c r="O336" s="2">
        <f t="shared" si="17"/>
        <v>-0.18180004419777074</v>
      </c>
    </row>
    <row r="337" spans="1:15" x14ac:dyDescent="0.3">
      <c r="A337" t="s">
        <v>355</v>
      </c>
      <c r="B337" s="1">
        <v>44826</v>
      </c>
      <c r="C337" s="1">
        <v>45398</v>
      </c>
      <c r="D337">
        <v>89591.74</v>
      </c>
      <c r="E337" s="2">
        <f>(Table2[[#This Row],[revenue]]-Table2[[#This Row],[budget]])/Table2[[#This Row],[budget]]</f>
        <v>6.9018140511614128</v>
      </c>
      <c r="F337" t="s">
        <v>18</v>
      </c>
      <c r="G337" t="s">
        <v>15</v>
      </c>
      <c r="H337" t="s">
        <v>16</v>
      </c>
      <c r="I337">
        <v>0.16</v>
      </c>
      <c r="J337">
        <v>707937.27</v>
      </c>
      <c r="K337">
        <f>Table2[[#This Row],[revenue]]/Table2[[#This Row],[budget]]</f>
        <v>7.9018140511614128</v>
      </c>
      <c r="L337" s="2">
        <f t="shared" si="15"/>
        <v>707937.27</v>
      </c>
      <c r="M337" s="2">
        <f>(Table2[[#This Row],[Adjusted revenue]]-Table2[[#This Row],[budget]])/Table2[[#This Row],[budget]]</f>
        <v>6.9018140511614128</v>
      </c>
      <c r="N337" t="str">
        <f t="shared" si="16"/>
        <v>OK</v>
      </c>
      <c r="O337" s="2">
        <f t="shared" si="17"/>
        <v>0.55827664234977115</v>
      </c>
    </row>
    <row r="338" spans="1:15" x14ac:dyDescent="0.3">
      <c r="A338" t="s">
        <v>356</v>
      </c>
      <c r="B338" s="1">
        <v>45117</v>
      </c>
      <c r="C338" s="1">
        <v>45454</v>
      </c>
      <c r="D338">
        <v>30866.33</v>
      </c>
      <c r="E338" s="2">
        <f>(Table2[[#This Row],[revenue]]-Table2[[#This Row],[budget]])/Table2[[#This Row],[budget]]</f>
        <v>14.779188520306754</v>
      </c>
      <c r="F338" t="s">
        <v>21</v>
      </c>
      <c r="G338" t="s">
        <v>15</v>
      </c>
      <c r="H338" t="s">
        <v>19</v>
      </c>
      <c r="I338">
        <v>0.51</v>
      </c>
      <c r="J338">
        <v>487045.64</v>
      </c>
      <c r="K338">
        <f>Table2[[#This Row],[revenue]]/Table2[[#This Row],[budget]]</f>
        <v>15.779188520306754</v>
      </c>
      <c r="L338" s="2">
        <f t="shared" si="15"/>
        <v>308663.30000000005</v>
      </c>
      <c r="M338" s="2">
        <f>(Table2[[#This Row],[Adjusted revenue]]-Table2[[#This Row],[budget]])/Table2[[#This Row],[budget]]</f>
        <v>9</v>
      </c>
      <c r="N338" t="str">
        <f t="shared" si="16"/>
        <v>OK</v>
      </c>
      <c r="O338" s="2">
        <f t="shared" si="17"/>
        <v>1</v>
      </c>
    </row>
    <row r="339" spans="1:15" x14ac:dyDescent="0.3">
      <c r="A339" t="s">
        <v>357</v>
      </c>
      <c r="B339" s="1">
        <v>44841</v>
      </c>
      <c r="C339" s="1">
        <v>45140</v>
      </c>
      <c r="D339">
        <v>60761.56</v>
      </c>
      <c r="E339" s="2">
        <f>(Table2[[#This Row],[revenue]]-Table2[[#This Row],[budget]])/Table2[[#This Row],[budget]]</f>
        <v>8.2313725980702266</v>
      </c>
      <c r="F339" t="s">
        <v>18</v>
      </c>
      <c r="G339" t="s">
        <v>15</v>
      </c>
      <c r="H339" t="s">
        <v>19</v>
      </c>
      <c r="I339">
        <v>0.46</v>
      </c>
      <c r="J339">
        <v>560912.6</v>
      </c>
      <c r="K339">
        <f>Table2[[#This Row],[revenue]]/Table2[[#This Row],[budget]]</f>
        <v>9.2313725980702266</v>
      </c>
      <c r="L339" s="2">
        <f t="shared" si="15"/>
        <v>560912.6</v>
      </c>
      <c r="M339" s="2">
        <f>(Table2[[#This Row],[Adjusted revenue]]-Table2[[#This Row],[budget]])/Table2[[#This Row],[budget]]</f>
        <v>8.2313725980702266</v>
      </c>
      <c r="N339" t="str">
        <f t="shared" si="16"/>
        <v>OK</v>
      </c>
      <c r="O339" s="2">
        <f t="shared" si="17"/>
        <v>0.83818370485688987</v>
      </c>
    </row>
    <row r="340" spans="1:15" x14ac:dyDescent="0.3">
      <c r="A340" t="s">
        <v>358</v>
      </c>
      <c r="B340" s="1">
        <v>45026</v>
      </c>
      <c r="C340" s="1">
        <v>45165</v>
      </c>
      <c r="D340">
        <v>82351.520000000004</v>
      </c>
      <c r="E340" s="2">
        <f>(Table2[[#This Row],[revenue]]-Table2[[#This Row],[budget]])/Table2[[#This Row],[budget]]</f>
        <v>4.7131819789118641</v>
      </c>
      <c r="F340" t="s">
        <v>18</v>
      </c>
      <c r="G340" t="s">
        <v>15</v>
      </c>
      <c r="H340" t="s">
        <v>13</v>
      </c>
      <c r="I340">
        <v>0.27</v>
      </c>
      <c r="J340">
        <v>470489.22</v>
      </c>
      <c r="K340">
        <f>Table2[[#This Row],[revenue]]/Table2[[#This Row],[budget]]</f>
        <v>5.7131819789118641</v>
      </c>
      <c r="L340" s="2">
        <f t="shared" si="15"/>
        <v>470489.22</v>
      </c>
      <c r="M340" s="2">
        <f>(Table2[[#This Row],[Adjusted revenue]]-Table2[[#This Row],[budget]])/Table2[[#This Row],[budget]]</f>
        <v>4.7131819789118641</v>
      </c>
      <c r="N340" t="str">
        <f t="shared" si="16"/>
        <v>OK</v>
      </c>
      <c r="O340" s="2">
        <f t="shared" si="17"/>
        <v>9.7511995560392473E-2</v>
      </c>
    </row>
    <row r="341" spans="1:15" x14ac:dyDescent="0.3">
      <c r="A341" t="s">
        <v>359</v>
      </c>
      <c r="B341" s="1">
        <v>44857</v>
      </c>
      <c r="C341" s="1">
        <v>45363</v>
      </c>
      <c r="D341">
        <v>68860.820000000007</v>
      </c>
      <c r="E341" s="2">
        <f>(Table2[[#This Row],[revenue]]-Table2[[#This Row],[budget]])/Table2[[#This Row],[budget]]</f>
        <v>4.2379107597034134</v>
      </c>
      <c r="F341" t="s">
        <v>21</v>
      </c>
      <c r="G341" t="s">
        <v>15</v>
      </c>
      <c r="H341" t="s">
        <v>13</v>
      </c>
      <c r="I341">
        <v>0.82</v>
      </c>
      <c r="J341">
        <v>360686.83</v>
      </c>
      <c r="K341">
        <f>Table2[[#This Row],[revenue]]/Table2[[#This Row],[budget]]</f>
        <v>5.2379107597034134</v>
      </c>
      <c r="L341" s="2">
        <f t="shared" si="15"/>
        <v>360686.83</v>
      </c>
      <c r="M341" s="2">
        <f>(Table2[[#This Row],[Adjusted revenue]]-Table2[[#This Row],[budget]])/Table2[[#This Row],[budget]]</f>
        <v>4.2379107597034134</v>
      </c>
      <c r="N341" t="str">
        <f t="shared" si="16"/>
        <v>OK</v>
      </c>
      <c r="O341" s="2">
        <f t="shared" si="17"/>
        <v>-2.5451032203340773E-3</v>
      </c>
    </row>
    <row r="342" spans="1:15" x14ac:dyDescent="0.3">
      <c r="A342" t="s">
        <v>360</v>
      </c>
      <c r="B342" s="1">
        <v>45040</v>
      </c>
      <c r="C342" s="1">
        <v>45437</v>
      </c>
      <c r="D342">
        <v>71941.119999999995</v>
      </c>
      <c r="E342" s="2">
        <f>(Table2[[#This Row],[revenue]]-Table2[[#This Row],[budget]])/Table2[[#This Row],[budget]]</f>
        <v>10.03146225691232</v>
      </c>
      <c r="F342" t="s">
        <v>21</v>
      </c>
      <c r="G342" t="s">
        <v>15</v>
      </c>
      <c r="H342" t="s">
        <v>25</v>
      </c>
      <c r="I342">
        <v>0.67</v>
      </c>
      <c r="J342">
        <v>793615.75</v>
      </c>
      <c r="K342">
        <f>Table2[[#This Row],[revenue]]/Table2[[#This Row],[budget]]</f>
        <v>11.03146225691232</v>
      </c>
      <c r="L342" s="2">
        <f t="shared" si="15"/>
        <v>719411.19999999995</v>
      </c>
      <c r="M342" s="2">
        <f>(Table2[[#This Row],[Adjusted revenue]]-Table2[[#This Row],[budget]])/Table2[[#This Row],[budget]]</f>
        <v>9</v>
      </c>
      <c r="N342" t="str">
        <f t="shared" si="16"/>
        <v>OK</v>
      </c>
      <c r="O342" s="2">
        <f t="shared" si="17"/>
        <v>1</v>
      </c>
    </row>
    <row r="343" spans="1:15" x14ac:dyDescent="0.3">
      <c r="A343" t="s">
        <v>361</v>
      </c>
      <c r="B343" s="1">
        <v>44957</v>
      </c>
      <c r="C343" s="1">
        <v>45314</v>
      </c>
      <c r="D343">
        <v>92487.679999999993</v>
      </c>
      <c r="E343" s="2">
        <f>(Table2[[#This Row],[revenue]]-Table2[[#This Row],[budget]])/Table2[[#This Row],[budget]]</f>
        <v>4.8351761012926273</v>
      </c>
      <c r="F343" t="s">
        <v>23</v>
      </c>
      <c r="G343" t="s">
        <v>15</v>
      </c>
      <c r="H343" t="s">
        <v>13</v>
      </c>
      <c r="I343">
        <v>0.48</v>
      </c>
      <c r="J343">
        <v>539681.9</v>
      </c>
      <c r="K343">
        <f>Table2[[#This Row],[revenue]]/Table2[[#This Row],[budget]]</f>
        <v>5.8351761012926273</v>
      </c>
      <c r="L343" s="2">
        <f t="shared" si="15"/>
        <v>539681.9</v>
      </c>
      <c r="M343" s="2">
        <f>(Table2[[#This Row],[Adjusted revenue]]-Table2[[#This Row],[budget]])/Table2[[#This Row],[budget]]</f>
        <v>4.8351761012926273</v>
      </c>
      <c r="N343" t="str">
        <f t="shared" si="16"/>
        <v>OK</v>
      </c>
      <c r="O343" s="2">
        <f t="shared" si="17"/>
        <v>0.1231949686931848</v>
      </c>
    </row>
    <row r="344" spans="1:15" x14ac:dyDescent="0.3">
      <c r="A344" t="s">
        <v>362</v>
      </c>
      <c r="B344" s="1">
        <v>45054</v>
      </c>
      <c r="C344" s="1">
        <v>45143</v>
      </c>
      <c r="D344">
        <v>6690.98</v>
      </c>
      <c r="E344" s="2">
        <f>(Table2[[#This Row],[revenue]]-Table2[[#This Row],[budget]])/Table2[[#This Row],[budget]]</f>
        <v>61.668021724769766</v>
      </c>
      <c r="F344" t="s">
        <v>18</v>
      </c>
      <c r="G344" t="s">
        <v>15</v>
      </c>
      <c r="H344" t="s">
        <v>25</v>
      </c>
      <c r="I344">
        <v>0.6</v>
      </c>
      <c r="J344">
        <v>419310.48</v>
      </c>
      <c r="K344">
        <f>Table2[[#This Row],[revenue]]/Table2[[#This Row],[budget]]</f>
        <v>62.668021724769766</v>
      </c>
      <c r="L344" s="2">
        <f t="shared" si="15"/>
        <v>66909.799999999988</v>
      </c>
      <c r="M344" s="2">
        <f>(Table2[[#This Row],[Adjusted revenue]]-Table2[[#This Row],[budget]])/Table2[[#This Row],[budget]]</f>
        <v>9</v>
      </c>
      <c r="N344" t="str">
        <f t="shared" si="16"/>
        <v>OK</v>
      </c>
      <c r="O344" s="2">
        <f t="shared" si="17"/>
        <v>1</v>
      </c>
    </row>
    <row r="345" spans="1:15" x14ac:dyDescent="0.3">
      <c r="A345" t="s">
        <v>363</v>
      </c>
      <c r="B345" s="1">
        <v>45098</v>
      </c>
      <c r="C345" s="1">
        <v>45380</v>
      </c>
      <c r="D345">
        <v>65932.3</v>
      </c>
      <c r="E345" s="2">
        <f>(Table2[[#This Row],[revenue]]-Table2[[#This Row],[budget]])/Table2[[#This Row],[budget]]</f>
        <v>12.174355664825887</v>
      </c>
      <c r="F345" t="s">
        <v>11</v>
      </c>
      <c r="G345" t="s">
        <v>12</v>
      </c>
      <c r="H345" t="s">
        <v>19</v>
      </c>
      <c r="I345">
        <v>0.64</v>
      </c>
      <c r="J345">
        <v>868615.57</v>
      </c>
      <c r="K345">
        <f>Table2[[#This Row],[revenue]]/Table2[[#This Row],[budget]]</f>
        <v>13.174355664825889</v>
      </c>
      <c r="L345" s="2">
        <f t="shared" si="15"/>
        <v>659323</v>
      </c>
      <c r="M345" s="2">
        <f>(Table2[[#This Row],[Adjusted revenue]]-Table2[[#This Row],[budget]])/Table2[[#This Row],[budget]]</f>
        <v>8.9999999999999982</v>
      </c>
      <c r="N345" t="str">
        <f t="shared" si="16"/>
        <v>OK</v>
      </c>
      <c r="O345" s="2">
        <f t="shared" si="17"/>
        <v>0.99999999999999956</v>
      </c>
    </row>
    <row r="346" spans="1:15" x14ac:dyDescent="0.3">
      <c r="A346" t="s">
        <v>364</v>
      </c>
      <c r="B346" s="1">
        <v>44801</v>
      </c>
      <c r="C346" s="1">
        <v>45141</v>
      </c>
      <c r="D346">
        <v>2939.44</v>
      </c>
      <c r="E346" s="2">
        <f>(Table2[[#This Row],[revenue]]-Table2[[#This Row],[budget]])/Table2[[#This Row],[budget]]</f>
        <v>175.18536183762893</v>
      </c>
      <c r="F346" t="s">
        <v>18</v>
      </c>
      <c r="G346" t="s">
        <v>12</v>
      </c>
      <c r="H346" t="s">
        <v>25</v>
      </c>
      <c r="I346">
        <v>0.34</v>
      </c>
      <c r="J346">
        <v>517886.3</v>
      </c>
      <c r="K346">
        <f>Table2[[#This Row],[revenue]]/Table2[[#This Row],[budget]]</f>
        <v>176.18536183762893</v>
      </c>
      <c r="L346" s="2">
        <f t="shared" si="15"/>
        <v>29394.400000000001</v>
      </c>
      <c r="M346" s="2">
        <f>(Table2[[#This Row],[Adjusted revenue]]-Table2[[#This Row],[budget]])/Table2[[#This Row],[budget]]</f>
        <v>9</v>
      </c>
      <c r="N346" t="str">
        <f t="shared" si="16"/>
        <v>OK</v>
      </c>
      <c r="O346" s="2">
        <f t="shared" si="17"/>
        <v>1</v>
      </c>
    </row>
    <row r="347" spans="1:15" x14ac:dyDescent="0.3">
      <c r="A347" t="s">
        <v>365</v>
      </c>
      <c r="B347" s="1">
        <v>45127</v>
      </c>
      <c r="C347" s="1">
        <v>45143</v>
      </c>
      <c r="D347">
        <v>89898.65</v>
      </c>
      <c r="E347" s="2">
        <f>(Table2[[#This Row],[revenue]]-Table2[[#This Row],[budget]])/Table2[[#This Row],[budget]]</f>
        <v>9.4633884935980692</v>
      </c>
      <c r="F347" t="s">
        <v>23</v>
      </c>
      <c r="G347" t="s">
        <v>15</v>
      </c>
      <c r="H347" t="s">
        <v>19</v>
      </c>
      <c r="I347">
        <v>0.94</v>
      </c>
      <c r="J347">
        <v>940644.5</v>
      </c>
      <c r="K347">
        <f>Table2[[#This Row],[revenue]]/Table2[[#This Row],[budget]]</f>
        <v>10.463388493598069</v>
      </c>
      <c r="L347" s="2">
        <f t="shared" si="15"/>
        <v>898986.5</v>
      </c>
      <c r="M347" s="2">
        <f>(Table2[[#This Row],[Adjusted revenue]]-Table2[[#This Row],[budget]])/Table2[[#This Row],[budget]]</f>
        <v>9</v>
      </c>
      <c r="N347" t="str">
        <f t="shared" si="16"/>
        <v>OK</v>
      </c>
      <c r="O347" s="2">
        <f t="shared" si="17"/>
        <v>1</v>
      </c>
    </row>
    <row r="348" spans="1:15" x14ac:dyDescent="0.3">
      <c r="A348" t="s">
        <v>366</v>
      </c>
      <c r="B348" s="1">
        <v>45095</v>
      </c>
      <c r="C348" s="1">
        <v>45303</v>
      </c>
      <c r="D348">
        <v>79330.100000000006</v>
      </c>
      <c r="E348" s="2">
        <f>(Table2[[#This Row],[revenue]]-Table2[[#This Row],[budget]])/Table2[[#This Row],[budget]]</f>
        <v>11.521322045478323</v>
      </c>
      <c r="F348" t="s">
        <v>21</v>
      </c>
      <c r="G348" t="s">
        <v>15</v>
      </c>
      <c r="H348" t="s">
        <v>16</v>
      </c>
      <c r="I348">
        <v>0.6</v>
      </c>
      <c r="J348">
        <v>993317.73</v>
      </c>
      <c r="K348">
        <f>Table2[[#This Row],[revenue]]/Table2[[#This Row],[budget]]</f>
        <v>12.521322045478323</v>
      </c>
      <c r="L348" s="2">
        <f t="shared" si="15"/>
        <v>793301</v>
      </c>
      <c r="M348" s="2">
        <f>(Table2[[#This Row],[Adjusted revenue]]-Table2[[#This Row],[budget]])/Table2[[#This Row],[budget]]</f>
        <v>9</v>
      </c>
      <c r="N348" t="str">
        <f t="shared" si="16"/>
        <v>OK</v>
      </c>
      <c r="O348" s="2">
        <f t="shared" si="17"/>
        <v>1</v>
      </c>
    </row>
    <row r="349" spans="1:15" x14ac:dyDescent="0.3">
      <c r="A349" t="s">
        <v>367</v>
      </c>
      <c r="B349" s="1">
        <v>45041</v>
      </c>
      <c r="C349" s="1">
        <v>45195</v>
      </c>
      <c r="D349">
        <v>49871.16</v>
      </c>
      <c r="E349" s="2">
        <f>(Table2[[#This Row],[revenue]]-Table2[[#This Row],[budget]])/Table2[[#This Row],[budget]]</f>
        <v>14.109973579920739</v>
      </c>
      <c r="F349" t="s">
        <v>21</v>
      </c>
      <c r="G349" t="s">
        <v>12</v>
      </c>
      <c r="H349" t="s">
        <v>16</v>
      </c>
      <c r="I349">
        <v>0.13</v>
      </c>
      <c r="J349">
        <v>753551.91</v>
      </c>
      <c r="K349">
        <f>Table2[[#This Row],[revenue]]/Table2[[#This Row],[budget]]</f>
        <v>15.109973579920739</v>
      </c>
      <c r="L349" s="2">
        <f t="shared" si="15"/>
        <v>498711.60000000003</v>
      </c>
      <c r="M349" s="2">
        <f>(Table2[[#This Row],[Adjusted revenue]]-Table2[[#This Row],[budget]])/Table2[[#This Row],[budget]]</f>
        <v>9</v>
      </c>
      <c r="N349" t="str">
        <f t="shared" si="16"/>
        <v>OK</v>
      </c>
      <c r="O349" s="2">
        <f t="shared" si="17"/>
        <v>1</v>
      </c>
    </row>
    <row r="350" spans="1:15" x14ac:dyDescent="0.3">
      <c r="A350" t="s">
        <v>368</v>
      </c>
      <c r="B350" s="1">
        <v>44795</v>
      </c>
      <c r="C350" s="1">
        <v>45482</v>
      </c>
      <c r="D350">
        <v>86898.8</v>
      </c>
      <c r="E350" s="2">
        <f>(Table2[[#This Row],[revenue]]-Table2[[#This Row],[budget]])/Table2[[#This Row],[budget]]</f>
        <v>6.2206381446003851</v>
      </c>
      <c r="F350" t="s">
        <v>11</v>
      </c>
      <c r="G350" t="s">
        <v>12</v>
      </c>
      <c r="H350" t="s">
        <v>19</v>
      </c>
      <c r="I350">
        <v>0.63</v>
      </c>
      <c r="J350">
        <v>627464.79</v>
      </c>
      <c r="K350">
        <f>Table2[[#This Row],[revenue]]/Table2[[#This Row],[budget]]</f>
        <v>7.220638144600386</v>
      </c>
      <c r="L350" s="2">
        <f t="shared" si="15"/>
        <v>627464.79</v>
      </c>
      <c r="M350" s="2">
        <f>(Table2[[#This Row],[Adjusted revenue]]-Table2[[#This Row],[budget]])/Table2[[#This Row],[budget]]</f>
        <v>6.2206381446003851</v>
      </c>
      <c r="N350" t="str">
        <f t="shared" si="16"/>
        <v>OK</v>
      </c>
      <c r="O350" s="2">
        <f t="shared" si="17"/>
        <v>0.41487118833692316</v>
      </c>
    </row>
    <row r="351" spans="1:15" x14ac:dyDescent="0.3">
      <c r="A351" t="s">
        <v>369</v>
      </c>
      <c r="B351" s="1">
        <v>45119</v>
      </c>
      <c r="C351" s="1">
        <v>45450</v>
      </c>
      <c r="D351">
        <v>88219.78</v>
      </c>
      <c r="E351" s="2">
        <f>(Table2[[#This Row],[revenue]]-Table2[[#This Row],[budget]])/Table2[[#This Row],[budget]]</f>
        <v>3.3654606710649237</v>
      </c>
      <c r="F351" t="s">
        <v>18</v>
      </c>
      <c r="G351" t="s">
        <v>15</v>
      </c>
      <c r="H351" t="s">
        <v>13</v>
      </c>
      <c r="I351">
        <v>0.9</v>
      </c>
      <c r="J351">
        <v>385119.98</v>
      </c>
      <c r="K351">
        <f>Table2[[#This Row],[revenue]]/Table2[[#This Row],[budget]]</f>
        <v>4.3654606710649242</v>
      </c>
      <c r="L351" s="2">
        <f t="shared" si="15"/>
        <v>385119.98</v>
      </c>
      <c r="M351" s="2">
        <f>(Table2[[#This Row],[Adjusted revenue]]-Table2[[#This Row],[budget]])/Table2[[#This Row],[budget]]</f>
        <v>3.3654606710649237</v>
      </c>
      <c r="N351" t="str">
        <f t="shared" si="16"/>
        <v>OK</v>
      </c>
      <c r="O351" s="2">
        <f t="shared" si="17"/>
        <v>-0.18621880609159502</v>
      </c>
    </row>
    <row r="352" spans="1:15" x14ac:dyDescent="0.3">
      <c r="A352" t="s">
        <v>370</v>
      </c>
      <c r="B352" s="1">
        <v>45128</v>
      </c>
      <c r="C352" s="1">
        <v>45201</v>
      </c>
      <c r="D352">
        <v>40691.9</v>
      </c>
      <c r="E352" s="2">
        <f>(Table2[[#This Row],[revenue]]-Table2[[#This Row],[budget]])/Table2[[#This Row],[budget]]</f>
        <v>21.717279851764111</v>
      </c>
      <c r="F352" t="s">
        <v>11</v>
      </c>
      <c r="G352" t="s">
        <v>15</v>
      </c>
      <c r="H352" t="s">
        <v>13</v>
      </c>
      <c r="I352">
        <v>0.5</v>
      </c>
      <c r="J352">
        <v>924409.28</v>
      </c>
      <c r="K352">
        <f>Table2[[#This Row],[revenue]]/Table2[[#This Row],[budget]]</f>
        <v>22.717279851764111</v>
      </c>
      <c r="L352" s="2">
        <f t="shared" si="15"/>
        <v>406919</v>
      </c>
      <c r="M352" s="2">
        <f>(Table2[[#This Row],[Adjusted revenue]]-Table2[[#This Row],[budget]])/Table2[[#This Row],[budget]]</f>
        <v>8.9999999999999982</v>
      </c>
      <c r="N352" t="str">
        <f t="shared" si="16"/>
        <v>OK</v>
      </c>
      <c r="O352" s="2">
        <f t="shared" si="17"/>
        <v>0.99999999999999956</v>
      </c>
    </row>
    <row r="353" spans="1:15" x14ac:dyDescent="0.3">
      <c r="A353" t="s">
        <v>371</v>
      </c>
      <c r="B353" s="1">
        <v>45029</v>
      </c>
      <c r="C353" s="1">
        <v>45282</v>
      </c>
      <c r="D353">
        <v>72683.100000000006</v>
      </c>
      <c r="E353" s="2">
        <f>(Table2[[#This Row],[revenue]]-Table2[[#This Row],[budget]])/Table2[[#This Row],[budget]]</f>
        <v>9.7126242551569746</v>
      </c>
      <c r="F353" t="s">
        <v>23</v>
      </c>
      <c r="G353" t="s">
        <v>12</v>
      </c>
      <c r="H353" t="s">
        <v>19</v>
      </c>
      <c r="I353">
        <v>0.71</v>
      </c>
      <c r="J353">
        <v>778626.74</v>
      </c>
      <c r="K353">
        <f>Table2[[#This Row],[revenue]]/Table2[[#This Row],[budget]]</f>
        <v>10.712624255156975</v>
      </c>
      <c r="L353" s="2">
        <f t="shared" si="15"/>
        <v>726831</v>
      </c>
      <c r="M353" s="2">
        <f>(Table2[[#This Row],[Adjusted revenue]]-Table2[[#This Row],[budget]])/Table2[[#This Row],[budget]]</f>
        <v>9</v>
      </c>
      <c r="N353" t="str">
        <f t="shared" si="16"/>
        <v>OK</v>
      </c>
      <c r="O353" s="2">
        <f t="shared" si="17"/>
        <v>1</v>
      </c>
    </row>
    <row r="354" spans="1:15" x14ac:dyDescent="0.3">
      <c r="A354" t="s">
        <v>372</v>
      </c>
      <c r="B354" s="1">
        <v>45044</v>
      </c>
      <c r="C354" s="1">
        <v>45408</v>
      </c>
      <c r="D354">
        <v>11646.16</v>
      </c>
      <c r="E354" s="2">
        <f>(Table2[[#This Row],[revenue]]-Table2[[#This Row],[budget]])/Table2[[#This Row],[budget]]</f>
        <v>0.14408526072113048</v>
      </c>
      <c r="F354" t="s">
        <v>11</v>
      </c>
      <c r="G354" t="s">
        <v>12</v>
      </c>
      <c r="H354" t="s">
        <v>13</v>
      </c>
      <c r="I354">
        <v>0.81</v>
      </c>
      <c r="J354">
        <v>13324.2</v>
      </c>
      <c r="K354">
        <f>Table2[[#This Row],[revenue]]/Table2[[#This Row],[budget]]</f>
        <v>1.1440852607211305</v>
      </c>
      <c r="L354" s="2">
        <f t="shared" si="15"/>
        <v>13324.2</v>
      </c>
      <c r="M354" s="2">
        <f>(Table2[[#This Row],[Adjusted revenue]]-Table2[[#This Row],[budget]])/Table2[[#This Row],[budget]]</f>
        <v>0.14408526072113048</v>
      </c>
      <c r="N354" t="str">
        <f t="shared" si="16"/>
        <v>Failed</v>
      </c>
      <c r="O354" s="2">
        <f t="shared" si="17"/>
        <v>-0.86440310300607781</v>
      </c>
    </row>
    <row r="355" spans="1:15" x14ac:dyDescent="0.3">
      <c r="A355" t="s">
        <v>373</v>
      </c>
      <c r="B355" s="1">
        <v>44799</v>
      </c>
      <c r="C355" s="1">
        <v>45283</v>
      </c>
      <c r="D355">
        <v>89917.95</v>
      </c>
      <c r="E355" s="2">
        <f>(Table2[[#This Row],[revenue]]-Table2[[#This Row],[budget]])/Table2[[#This Row],[budget]]</f>
        <v>7.1944568353704694</v>
      </c>
      <c r="F355" t="s">
        <v>11</v>
      </c>
      <c r="G355" t="s">
        <v>12</v>
      </c>
      <c r="H355" t="s">
        <v>16</v>
      </c>
      <c r="I355">
        <v>0.24</v>
      </c>
      <c r="J355">
        <v>736828.76</v>
      </c>
      <c r="K355">
        <f>Table2[[#This Row],[revenue]]/Table2[[#This Row],[budget]]</f>
        <v>8.1944568353704685</v>
      </c>
      <c r="L355" s="2">
        <f t="shared" si="15"/>
        <v>736828.76</v>
      </c>
      <c r="M355" s="2">
        <f>(Table2[[#This Row],[Adjusted revenue]]-Table2[[#This Row],[budget]])/Table2[[#This Row],[budget]]</f>
        <v>7.1944568353704694</v>
      </c>
      <c r="N355" t="str">
        <f t="shared" si="16"/>
        <v>OK</v>
      </c>
      <c r="O355" s="2">
        <f t="shared" si="17"/>
        <v>0.6198856495516778</v>
      </c>
    </row>
    <row r="356" spans="1:15" x14ac:dyDescent="0.3">
      <c r="A356" t="s">
        <v>374</v>
      </c>
      <c r="B356" s="1">
        <v>44891</v>
      </c>
      <c r="C356" s="1">
        <v>45401</v>
      </c>
      <c r="D356">
        <v>78099.81</v>
      </c>
      <c r="E356" s="2">
        <f>(Table2[[#This Row],[revenue]]-Table2[[#This Row],[budget]])/Table2[[#This Row],[budget]]</f>
        <v>5.8511764625291658</v>
      </c>
      <c r="F356" t="s">
        <v>21</v>
      </c>
      <c r="G356" t="s">
        <v>15</v>
      </c>
      <c r="H356" t="s">
        <v>13</v>
      </c>
      <c r="I356">
        <v>0.35</v>
      </c>
      <c r="J356">
        <v>535075.57999999996</v>
      </c>
      <c r="K356">
        <f>Table2[[#This Row],[revenue]]/Table2[[#This Row],[budget]]</f>
        <v>6.8511764625291658</v>
      </c>
      <c r="L356" s="2">
        <f t="shared" si="15"/>
        <v>535075.57999999996</v>
      </c>
      <c r="M356" s="2">
        <f>(Table2[[#This Row],[Adjusted revenue]]-Table2[[#This Row],[budget]])/Table2[[#This Row],[budget]]</f>
        <v>5.8511764625291658</v>
      </c>
      <c r="N356" t="str">
        <f t="shared" si="16"/>
        <v>OK</v>
      </c>
      <c r="O356" s="2">
        <f t="shared" si="17"/>
        <v>0.33708978158508751</v>
      </c>
    </row>
    <row r="357" spans="1:15" x14ac:dyDescent="0.3">
      <c r="A357" t="s">
        <v>375</v>
      </c>
      <c r="B357" s="1">
        <v>45109</v>
      </c>
      <c r="C357" s="1">
        <v>45498</v>
      </c>
      <c r="D357">
        <v>35717.61</v>
      </c>
      <c r="E357" s="2">
        <f>(Table2[[#This Row],[revenue]]-Table2[[#This Row],[budget]])/Table2[[#This Row],[budget]]</f>
        <v>3.0902218821472101</v>
      </c>
      <c r="F357" t="s">
        <v>18</v>
      </c>
      <c r="G357" t="s">
        <v>15</v>
      </c>
      <c r="H357" t="s">
        <v>13</v>
      </c>
      <c r="I357">
        <v>0.1</v>
      </c>
      <c r="J357">
        <v>146092.95000000001</v>
      </c>
      <c r="K357">
        <f>Table2[[#This Row],[revenue]]/Table2[[#This Row],[budget]]</f>
        <v>4.0902218821472101</v>
      </c>
      <c r="L357" s="2">
        <f t="shared" si="15"/>
        <v>146092.95000000001</v>
      </c>
      <c r="M357" s="2">
        <f>(Table2[[#This Row],[Adjusted revenue]]-Table2[[#This Row],[budget]])/Table2[[#This Row],[budget]]</f>
        <v>3.0902218821472101</v>
      </c>
      <c r="N357" t="str">
        <f t="shared" si="16"/>
        <v>OK</v>
      </c>
      <c r="O357" s="2">
        <f t="shared" si="17"/>
        <v>-0.24416381428479783</v>
      </c>
    </row>
    <row r="358" spans="1:15" x14ac:dyDescent="0.3">
      <c r="A358" t="s">
        <v>376</v>
      </c>
      <c r="B358" s="1">
        <v>44978</v>
      </c>
      <c r="C358" s="1">
        <v>45376</v>
      </c>
      <c r="D358">
        <v>74243.839999999997</v>
      </c>
      <c r="E358" s="2">
        <f>(Table2[[#This Row],[revenue]]-Table2[[#This Row],[budget]])/Table2[[#This Row],[budget]]</f>
        <v>6.5808727027050331</v>
      </c>
      <c r="F358" t="s">
        <v>21</v>
      </c>
      <c r="G358" t="s">
        <v>12</v>
      </c>
      <c r="H358" t="s">
        <v>16</v>
      </c>
      <c r="I358">
        <v>0.95</v>
      </c>
      <c r="J358">
        <v>562833.1</v>
      </c>
      <c r="K358">
        <f>Table2[[#This Row],[revenue]]/Table2[[#This Row],[budget]]</f>
        <v>7.5808727027050322</v>
      </c>
      <c r="L358" s="2">
        <f t="shared" si="15"/>
        <v>562833.1</v>
      </c>
      <c r="M358" s="2">
        <f>(Table2[[#This Row],[Adjusted revenue]]-Table2[[#This Row],[budget]])/Table2[[#This Row],[budget]]</f>
        <v>6.5808727027050331</v>
      </c>
      <c r="N358" t="str">
        <f t="shared" si="16"/>
        <v>OK</v>
      </c>
      <c r="O358" s="2">
        <f t="shared" si="17"/>
        <v>0.49071004267474372</v>
      </c>
    </row>
    <row r="359" spans="1:15" x14ac:dyDescent="0.3">
      <c r="A359" t="s">
        <v>377</v>
      </c>
      <c r="B359" s="1">
        <v>44912</v>
      </c>
      <c r="C359" s="1">
        <v>45330</v>
      </c>
      <c r="D359">
        <v>25475.7</v>
      </c>
      <c r="E359" s="2">
        <f>(Table2[[#This Row],[revenue]]-Table2[[#This Row],[budget]])/Table2[[#This Row],[budget]]</f>
        <v>33.126753337494165</v>
      </c>
      <c r="F359" t="s">
        <v>21</v>
      </c>
      <c r="G359" t="s">
        <v>15</v>
      </c>
      <c r="H359" t="s">
        <v>19</v>
      </c>
      <c r="I359">
        <v>0.43</v>
      </c>
      <c r="J359">
        <v>869402.93</v>
      </c>
      <c r="K359">
        <f>Table2[[#This Row],[revenue]]/Table2[[#This Row],[budget]]</f>
        <v>34.126753337494165</v>
      </c>
      <c r="L359" s="2">
        <f t="shared" si="15"/>
        <v>254757</v>
      </c>
      <c r="M359" s="2">
        <f>(Table2[[#This Row],[Adjusted revenue]]-Table2[[#This Row],[budget]])/Table2[[#This Row],[budget]]</f>
        <v>9</v>
      </c>
      <c r="N359" t="str">
        <f t="shared" si="16"/>
        <v>OK</v>
      </c>
      <c r="O359" s="2">
        <f t="shared" si="17"/>
        <v>1</v>
      </c>
    </row>
    <row r="360" spans="1:15" x14ac:dyDescent="0.3">
      <c r="A360" t="s">
        <v>378</v>
      </c>
      <c r="B360" s="1">
        <v>45008</v>
      </c>
      <c r="C360" s="1">
        <v>45397</v>
      </c>
      <c r="D360">
        <v>28552.53</v>
      </c>
      <c r="E360" s="2">
        <f>(Table2[[#This Row],[revenue]]-Table2[[#This Row],[budget]])/Table2[[#This Row],[budget]]</f>
        <v>15.53726692520768</v>
      </c>
      <c r="F360" t="s">
        <v>21</v>
      </c>
      <c r="G360" t="s">
        <v>15</v>
      </c>
      <c r="H360" t="s">
        <v>19</v>
      </c>
      <c r="I360">
        <v>0.2</v>
      </c>
      <c r="J360">
        <v>472180.81</v>
      </c>
      <c r="K360">
        <f>Table2[[#This Row],[revenue]]/Table2[[#This Row],[budget]]</f>
        <v>16.537266925207678</v>
      </c>
      <c r="L360" s="2">
        <f t="shared" si="15"/>
        <v>285525.3</v>
      </c>
      <c r="M360" s="2">
        <f>(Table2[[#This Row],[Adjusted revenue]]-Table2[[#This Row],[budget]])/Table2[[#This Row],[budget]]</f>
        <v>9</v>
      </c>
      <c r="N360" t="str">
        <f t="shared" si="16"/>
        <v>OK</v>
      </c>
      <c r="O360" s="2">
        <f t="shared" si="17"/>
        <v>1</v>
      </c>
    </row>
    <row r="361" spans="1:15" x14ac:dyDescent="0.3">
      <c r="A361" t="s">
        <v>379</v>
      </c>
      <c r="B361" s="1">
        <v>45113</v>
      </c>
      <c r="C361" s="1">
        <v>45144</v>
      </c>
      <c r="D361">
        <v>38420.97</v>
      </c>
      <c r="E361" s="2">
        <f>(Table2[[#This Row],[revenue]]-Table2[[#This Row],[budget]])/Table2[[#This Row],[budget]]</f>
        <v>20.689955771548714</v>
      </c>
      <c r="F361" t="s">
        <v>23</v>
      </c>
      <c r="G361" t="s">
        <v>15</v>
      </c>
      <c r="H361" t="s">
        <v>13</v>
      </c>
      <c r="I361">
        <v>0.57999999999999996</v>
      </c>
      <c r="J361">
        <v>833349.14</v>
      </c>
      <c r="K361">
        <f>Table2[[#This Row],[revenue]]/Table2[[#This Row],[budget]]</f>
        <v>21.689955771548714</v>
      </c>
      <c r="L361" s="2">
        <f t="shared" si="15"/>
        <v>384209.7</v>
      </c>
      <c r="M361" s="2">
        <f>(Table2[[#This Row],[Adjusted revenue]]-Table2[[#This Row],[budget]])/Table2[[#This Row],[budget]]</f>
        <v>9</v>
      </c>
      <c r="N361" t="str">
        <f t="shared" si="16"/>
        <v>OK</v>
      </c>
      <c r="O361" s="2">
        <f t="shared" si="17"/>
        <v>1</v>
      </c>
    </row>
    <row r="362" spans="1:15" x14ac:dyDescent="0.3">
      <c r="A362" t="s">
        <v>380</v>
      </c>
      <c r="B362" s="1">
        <v>45110</v>
      </c>
      <c r="C362" s="1">
        <v>45405</v>
      </c>
      <c r="D362">
        <v>39225.15</v>
      </c>
      <c r="E362" s="2">
        <f>(Table2[[#This Row],[revenue]]-Table2[[#This Row],[budget]])/Table2[[#This Row],[budget]]</f>
        <v>2.2490662240934705</v>
      </c>
      <c r="F362" t="s">
        <v>11</v>
      </c>
      <c r="G362" t="s">
        <v>12</v>
      </c>
      <c r="H362" t="s">
        <v>19</v>
      </c>
      <c r="I362">
        <v>0.84</v>
      </c>
      <c r="J362">
        <v>127445.11</v>
      </c>
      <c r="K362">
        <f>Table2[[#This Row],[revenue]]/Table2[[#This Row],[budget]]</f>
        <v>3.2490662240934705</v>
      </c>
      <c r="L362" s="2">
        <f t="shared" si="15"/>
        <v>127445.11</v>
      </c>
      <c r="M362" s="2">
        <f>(Table2[[#This Row],[Adjusted revenue]]-Table2[[#This Row],[budget]])/Table2[[#This Row],[budget]]</f>
        <v>2.2490662240934705</v>
      </c>
      <c r="N362" t="str">
        <f t="shared" si="16"/>
        <v>OK</v>
      </c>
      <c r="O362" s="2">
        <f t="shared" si="17"/>
        <v>-0.42124921598032206</v>
      </c>
    </row>
    <row r="363" spans="1:15" x14ac:dyDescent="0.3">
      <c r="A363" t="s">
        <v>381</v>
      </c>
      <c r="B363" s="1">
        <v>45139</v>
      </c>
      <c r="C363" s="1">
        <v>45388</v>
      </c>
      <c r="D363">
        <v>1436.99</v>
      </c>
      <c r="E363" s="2">
        <f>(Table2[[#This Row],[revenue]]-Table2[[#This Row],[budget]])/Table2[[#This Row],[budget]]</f>
        <v>612.62183452911984</v>
      </c>
      <c r="F363" t="s">
        <v>18</v>
      </c>
      <c r="G363" t="s">
        <v>12</v>
      </c>
      <c r="H363" t="s">
        <v>13</v>
      </c>
      <c r="I363">
        <v>0.87</v>
      </c>
      <c r="J363">
        <v>881768.44</v>
      </c>
      <c r="K363">
        <f>Table2[[#This Row],[revenue]]/Table2[[#This Row],[budget]]</f>
        <v>613.62183452911984</v>
      </c>
      <c r="L363" s="2">
        <f t="shared" si="15"/>
        <v>14369.9</v>
      </c>
      <c r="M363" s="2">
        <f>(Table2[[#This Row],[Adjusted revenue]]-Table2[[#This Row],[budget]])/Table2[[#This Row],[budget]]</f>
        <v>9</v>
      </c>
      <c r="N363" t="str">
        <f t="shared" si="16"/>
        <v>OK</v>
      </c>
      <c r="O363" s="2">
        <f t="shared" si="17"/>
        <v>1</v>
      </c>
    </row>
    <row r="364" spans="1:15" x14ac:dyDescent="0.3">
      <c r="A364" t="s">
        <v>382</v>
      </c>
      <c r="B364" s="1">
        <v>44783</v>
      </c>
      <c r="C364" s="1">
        <v>45369</v>
      </c>
      <c r="D364">
        <v>11007.95</v>
      </c>
      <c r="E364" s="2">
        <f>(Table2[[#This Row],[revenue]]-Table2[[#This Row],[budget]])/Table2[[#This Row],[budget]]</f>
        <v>60.787181082762906</v>
      </c>
      <c r="F364" t="s">
        <v>18</v>
      </c>
      <c r="G364" t="s">
        <v>15</v>
      </c>
      <c r="H364" t="s">
        <v>25</v>
      </c>
      <c r="I364">
        <v>0.81</v>
      </c>
      <c r="J364">
        <v>680150.2</v>
      </c>
      <c r="K364">
        <f>Table2[[#This Row],[revenue]]/Table2[[#This Row],[budget]]</f>
        <v>61.787181082762906</v>
      </c>
      <c r="L364" s="2">
        <f t="shared" si="15"/>
        <v>110079.5</v>
      </c>
      <c r="M364" s="2">
        <f>(Table2[[#This Row],[Adjusted revenue]]-Table2[[#This Row],[budget]])/Table2[[#This Row],[budget]]</f>
        <v>9</v>
      </c>
      <c r="N364" t="str">
        <f t="shared" si="16"/>
        <v>OK</v>
      </c>
      <c r="O364" s="2">
        <f t="shared" si="17"/>
        <v>1</v>
      </c>
    </row>
    <row r="365" spans="1:15" x14ac:dyDescent="0.3">
      <c r="A365" t="s">
        <v>383</v>
      </c>
      <c r="B365" s="1">
        <v>44901</v>
      </c>
      <c r="C365" s="1">
        <v>45482</v>
      </c>
      <c r="D365">
        <v>94432.87</v>
      </c>
      <c r="E365" s="2">
        <f>(Table2[[#This Row],[revenue]]-Table2[[#This Row],[budget]])/Table2[[#This Row],[budget]]</f>
        <v>4.5584740779349397</v>
      </c>
      <c r="F365" t="s">
        <v>23</v>
      </c>
      <c r="G365" t="s">
        <v>15</v>
      </c>
      <c r="H365" t="s">
        <v>13</v>
      </c>
      <c r="I365">
        <v>0.2</v>
      </c>
      <c r="J365">
        <v>524902.66</v>
      </c>
      <c r="K365">
        <f>Table2[[#This Row],[revenue]]/Table2[[#This Row],[budget]]</f>
        <v>5.5584740779349397</v>
      </c>
      <c r="L365" s="2">
        <f t="shared" si="15"/>
        <v>524902.66</v>
      </c>
      <c r="M365" s="2">
        <f>(Table2[[#This Row],[Adjusted revenue]]-Table2[[#This Row],[budget]])/Table2[[#This Row],[budget]]</f>
        <v>4.5584740779349397</v>
      </c>
      <c r="N365" t="str">
        <f t="shared" si="16"/>
        <v>OK</v>
      </c>
      <c r="O365" s="2">
        <f t="shared" si="17"/>
        <v>6.4941911144197784E-2</v>
      </c>
    </row>
    <row r="366" spans="1:15" x14ac:dyDescent="0.3">
      <c r="A366" t="s">
        <v>384</v>
      </c>
      <c r="B366" s="1">
        <v>45110</v>
      </c>
      <c r="C366" s="1">
        <v>45424</v>
      </c>
      <c r="D366">
        <v>87100.53</v>
      </c>
      <c r="E366" s="2">
        <f>(Table2[[#This Row],[revenue]]-Table2[[#This Row],[budget]])/Table2[[#This Row],[budget]]</f>
        <v>10.017443636680513</v>
      </c>
      <c r="F366" t="s">
        <v>18</v>
      </c>
      <c r="G366" t="s">
        <v>12</v>
      </c>
      <c r="H366" t="s">
        <v>25</v>
      </c>
      <c r="I366">
        <v>0.32</v>
      </c>
      <c r="J366">
        <v>959625.18</v>
      </c>
      <c r="K366">
        <f>Table2[[#This Row],[revenue]]/Table2[[#This Row],[budget]]</f>
        <v>11.017443636680513</v>
      </c>
      <c r="L366" s="2">
        <f t="shared" si="15"/>
        <v>871005.3</v>
      </c>
      <c r="M366" s="2">
        <f>(Table2[[#This Row],[Adjusted revenue]]-Table2[[#This Row],[budget]])/Table2[[#This Row],[budget]]</f>
        <v>9</v>
      </c>
      <c r="N366" t="str">
        <f t="shared" si="16"/>
        <v>OK</v>
      </c>
      <c r="O366" s="2">
        <f t="shared" si="17"/>
        <v>1</v>
      </c>
    </row>
    <row r="367" spans="1:15" x14ac:dyDescent="0.3">
      <c r="A367" t="s">
        <v>385</v>
      </c>
      <c r="B367" s="1">
        <v>44876</v>
      </c>
      <c r="C367" s="1">
        <v>45245</v>
      </c>
      <c r="D367">
        <v>81473.25</v>
      </c>
      <c r="E367" s="2">
        <f>(Table2[[#This Row],[revenue]]-Table2[[#This Row],[budget]])/Table2[[#This Row],[budget]]</f>
        <v>4.7854792830775743</v>
      </c>
      <c r="F367" t="s">
        <v>21</v>
      </c>
      <c r="G367" t="s">
        <v>15</v>
      </c>
      <c r="H367" t="s">
        <v>19</v>
      </c>
      <c r="I367">
        <v>0.37</v>
      </c>
      <c r="J367">
        <v>471361.8</v>
      </c>
      <c r="K367">
        <f>Table2[[#This Row],[revenue]]/Table2[[#This Row],[budget]]</f>
        <v>5.7854792830775743</v>
      </c>
      <c r="L367" s="2">
        <f t="shared" si="15"/>
        <v>471361.8</v>
      </c>
      <c r="M367" s="2">
        <f>(Table2[[#This Row],[Adjusted revenue]]-Table2[[#This Row],[budget]])/Table2[[#This Row],[budget]]</f>
        <v>4.7854792830775743</v>
      </c>
      <c r="N367" t="str">
        <f t="shared" si="16"/>
        <v>OK</v>
      </c>
      <c r="O367" s="2">
        <f t="shared" si="17"/>
        <v>0.11273248064791042</v>
      </c>
    </row>
    <row r="368" spans="1:15" x14ac:dyDescent="0.3">
      <c r="A368" t="s">
        <v>386</v>
      </c>
      <c r="B368" s="1">
        <v>45077</v>
      </c>
      <c r="C368" s="1">
        <v>45199</v>
      </c>
      <c r="D368">
        <v>89921.79</v>
      </c>
      <c r="E368" s="2">
        <f>(Table2[[#This Row],[revenue]]-Table2[[#This Row],[budget]])/Table2[[#This Row],[budget]]</f>
        <v>3.7099106901675336</v>
      </c>
      <c r="F368" t="s">
        <v>21</v>
      </c>
      <c r="G368" t="s">
        <v>12</v>
      </c>
      <c r="H368" t="s">
        <v>13</v>
      </c>
      <c r="I368">
        <v>0.51</v>
      </c>
      <c r="J368">
        <v>423523.6</v>
      </c>
      <c r="K368">
        <f>Table2[[#This Row],[revenue]]/Table2[[#This Row],[budget]]</f>
        <v>4.7099106901675336</v>
      </c>
      <c r="L368" s="2">
        <f t="shared" si="15"/>
        <v>423523.6</v>
      </c>
      <c r="M368" s="2">
        <f>(Table2[[#This Row],[Adjusted revenue]]-Table2[[#This Row],[budget]])/Table2[[#This Row],[budget]]</f>
        <v>3.7099106901675336</v>
      </c>
      <c r="N368" t="str">
        <f t="shared" si="16"/>
        <v>OK</v>
      </c>
      <c r="O368" s="2">
        <f t="shared" si="17"/>
        <v>-0.11370301259630866</v>
      </c>
    </row>
    <row r="369" spans="1:15" x14ac:dyDescent="0.3">
      <c r="A369" t="s">
        <v>387</v>
      </c>
      <c r="B369" s="1">
        <v>44783</v>
      </c>
      <c r="C369" s="1">
        <v>45221</v>
      </c>
      <c r="D369">
        <v>93538.7</v>
      </c>
      <c r="E369" s="2">
        <f>(Table2[[#This Row],[revenue]]-Table2[[#This Row],[budget]])/Table2[[#This Row],[budget]]</f>
        <v>9.1493363709352398</v>
      </c>
      <c r="F369" t="s">
        <v>11</v>
      </c>
      <c r="G369" t="s">
        <v>12</v>
      </c>
      <c r="H369" t="s">
        <v>13</v>
      </c>
      <c r="I369">
        <v>0.4</v>
      </c>
      <c r="J369">
        <v>949355.73</v>
      </c>
      <c r="K369">
        <f>Table2[[#This Row],[revenue]]/Table2[[#This Row],[budget]]</f>
        <v>10.149336370935238</v>
      </c>
      <c r="L369" s="2">
        <f t="shared" si="15"/>
        <v>935387</v>
      </c>
      <c r="M369" s="2">
        <f>(Table2[[#This Row],[Adjusted revenue]]-Table2[[#This Row],[budget]])/Table2[[#This Row],[budget]]</f>
        <v>9</v>
      </c>
      <c r="N369" t="str">
        <f t="shared" si="16"/>
        <v>OK</v>
      </c>
      <c r="O369" s="2">
        <f t="shared" si="17"/>
        <v>1</v>
      </c>
    </row>
    <row r="370" spans="1:15" x14ac:dyDescent="0.3">
      <c r="A370" t="s">
        <v>388</v>
      </c>
      <c r="B370" s="1">
        <v>44911</v>
      </c>
      <c r="C370" s="1">
        <v>45433</v>
      </c>
      <c r="D370">
        <v>96760.38</v>
      </c>
      <c r="E370" s="2">
        <f>(Table2[[#This Row],[revenue]]-Table2[[#This Row],[budget]])/Table2[[#This Row],[budget]]</f>
        <v>2.6507832027943667</v>
      </c>
      <c r="F370" t="s">
        <v>11</v>
      </c>
      <c r="G370" t="s">
        <v>12</v>
      </c>
      <c r="H370" t="s">
        <v>25</v>
      </c>
      <c r="I370">
        <v>0.33</v>
      </c>
      <c r="J370">
        <v>353251.17</v>
      </c>
      <c r="K370">
        <f>Table2[[#This Row],[revenue]]/Table2[[#This Row],[budget]]</f>
        <v>3.6507832027943667</v>
      </c>
      <c r="L370" s="2">
        <f t="shared" si="15"/>
        <v>353251.17</v>
      </c>
      <c r="M370" s="2">
        <f>(Table2[[#This Row],[Adjusted revenue]]-Table2[[#This Row],[budget]])/Table2[[#This Row],[budget]]</f>
        <v>2.6507832027943667</v>
      </c>
      <c r="N370" t="str">
        <f t="shared" si="16"/>
        <v>OK</v>
      </c>
      <c r="O370" s="2">
        <f t="shared" si="17"/>
        <v>-0.3366772204643439</v>
      </c>
    </row>
    <row r="371" spans="1:15" x14ac:dyDescent="0.3">
      <c r="A371" t="s">
        <v>389</v>
      </c>
      <c r="B371" s="1">
        <v>44954</v>
      </c>
      <c r="C371" s="1">
        <v>45422</v>
      </c>
      <c r="D371">
        <v>90020.46</v>
      </c>
      <c r="E371" s="2">
        <f>(Table2[[#This Row],[revenue]]-Table2[[#This Row],[budget]])/Table2[[#This Row],[budget]]</f>
        <v>7.513526924879077</v>
      </c>
      <c r="F371" t="s">
        <v>23</v>
      </c>
      <c r="G371" t="s">
        <v>15</v>
      </c>
      <c r="H371" t="s">
        <v>16</v>
      </c>
      <c r="I371">
        <v>0.9</v>
      </c>
      <c r="J371">
        <v>766391.61</v>
      </c>
      <c r="K371">
        <f>Table2[[#This Row],[revenue]]/Table2[[#This Row],[budget]]</f>
        <v>8.513526924879077</v>
      </c>
      <c r="L371" s="2">
        <f t="shared" si="15"/>
        <v>766391.61</v>
      </c>
      <c r="M371" s="2">
        <f>(Table2[[#This Row],[Adjusted revenue]]-Table2[[#This Row],[budget]])/Table2[[#This Row],[budget]]</f>
        <v>7.513526924879077</v>
      </c>
      <c r="N371" t="str">
        <f t="shared" si="16"/>
        <v>OK</v>
      </c>
      <c r="O371" s="2">
        <f t="shared" si="17"/>
        <v>0.68705829997454249</v>
      </c>
    </row>
    <row r="372" spans="1:15" x14ac:dyDescent="0.3">
      <c r="A372" t="s">
        <v>390</v>
      </c>
      <c r="B372" s="1">
        <v>44866</v>
      </c>
      <c r="C372" s="1">
        <v>45365</v>
      </c>
      <c r="D372">
        <v>14495.84</v>
      </c>
      <c r="E372" s="2">
        <f>(Table2[[#This Row],[revenue]]-Table2[[#This Row],[budget]])/Table2[[#This Row],[budget]]</f>
        <v>6.2888677027340254</v>
      </c>
      <c r="F372" t="s">
        <v>18</v>
      </c>
      <c r="G372" t="s">
        <v>15</v>
      </c>
      <c r="H372" t="s">
        <v>25</v>
      </c>
      <c r="I372">
        <v>0.56000000000000005</v>
      </c>
      <c r="J372">
        <v>105658.26</v>
      </c>
      <c r="K372">
        <f>Table2[[#This Row],[revenue]]/Table2[[#This Row],[budget]]</f>
        <v>7.2888677027340254</v>
      </c>
      <c r="L372" s="2">
        <f t="shared" si="15"/>
        <v>105658.26</v>
      </c>
      <c r="M372" s="2">
        <f>(Table2[[#This Row],[Adjusted revenue]]-Table2[[#This Row],[budget]])/Table2[[#This Row],[budget]]</f>
        <v>6.2888677027340254</v>
      </c>
      <c r="N372" t="str">
        <f t="shared" si="16"/>
        <v>OK</v>
      </c>
      <c r="O372" s="2">
        <f t="shared" si="17"/>
        <v>0.42923530583874214</v>
      </c>
    </row>
    <row r="373" spans="1:15" x14ac:dyDescent="0.3">
      <c r="A373" t="s">
        <v>391</v>
      </c>
      <c r="B373" s="1">
        <v>44816</v>
      </c>
      <c r="C373" s="1">
        <v>45430</v>
      </c>
      <c r="D373">
        <v>7889.64</v>
      </c>
      <c r="E373" s="2">
        <f>(Table2[[#This Row],[revenue]]-Table2[[#This Row],[budget]])/Table2[[#This Row],[budget]]</f>
        <v>19.300203811580751</v>
      </c>
      <c r="F373" t="s">
        <v>11</v>
      </c>
      <c r="G373" t="s">
        <v>15</v>
      </c>
      <c r="H373" t="s">
        <v>25</v>
      </c>
      <c r="I373">
        <v>0.56000000000000005</v>
      </c>
      <c r="J373">
        <v>160161.29999999999</v>
      </c>
      <c r="K373">
        <f>Table2[[#This Row],[revenue]]/Table2[[#This Row],[budget]]</f>
        <v>20.300203811580754</v>
      </c>
      <c r="L373" s="2">
        <f t="shared" si="15"/>
        <v>78896.400000000009</v>
      </c>
      <c r="M373" s="2">
        <f>(Table2[[#This Row],[Adjusted revenue]]-Table2[[#This Row],[budget]])/Table2[[#This Row],[budget]]</f>
        <v>9</v>
      </c>
      <c r="N373" t="str">
        <f t="shared" si="16"/>
        <v>OK</v>
      </c>
      <c r="O373" s="2">
        <f t="shared" si="17"/>
        <v>1</v>
      </c>
    </row>
    <row r="374" spans="1:15" x14ac:dyDescent="0.3">
      <c r="A374" t="s">
        <v>392</v>
      </c>
      <c r="B374" s="1">
        <v>44823</v>
      </c>
      <c r="C374" s="1">
        <v>45433</v>
      </c>
      <c r="D374">
        <v>53658.92</v>
      </c>
      <c r="E374" s="2">
        <f>(Table2[[#This Row],[revenue]]-Table2[[#This Row],[budget]])/Table2[[#This Row],[budget]]</f>
        <v>13.187615591219503</v>
      </c>
      <c r="F374" t="s">
        <v>23</v>
      </c>
      <c r="G374" t="s">
        <v>12</v>
      </c>
      <c r="H374" t="s">
        <v>16</v>
      </c>
      <c r="I374">
        <v>0</v>
      </c>
      <c r="J374">
        <v>761292.13</v>
      </c>
      <c r="K374">
        <f>Table2[[#This Row],[revenue]]/Table2[[#This Row],[budget]]</f>
        <v>14.187615591219503</v>
      </c>
      <c r="L374" s="2">
        <f t="shared" si="15"/>
        <v>536589.19999999995</v>
      </c>
      <c r="M374" s="2">
        <f>(Table2[[#This Row],[Adjusted revenue]]-Table2[[#This Row],[budget]])/Table2[[#This Row],[budget]]</f>
        <v>9</v>
      </c>
      <c r="N374" t="str">
        <f t="shared" si="16"/>
        <v>OK</v>
      </c>
      <c r="O374" s="2">
        <f t="shared" si="17"/>
        <v>1</v>
      </c>
    </row>
    <row r="375" spans="1:15" x14ac:dyDescent="0.3">
      <c r="A375" t="s">
        <v>393</v>
      </c>
      <c r="B375" s="1">
        <v>44904</v>
      </c>
      <c r="C375" s="1">
        <v>45361</v>
      </c>
      <c r="D375">
        <v>21172.32</v>
      </c>
      <c r="E375" s="2">
        <f>(Table2[[#This Row],[revenue]]-Table2[[#This Row],[budget]])/Table2[[#This Row],[budget]]</f>
        <v>44.94179097992096</v>
      </c>
      <c r="F375" t="s">
        <v>23</v>
      </c>
      <c r="G375" t="s">
        <v>15</v>
      </c>
      <c r="H375" t="s">
        <v>25</v>
      </c>
      <c r="I375">
        <v>0.32</v>
      </c>
      <c r="J375">
        <v>972694.3</v>
      </c>
      <c r="K375">
        <f>Table2[[#This Row],[revenue]]/Table2[[#This Row],[budget]]</f>
        <v>45.94179097992096</v>
      </c>
      <c r="L375" s="2">
        <f t="shared" si="15"/>
        <v>211723.2</v>
      </c>
      <c r="M375" s="2">
        <f>(Table2[[#This Row],[Adjusted revenue]]-Table2[[#This Row],[budget]])/Table2[[#This Row],[budget]]</f>
        <v>9</v>
      </c>
      <c r="N375" t="str">
        <f t="shared" si="16"/>
        <v>OK</v>
      </c>
      <c r="O375" s="2">
        <f t="shared" si="17"/>
        <v>1</v>
      </c>
    </row>
    <row r="376" spans="1:15" x14ac:dyDescent="0.3">
      <c r="A376" t="s">
        <v>394</v>
      </c>
      <c r="B376" s="1">
        <v>45130</v>
      </c>
      <c r="C376" s="1">
        <v>45383</v>
      </c>
      <c r="D376">
        <v>88296.95</v>
      </c>
      <c r="E376" s="2">
        <f>(Table2[[#This Row],[revenue]]-Table2[[#This Row],[budget]])/Table2[[#This Row],[budget]]</f>
        <v>9.5126145353831593</v>
      </c>
      <c r="F376" t="s">
        <v>21</v>
      </c>
      <c r="G376" t="s">
        <v>15</v>
      </c>
      <c r="H376" t="s">
        <v>25</v>
      </c>
      <c r="I376">
        <v>0.13</v>
      </c>
      <c r="J376">
        <v>928231.8</v>
      </c>
      <c r="K376">
        <f>Table2[[#This Row],[revenue]]/Table2[[#This Row],[budget]]</f>
        <v>10.512614535383159</v>
      </c>
      <c r="L376" s="2">
        <f t="shared" si="15"/>
        <v>882969.5</v>
      </c>
      <c r="M376" s="2">
        <f>(Table2[[#This Row],[Adjusted revenue]]-Table2[[#This Row],[budget]])/Table2[[#This Row],[budget]]</f>
        <v>9</v>
      </c>
      <c r="N376" t="str">
        <f t="shared" si="16"/>
        <v>OK</v>
      </c>
      <c r="O376" s="2">
        <f t="shared" si="17"/>
        <v>1</v>
      </c>
    </row>
    <row r="377" spans="1:15" x14ac:dyDescent="0.3">
      <c r="A377" t="s">
        <v>395</v>
      </c>
      <c r="B377" s="1">
        <v>44819</v>
      </c>
      <c r="C377" s="1">
        <v>45387</v>
      </c>
      <c r="D377">
        <v>42970.96</v>
      </c>
      <c r="E377" s="2">
        <f>(Table2[[#This Row],[revenue]]-Table2[[#This Row],[budget]])/Table2[[#This Row],[budget]]</f>
        <v>7.0408096537754794</v>
      </c>
      <c r="F377" t="s">
        <v>21</v>
      </c>
      <c r="G377" t="s">
        <v>15</v>
      </c>
      <c r="H377" t="s">
        <v>25</v>
      </c>
      <c r="I377">
        <v>0.68</v>
      </c>
      <c r="J377">
        <v>345521.31</v>
      </c>
      <c r="K377">
        <f>Table2[[#This Row],[revenue]]/Table2[[#This Row],[budget]]</f>
        <v>8.0408096537754794</v>
      </c>
      <c r="L377" s="2">
        <f t="shared" si="15"/>
        <v>345521.31</v>
      </c>
      <c r="M377" s="2">
        <f>(Table2[[#This Row],[Adjusted revenue]]-Table2[[#This Row],[budget]])/Table2[[#This Row],[budget]]</f>
        <v>7.0408096537754794</v>
      </c>
      <c r="N377" t="str">
        <f t="shared" si="16"/>
        <v>OK</v>
      </c>
      <c r="O377" s="2">
        <f t="shared" si="17"/>
        <v>0.5875388744790484</v>
      </c>
    </row>
    <row r="378" spans="1:15" x14ac:dyDescent="0.3">
      <c r="A378" t="s">
        <v>396</v>
      </c>
      <c r="B378" s="1">
        <v>44911</v>
      </c>
      <c r="C378" s="1">
        <v>45239</v>
      </c>
      <c r="D378">
        <v>49418.2</v>
      </c>
      <c r="E378" s="2">
        <f>(Table2[[#This Row],[revenue]]-Table2[[#This Row],[budget]])/Table2[[#This Row],[budget]]</f>
        <v>17.559910923505917</v>
      </c>
      <c r="F378" t="s">
        <v>23</v>
      </c>
      <c r="G378" t="s">
        <v>12</v>
      </c>
      <c r="H378" t="s">
        <v>19</v>
      </c>
      <c r="I378">
        <v>0.83</v>
      </c>
      <c r="J378">
        <v>917197.39</v>
      </c>
      <c r="K378">
        <f>Table2[[#This Row],[revenue]]/Table2[[#This Row],[budget]]</f>
        <v>18.559910923505917</v>
      </c>
      <c r="L378" s="2">
        <f t="shared" si="15"/>
        <v>494182</v>
      </c>
      <c r="M378" s="2">
        <f>(Table2[[#This Row],[Adjusted revenue]]-Table2[[#This Row],[budget]])/Table2[[#This Row],[budget]]</f>
        <v>9</v>
      </c>
      <c r="N378" t="str">
        <f t="shared" si="16"/>
        <v>OK</v>
      </c>
      <c r="O378" s="2">
        <f t="shared" si="17"/>
        <v>1</v>
      </c>
    </row>
    <row r="379" spans="1:15" x14ac:dyDescent="0.3">
      <c r="A379" t="s">
        <v>397</v>
      </c>
      <c r="B379" s="1">
        <v>44857</v>
      </c>
      <c r="C379" s="1">
        <v>45268</v>
      </c>
      <c r="D379">
        <v>3809.12</v>
      </c>
      <c r="E379" s="2">
        <f>(Table2[[#This Row],[revenue]]-Table2[[#This Row],[budget]])/Table2[[#This Row],[budget]]</f>
        <v>149.66209255681102</v>
      </c>
      <c r="F379" t="s">
        <v>21</v>
      </c>
      <c r="G379" t="s">
        <v>15</v>
      </c>
      <c r="H379" t="s">
        <v>25</v>
      </c>
      <c r="I379">
        <v>0.2</v>
      </c>
      <c r="J379">
        <v>573889.99</v>
      </c>
      <c r="K379">
        <f>Table2[[#This Row],[revenue]]/Table2[[#This Row],[budget]]</f>
        <v>150.66209255681102</v>
      </c>
      <c r="L379" s="2">
        <f t="shared" si="15"/>
        <v>38091.199999999997</v>
      </c>
      <c r="M379" s="2">
        <f>(Table2[[#This Row],[Adjusted revenue]]-Table2[[#This Row],[budget]])/Table2[[#This Row],[budget]]</f>
        <v>8.9999999999999982</v>
      </c>
      <c r="N379" t="str">
        <f t="shared" si="16"/>
        <v>OK</v>
      </c>
      <c r="O379" s="2">
        <f t="shared" si="17"/>
        <v>0.99999999999999956</v>
      </c>
    </row>
    <row r="380" spans="1:15" x14ac:dyDescent="0.3">
      <c r="A380" t="s">
        <v>398</v>
      </c>
      <c r="B380" s="1">
        <v>45129</v>
      </c>
      <c r="C380" s="1">
        <v>45339</v>
      </c>
      <c r="D380">
        <v>96955.19</v>
      </c>
      <c r="E380" s="2">
        <f>(Table2[[#This Row],[revenue]]-Table2[[#This Row],[budget]])/Table2[[#This Row],[budget]]</f>
        <v>5.2412084386612001</v>
      </c>
      <c r="F380" t="s">
        <v>21</v>
      </c>
      <c r="G380" t="s">
        <v>12</v>
      </c>
      <c r="H380" t="s">
        <v>16</v>
      </c>
      <c r="I380">
        <v>0.51</v>
      </c>
      <c r="J380">
        <v>605117.55000000005</v>
      </c>
      <c r="K380">
        <f>Table2[[#This Row],[revenue]]/Table2[[#This Row],[budget]]</f>
        <v>6.2412084386612001</v>
      </c>
      <c r="L380" s="2">
        <f t="shared" si="15"/>
        <v>605117.55000000005</v>
      </c>
      <c r="M380" s="2">
        <f>(Table2[[#This Row],[Adjusted revenue]]-Table2[[#This Row],[budget]])/Table2[[#This Row],[budget]]</f>
        <v>5.2412084386612001</v>
      </c>
      <c r="N380" t="str">
        <f t="shared" si="16"/>
        <v>OK</v>
      </c>
      <c r="O380" s="2">
        <f t="shared" si="17"/>
        <v>0.20867546077077903</v>
      </c>
    </row>
    <row r="381" spans="1:15" x14ac:dyDescent="0.3">
      <c r="A381" t="s">
        <v>399</v>
      </c>
      <c r="B381" s="1">
        <v>44855</v>
      </c>
      <c r="C381" s="1">
        <v>45409</v>
      </c>
      <c r="D381">
        <v>22787.98</v>
      </c>
      <c r="E381" s="2">
        <f>(Table2[[#This Row],[revenue]]-Table2[[#This Row],[budget]])/Table2[[#This Row],[budget]]</f>
        <v>40.256298715375387</v>
      </c>
      <c r="F381" t="s">
        <v>21</v>
      </c>
      <c r="G381" t="s">
        <v>15</v>
      </c>
      <c r="H381" t="s">
        <v>13</v>
      </c>
      <c r="I381">
        <v>0.28999999999999998</v>
      </c>
      <c r="J381">
        <v>940147.71</v>
      </c>
      <c r="K381">
        <f>Table2[[#This Row],[revenue]]/Table2[[#This Row],[budget]]</f>
        <v>41.256298715375387</v>
      </c>
      <c r="L381" s="2">
        <f t="shared" si="15"/>
        <v>227879.8</v>
      </c>
      <c r="M381" s="2">
        <f>(Table2[[#This Row],[Adjusted revenue]]-Table2[[#This Row],[budget]])/Table2[[#This Row],[budget]]</f>
        <v>9</v>
      </c>
      <c r="N381" t="str">
        <f t="shared" si="16"/>
        <v>OK</v>
      </c>
      <c r="O381" s="2">
        <f t="shared" si="17"/>
        <v>1</v>
      </c>
    </row>
    <row r="382" spans="1:15" x14ac:dyDescent="0.3">
      <c r="A382" t="s">
        <v>400</v>
      </c>
      <c r="B382" s="1">
        <v>44915</v>
      </c>
      <c r="C382" s="1">
        <v>45240</v>
      </c>
      <c r="D382">
        <v>59550.27</v>
      </c>
      <c r="E382" s="2">
        <f>(Table2[[#This Row],[revenue]]-Table2[[#This Row],[budget]])/Table2[[#This Row],[budget]]</f>
        <v>4.8002255909167166</v>
      </c>
      <c r="F382" t="s">
        <v>23</v>
      </c>
      <c r="G382" t="s">
        <v>15</v>
      </c>
      <c r="H382" t="s">
        <v>25</v>
      </c>
      <c r="I382">
        <v>0.42</v>
      </c>
      <c r="J382">
        <v>345405</v>
      </c>
      <c r="K382">
        <f>Table2[[#This Row],[revenue]]/Table2[[#This Row],[budget]]</f>
        <v>5.8002255909167166</v>
      </c>
      <c r="L382" s="2">
        <f t="shared" si="15"/>
        <v>345405</v>
      </c>
      <c r="M382" s="2">
        <f>(Table2[[#This Row],[Adjusted revenue]]-Table2[[#This Row],[budget]])/Table2[[#This Row],[budget]]</f>
        <v>4.8002255909167166</v>
      </c>
      <c r="N382" t="str">
        <f t="shared" si="16"/>
        <v>OK</v>
      </c>
      <c r="O382" s="2">
        <f t="shared" si="17"/>
        <v>0.11583696650878239</v>
      </c>
    </row>
    <row r="383" spans="1:15" x14ac:dyDescent="0.3">
      <c r="A383" t="s">
        <v>401</v>
      </c>
      <c r="B383" s="1">
        <v>45014</v>
      </c>
      <c r="C383" s="1">
        <v>45316</v>
      </c>
      <c r="D383">
        <v>55219.7</v>
      </c>
      <c r="E383" s="2">
        <f>(Table2[[#This Row],[revenue]]-Table2[[#This Row],[budget]])/Table2[[#This Row],[budget]]</f>
        <v>10.659952879135528</v>
      </c>
      <c r="F383" t="s">
        <v>18</v>
      </c>
      <c r="G383" t="s">
        <v>12</v>
      </c>
      <c r="H383" t="s">
        <v>16</v>
      </c>
      <c r="I383">
        <v>0.64</v>
      </c>
      <c r="J383">
        <v>643859.1</v>
      </c>
      <c r="K383">
        <f>Table2[[#This Row],[revenue]]/Table2[[#This Row],[budget]]</f>
        <v>11.659952879135526</v>
      </c>
      <c r="L383" s="2">
        <f t="shared" si="15"/>
        <v>552197</v>
      </c>
      <c r="M383" s="2">
        <f>(Table2[[#This Row],[Adjusted revenue]]-Table2[[#This Row],[budget]])/Table2[[#This Row],[budget]]</f>
        <v>9</v>
      </c>
      <c r="N383" t="str">
        <f t="shared" si="16"/>
        <v>OK</v>
      </c>
      <c r="O383" s="2">
        <f t="shared" si="17"/>
        <v>1</v>
      </c>
    </row>
    <row r="384" spans="1:15" x14ac:dyDescent="0.3">
      <c r="A384" t="s">
        <v>402</v>
      </c>
      <c r="B384" s="1">
        <v>44848</v>
      </c>
      <c r="C384" s="1">
        <v>45328</v>
      </c>
      <c r="D384">
        <v>38978.720000000001</v>
      </c>
      <c r="E384" s="2">
        <f>(Table2[[#This Row],[revenue]]-Table2[[#This Row],[budget]])/Table2[[#This Row],[budget]]</f>
        <v>17.745933422133923</v>
      </c>
      <c r="F384" t="s">
        <v>18</v>
      </c>
      <c r="G384" t="s">
        <v>15</v>
      </c>
      <c r="H384" t="s">
        <v>13</v>
      </c>
      <c r="I384">
        <v>0.25</v>
      </c>
      <c r="J384">
        <v>730692.49</v>
      </c>
      <c r="K384">
        <f>Table2[[#This Row],[revenue]]/Table2[[#This Row],[budget]]</f>
        <v>18.745933422133923</v>
      </c>
      <c r="L384" s="2">
        <f t="shared" si="15"/>
        <v>389787.2</v>
      </c>
      <c r="M384" s="2">
        <f>(Table2[[#This Row],[Adjusted revenue]]-Table2[[#This Row],[budget]])/Table2[[#This Row],[budget]]</f>
        <v>9</v>
      </c>
      <c r="N384" t="str">
        <f t="shared" si="16"/>
        <v>OK</v>
      </c>
      <c r="O384" s="2">
        <f t="shared" si="17"/>
        <v>1</v>
      </c>
    </row>
    <row r="385" spans="1:15" x14ac:dyDescent="0.3">
      <c r="A385" t="s">
        <v>403</v>
      </c>
      <c r="B385" s="1">
        <v>45098</v>
      </c>
      <c r="C385" s="1">
        <v>45395</v>
      </c>
      <c r="D385">
        <v>77106.38</v>
      </c>
      <c r="E385" s="2">
        <f>(Table2[[#This Row],[revenue]]-Table2[[#This Row],[budget]])/Table2[[#This Row],[budget]]</f>
        <v>1.4349625802689736</v>
      </c>
      <c r="F385" t="s">
        <v>18</v>
      </c>
      <c r="G385" t="s">
        <v>15</v>
      </c>
      <c r="H385" t="s">
        <v>16</v>
      </c>
      <c r="I385">
        <v>0.39</v>
      </c>
      <c r="J385">
        <v>187751.15</v>
      </c>
      <c r="K385">
        <f>Table2[[#This Row],[revenue]]/Table2[[#This Row],[budget]]</f>
        <v>2.4349625802689738</v>
      </c>
      <c r="L385" s="2">
        <f t="shared" si="15"/>
        <v>187751.15</v>
      </c>
      <c r="M385" s="2">
        <f>(Table2[[#This Row],[Adjusted revenue]]-Table2[[#This Row],[budget]])/Table2[[#This Row],[budget]]</f>
        <v>1.4349625802689736</v>
      </c>
      <c r="N385" t="str">
        <f t="shared" si="16"/>
        <v>OK</v>
      </c>
      <c r="O385" s="2">
        <f t="shared" si="17"/>
        <v>-0.59263945678547925</v>
      </c>
    </row>
    <row r="386" spans="1:15" x14ac:dyDescent="0.3">
      <c r="A386" t="s">
        <v>404</v>
      </c>
      <c r="B386" s="1">
        <v>44943</v>
      </c>
      <c r="C386" s="1">
        <v>45282</v>
      </c>
      <c r="D386">
        <v>16485.72</v>
      </c>
      <c r="E386" s="2">
        <f>(Table2[[#This Row],[revenue]]-Table2[[#This Row],[budget]])/Table2[[#This Row],[budget]]</f>
        <v>-0.41075245727817777</v>
      </c>
      <c r="F386" t="s">
        <v>18</v>
      </c>
      <c r="G386" t="s">
        <v>12</v>
      </c>
      <c r="H386" t="s">
        <v>25</v>
      </c>
      <c r="I386">
        <v>0.41</v>
      </c>
      <c r="J386">
        <v>9714.17</v>
      </c>
      <c r="K386">
        <f>Table2[[#This Row],[revenue]]/Table2[[#This Row],[budget]]</f>
        <v>0.58924754272182223</v>
      </c>
      <c r="L386" s="2">
        <f t="shared" ref="L386:L449" si="18">MIN(MAX(J386, D386*0.5), D386*10)</f>
        <v>9714.17</v>
      </c>
      <c r="M386" s="2">
        <f>(Table2[[#This Row],[Adjusted revenue]]-Table2[[#This Row],[budget]])/Table2[[#This Row],[budget]]</f>
        <v>-0.41075245727817777</v>
      </c>
      <c r="N386" t="str">
        <f t="shared" ref="N386:N449" si="19">IF(M386&lt;0.5,"Failed",IF(M386&gt;10,"Suspicious","OK"))</f>
        <v>Failed</v>
      </c>
      <c r="O386" s="2">
        <f t="shared" ref="O386:O449" si="20">((M386 - (-0.5)) / (9 - (-0.5))) * (1 - (-1)) + (-1)</f>
        <v>-0.9812110436375111</v>
      </c>
    </row>
    <row r="387" spans="1:15" x14ac:dyDescent="0.3">
      <c r="A387" t="s">
        <v>405</v>
      </c>
      <c r="B387" s="1">
        <v>45078</v>
      </c>
      <c r="C387" s="1">
        <v>45149</v>
      </c>
      <c r="D387">
        <v>32297.26</v>
      </c>
      <c r="E387" s="2">
        <f>(Table2[[#This Row],[revenue]]-Table2[[#This Row],[budget]])/Table2[[#This Row],[budget]]</f>
        <v>27.485242401367795</v>
      </c>
      <c r="F387" t="s">
        <v>21</v>
      </c>
      <c r="G387" t="s">
        <v>12</v>
      </c>
      <c r="H387" t="s">
        <v>16</v>
      </c>
      <c r="I387">
        <v>0.17</v>
      </c>
      <c r="J387">
        <v>919995.28</v>
      </c>
      <c r="K387">
        <f>Table2[[#This Row],[revenue]]/Table2[[#This Row],[budget]]</f>
        <v>28.485242401367795</v>
      </c>
      <c r="L387" s="2">
        <f t="shared" si="18"/>
        <v>322972.59999999998</v>
      </c>
      <c r="M387" s="2">
        <f>(Table2[[#This Row],[Adjusted revenue]]-Table2[[#This Row],[budget]])/Table2[[#This Row],[budget]]</f>
        <v>9</v>
      </c>
      <c r="N387" t="str">
        <f t="shared" si="19"/>
        <v>OK</v>
      </c>
      <c r="O387" s="2">
        <f t="shared" si="20"/>
        <v>1</v>
      </c>
    </row>
    <row r="388" spans="1:15" x14ac:dyDescent="0.3">
      <c r="A388" t="s">
        <v>406</v>
      </c>
      <c r="B388" s="1">
        <v>45041</v>
      </c>
      <c r="C388" s="1">
        <v>45497</v>
      </c>
      <c r="D388">
        <v>80372.5</v>
      </c>
      <c r="E388" s="2">
        <f>(Table2[[#This Row],[revenue]]-Table2[[#This Row],[budget]])/Table2[[#This Row],[budget]]</f>
        <v>2.2374779930946533</v>
      </c>
      <c r="F388" t="s">
        <v>21</v>
      </c>
      <c r="G388" t="s">
        <v>12</v>
      </c>
      <c r="H388" t="s">
        <v>19</v>
      </c>
      <c r="I388">
        <v>0.3</v>
      </c>
      <c r="J388">
        <v>260204.2</v>
      </c>
      <c r="K388">
        <f>Table2[[#This Row],[revenue]]/Table2[[#This Row],[budget]]</f>
        <v>3.2374779930946533</v>
      </c>
      <c r="L388" s="2">
        <f t="shared" si="18"/>
        <v>260204.2</v>
      </c>
      <c r="M388" s="2">
        <f>(Table2[[#This Row],[Adjusted revenue]]-Table2[[#This Row],[budget]])/Table2[[#This Row],[budget]]</f>
        <v>2.2374779930946533</v>
      </c>
      <c r="N388" t="str">
        <f t="shared" si="19"/>
        <v>OK</v>
      </c>
      <c r="O388" s="2">
        <f t="shared" si="20"/>
        <v>-0.42368884355902037</v>
      </c>
    </row>
    <row r="389" spans="1:15" x14ac:dyDescent="0.3">
      <c r="A389" t="s">
        <v>407</v>
      </c>
      <c r="B389" s="1">
        <v>44895</v>
      </c>
      <c r="C389" s="1">
        <v>45369</v>
      </c>
      <c r="D389">
        <v>51871.97</v>
      </c>
      <c r="E389" s="2">
        <f>(Table2[[#This Row],[revenue]]-Table2[[#This Row],[budget]])/Table2[[#This Row],[budget]]</f>
        <v>6.517923842105863</v>
      </c>
      <c r="F389" t="s">
        <v>11</v>
      </c>
      <c r="G389" t="s">
        <v>12</v>
      </c>
      <c r="H389" t="s">
        <v>19</v>
      </c>
      <c r="I389">
        <v>0.55000000000000004</v>
      </c>
      <c r="J389">
        <v>389969.52</v>
      </c>
      <c r="K389">
        <f>Table2[[#This Row],[revenue]]/Table2[[#This Row],[budget]]</f>
        <v>7.5179238421058621</v>
      </c>
      <c r="L389" s="2">
        <f t="shared" si="18"/>
        <v>389969.52</v>
      </c>
      <c r="M389" s="2">
        <f>(Table2[[#This Row],[Adjusted revenue]]-Table2[[#This Row],[budget]])/Table2[[#This Row],[budget]]</f>
        <v>6.517923842105863</v>
      </c>
      <c r="N389" t="str">
        <f t="shared" si="19"/>
        <v>OK</v>
      </c>
      <c r="O389" s="2">
        <f t="shared" si="20"/>
        <v>0.47745765096965531</v>
      </c>
    </row>
    <row r="390" spans="1:15" x14ac:dyDescent="0.3">
      <c r="A390" t="s">
        <v>408</v>
      </c>
      <c r="B390" s="1">
        <v>44930</v>
      </c>
      <c r="C390" s="1">
        <v>45290</v>
      </c>
      <c r="D390">
        <v>3162.85</v>
      </c>
      <c r="E390" s="2">
        <f>(Table2[[#This Row],[revenue]]-Table2[[#This Row],[budget]])/Table2[[#This Row],[budget]]</f>
        <v>196.62662788308015</v>
      </c>
      <c r="F390" t="s">
        <v>23</v>
      </c>
      <c r="G390" t="s">
        <v>12</v>
      </c>
      <c r="H390" t="s">
        <v>13</v>
      </c>
      <c r="I390">
        <v>0.71</v>
      </c>
      <c r="J390">
        <v>625063.38</v>
      </c>
      <c r="K390">
        <f>Table2[[#This Row],[revenue]]/Table2[[#This Row],[budget]]</f>
        <v>197.62662788308015</v>
      </c>
      <c r="L390" s="2">
        <f t="shared" si="18"/>
        <v>31628.5</v>
      </c>
      <c r="M390" s="2">
        <f>(Table2[[#This Row],[Adjusted revenue]]-Table2[[#This Row],[budget]])/Table2[[#This Row],[budget]]</f>
        <v>9</v>
      </c>
      <c r="N390" t="str">
        <f t="shared" si="19"/>
        <v>OK</v>
      </c>
      <c r="O390" s="2">
        <f t="shared" si="20"/>
        <v>1</v>
      </c>
    </row>
    <row r="391" spans="1:15" x14ac:dyDescent="0.3">
      <c r="A391" t="s">
        <v>409</v>
      </c>
      <c r="B391" s="1">
        <v>45036</v>
      </c>
      <c r="C391" s="1">
        <v>45270</v>
      </c>
      <c r="D391">
        <v>1793.79</v>
      </c>
      <c r="E391" s="2">
        <f>(Table2[[#This Row],[revenue]]-Table2[[#This Row],[budget]])/Table2[[#This Row],[budget]]</f>
        <v>244.92031397209263</v>
      </c>
      <c r="F391" t="s">
        <v>21</v>
      </c>
      <c r="G391" t="s">
        <v>12</v>
      </c>
      <c r="H391" t="s">
        <v>16</v>
      </c>
      <c r="I391">
        <v>0.3</v>
      </c>
      <c r="J391">
        <v>441129.4</v>
      </c>
      <c r="K391">
        <f>Table2[[#This Row],[revenue]]/Table2[[#This Row],[budget]]</f>
        <v>245.92031397209263</v>
      </c>
      <c r="L391" s="2">
        <f t="shared" si="18"/>
        <v>17937.900000000001</v>
      </c>
      <c r="M391" s="2">
        <f>(Table2[[#This Row],[Adjusted revenue]]-Table2[[#This Row],[budget]])/Table2[[#This Row],[budget]]</f>
        <v>9</v>
      </c>
      <c r="N391" t="str">
        <f t="shared" si="19"/>
        <v>OK</v>
      </c>
      <c r="O391" s="2">
        <f t="shared" si="20"/>
        <v>1</v>
      </c>
    </row>
    <row r="392" spans="1:15" x14ac:dyDescent="0.3">
      <c r="A392" t="s">
        <v>410</v>
      </c>
      <c r="B392" s="1">
        <v>45038</v>
      </c>
      <c r="C392" s="1">
        <v>45227</v>
      </c>
      <c r="D392">
        <v>52804.87</v>
      </c>
      <c r="E392" s="2">
        <f>(Table2[[#This Row],[revenue]]-Table2[[#This Row],[budget]])/Table2[[#This Row],[budget]]</f>
        <v>15.667144526631729</v>
      </c>
      <c r="F392" t="s">
        <v>11</v>
      </c>
      <c r="G392" t="s">
        <v>15</v>
      </c>
      <c r="H392" t="s">
        <v>19</v>
      </c>
      <c r="I392">
        <v>0.25</v>
      </c>
      <c r="J392">
        <v>880106.4</v>
      </c>
      <c r="K392">
        <f>Table2[[#This Row],[revenue]]/Table2[[#This Row],[budget]]</f>
        <v>16.667144526631727</v>
      </c>
      <c r="L392" s="2">
        <f t="shared" si="18"/>
        <v>528048.70000000007</v>
      </c>
      <c r="M392" s="2">
        <f>(Table2[[#This Row],[Adjusted revenue]]-Table2[[#This Row],[budget]])/Table2[[#This Row],[budget]]</f>
        <v>9.0000000000000018</v>
      </c>
      <c r="N392" t="str">
        <f t="shared" si="19"/>
        <v>OK</v>
      </c>
      <c r="O392" s="2">
        <f t="shared" si="20"/>
        <v>1.0000000000000004</v>
      </c>
    </row>
    <row r="393" spans="1:15" x14ac:dyDescent="0.3">
      <c r="A393" t="s">
        <v>411</v>
      </c>
      <c r="B393" s="1">
        <v>45037</v>
      </c>
      <c r="C393" s="1">
        <v>45181</v>
      </c>
      <c r="D393">
        <v>71940.27</v>
      </c>
      <c r="E393" s="2">
        <f>(Table2[[#This Row],[revenue]]-Table2[[#This Row],[budget]])/Table2[[#This Row],[budget]]</f>
        <v>9.0151780080892099</v>
      </c>
      <c r="F393" t="s">
        <v>23</v>
      </c>
      <c r="G393" t="s">
        <v>12</v>
      </c>
      <c r="H393" t="s">
        <v>25</v>
      </c>
      <c r="I393">
        <v>0.73</v>
      </c>
      <c r="J393">
        <v>720494.61</v>
      </c>
      <c r="K393">
        <f>Table2[[#This Row],[revenue]]/Table2[[#This Row],[budget]]</f>
        <v>10.01517800808921</v>
      </c>
      <c r="L393" s="2">
        <f t="shared" si="18"/>
        <v>719402.70000000007</v>
      </c>
      <c r="M393" s="2">
        <f>(Table2[[#This Row],[Adjusted revenue]]-Table2[[#This Row],[budget]])/Table2[[#This Row],[budget]]</f>
        <v>9</v>
      </c>
      <c r="N393" t="str">
        <f t="shared" si="19"/>
        <v>OK</v>
      </c>
      <c r="O393" s="2">
        <f t="shared" si="20"/>
        <v>1</v>
      </c>
    </row>
    <row r="394" spans="1:15" x14ac:dyDescent="0.3">
      <c r="A394" t="s">
        <v>412</v>
      </c>
      <c r="B394" s="1">
        <v>45004</v>
      </c>
      <c r="C394" s="1">
        <v>45208</v>
      </c>
      <c r="D394">
        <v>83645.539999999994</v>
      </c>
      <c r="E394" s="2">
        <f>(Table2[[#This Row],[revenue]]-Table2[[#This Row],[budget]])/Table2[[#This Row],[budget]]</f>
        <v>6.2683351676610606</v>
      </c>
      <c r="F394" t="s">
        <v>23</v>
      </c>
      <c r="G394" t="s">
        <v>12</v>
      </c>
      <c r="H394" t="s">
        <v>25</v>
      </c>
      <c r="I394">
        <v>0.27</v>
      </c>
      <c r="J394">
        <v>607963.81999999995</v>
      </c>
      <c r="K394">
        <f>Table2[[#This Row],[revenue]]/Table2[[#This Row],[budget]]</f>
        <v>7.2683351676610615</v>
      </c>
      <c r="L394" s="2">
        <f t="shared" si="18"/>
        <v>607963.81999999995</v>
      </c>
      <c r="M394" s="2">
        <f>(Table2[[#This Row],[Adjusted revenue]]-Table2[[#This Row],[budget]])/Table2[[#This Row],[budget]]</f>
        <v>6.2683351676610606</v>
      </c>
      <c r="N394" t="str">
        <f t="shared" si="19"/>
        <v>OK</v>
      </c>
      <c r="O394" s="2">
        <f t="shared" si="20"/>
        <v>0.42491266687601281</v>
      </c>
    </row>
    <row r="395" spans="1:15" x14ac:dyDescent="0.3">
      <c r="A395" t="s">
        <v>413</v>
      </c>
      <c r="B395" s="1">
        <v>44833</v>
      </c>
      <c r="C395" s="1">
        <v>45365</v>
      </c>
      <c r="D395">
        <v>40895.279999999999</v>
      </c>
      <c r="E395" s="2">
        <f>(Table2[[#This Row],[revenue]]-Table2[[#This Row],[budget]])/Table2[[#This Row],[budget]]</f>
        <v>6.8932206846364652</v>
      </c>
      <c r="F395" t="s">
        <v>21</v>
      </c>
      <c r="G395" t="s">
        <v>15</v>
      </c>
      <c r="H395" t="s">
        <v>16</v>
      </c>
      <c r="I395">
        <v>0.53</v>
      </c>
      <c r="J395">
        <v>322795.46999999997</v>
      </c>
      <c r="K395">
        <f>Table2[[#This Row],[revenue]]/Table2[[#This Row],[budget]]</f>
        <v>7.8932206846364661</v>
      </c>
      <c r="L395" s="2">
        <f t="shared" si="18"/>
        <v>322795.46999999997</v>
      </c>
      <c r="M395" s="2">
        <f>(Table2[[#This Row],[Adjusted revenue]]-Table2[[#This Row],[budget]])/Table2[[#This Row],[budget]]</f>
        <v>6.8932206846364652</v>
      </c>
      <c r="N395" t="str">
        <f t="shared" si="19"/>
        <v>OK</v>
      </c>
      <c r="O395" s="2">
        <f t="shared" si="20"/>
        <v>0.55646751255504534</v>
      </c>
    </row>
    <row r="396" spans="1:15" x14ac:dyDescent="0.3">
      <c r="A396" t="s">
        <v>414</v>
      </c>
      <c r="B396" s="1">
        <v>45075</v>
      </c>
      <c r="C396" s="1">
        <v>45447</v>
      </c>
      <c r="D396">
        <v>33898.879999999997</v>
      </c>
      <c r="E396" s="2">
        <f>(Table2[[#This Row],[revenue]]-Table2[[#This Row],[budget]])/Table2[[#This Row],[budget]]</f>
        <v>7.8623733291483386</v>
      </c>
      <c r="F396" t="s">
        <v>23</v>
      </c>
      <c r="G396" t="s">
        <v>12</v>
      </c>
      <c r="H396" t="s">
        <v>25</v>
      </c>
      <c r="I396">
        <v>0.57999999999999996</v>
      </c>
      <c r="J396">
        <v>300424.53000000003</v>
      </c>
      <c r="K396">
        <f>Table2[[#This Row],[revenue]]/Table2[[#This Row],[budget]]</f>
        <v>8.8623733291483386</v>
      </c>
      <c r="L396" s="2">
        <f t="shared" si="18"/>
        <v>300424.53000000003</v>
      </c>
      <c r="M396" s="2">
        <f>(Table2[[#This Row],[Adjusted revenue]]-Table2[[#This Row],[budget]])/Table2[[#This Row],[budget]]</f>
        <v>7.8623733291483386</v>
      </c>
      <c r="N396" t="str">
        <f t="shared" si="19"/>
        <v>OK</v>
      </c>
      <c r="O396" s="2">
        <f t="shared" si="20"/>
        <v>0.76049964824175542</v>
      </c>
    </row>
    <row r="397" spans="1:15" x14ac:dyDescent="0.3">
      <c r="A397" t="s">
        <v>415</v>
      </c>
      <c r="B397" s="1">
        <v>45013</v>
      </c>
      <c r="C397" s="1">
        <v>45258</v>
      </c>
      <c r="D397">
        <v>46310.28</v>
      </c>
      <c r="E397" s="2">
        <f>(Table2[[#This Row],[revenue]]-Table2[[#This Row],[budget]])/Table2[[#This Row],[budget]]</f>
        <v>9.4955454814784108</v>
      </c>
      <c r="F397" t="s">
        <v>21</v>
      </c>
      <c r="G397" t="s">
        <v>12</v>
      </c>
      <c r="H397" t="s">
        <v>19</v>
      </c>
      <c r="I397">
        <v>0.53</v>
      </c>
      <c r="J397">
        <v>486051.65</v>
      </c>
      <c r="K397">
        <f>Table2[[#This Row],[revenue]]/Table2[[#This Row],[budget]]</f>
        <v>10.495545481478411</v>
      </c>
      <c r="L397" s="2">
        <f t="shared" si="18"/>
        <v>463102.8</v>
      </c>
      <c r="M397" s="2">
        <f>(Table2[[#This Row],[Adjusted revenue]]-Table2[[#This Row],[budget]])/Table2[[#This Row],[budget]]</f>
        <v>9</v>
      </c>
      <c r="N397" t="str">
        <f t="shared" si="19"/>
        <v>OK</v>
      </c>
      <c r="O397" s="2">
        <f t="shared" si="20"/>
        <v>1</v>
      </c>
    </row>
    <row r="398" spans="1:15" x14ac:dyDescent="0.3">
      <c r="A398" t="s">
        <v>416</v>
      </c>
      <c r="B398" s="1">
        <v>45053</v>
      </c>
      <c r="C398" s="1">
        <v>45429</v>
      </c>
      <c r="D398">
        <v>32095.599999999999</v>
      </c>
      <c r="E398" s="2">
        <f>(Table2[[#This Row],[revenue]]-Table2[[#This Row],[budget]])/Table2[[#This Row],[budget]]</f>
        <v>12.781340744525732</v>
      </c>
      <c r="F398" t="s">
        <v>11</v>
      </c>
      <c r="G398" t="s">
        <v>12</v>
      </c>
      <c r="H398" t="s">
        <v>16</v>
      </c>
      <c r="I398">
        <v>0.37</v>
      </c>
      <c r="J398">
        <v>442320.4</v>
      </c>
      <c r="K398">
        <f>Table2[[#This Row],[revenue]]/Table2[[#This Row],[budget]]</f>
        <v>13.78134074452573</v>
      </c>
      <c r="L398" s="2">
        <f t="shared" si="18"/>
        <v>320956</v>
      </c>
      <c r="M398" s="2">
        <f>(Table2[[#This Row],[Adjusted revenue]]-Table2[[#This Row],[budget]])/Table2[[#This Row],[budget]]</f>
        <v>9.0000000000000018</v>
      </c>
      <c r="N398" t="str">
        <f t="shared" si="19"/>
        <v>OK</v>
      </c>
      <c r="O398" s="2">
        <f t="shared" si="20"/>
        <v>1.0000000000000004</v>
      </c>
    </row>
    <row r="399" spans="1:15" x14ac:dyDescent="0.3">
      <c r="A399" t="s">
        <v>417</v>
      </c>
      <c r="B399" s="1">
        <v>44953</v>
      </c>
      <c r="C399" s="1">
        <v>45251</v>
      </c>
      <c r="D399">
        <v>96019.69</v>
      </c>
      <c r="E399" s="2">
        <f>(Table2[[#This Row],[revenue]]-Table2[[#This Row],[budget]])/Table2[[#This Row],[budget]]</f>
        <v>6.1580450842946908</v>
      </c>
      <c r="F399" t="s">
        <v>21</v>
      </c>
      <c r="G399" t="s">
        <v>15</v>
      </c>
      <c r="H399" t="s">
        <v>13</v>
      </c>
      <c r="I399">
        <v>0.56999999999999995</v>
      </c>
      <c r="J399">
        <v>687313.27</v>
      </c>
      <c r="K399">
        <f>Table2[[#This Row],[revenue]]/Table2[[#This Row],[budget]]</f>
        <v>7.1580450842946899</v>
      </c>
      <c r="L399" s="2">
        <f t="shared" si="18"/>
        <v>687313.27</v>
      </c>
      <c r="M399" s="2">
        <f>(Table2[[#This Row],[Adjusted revenue]]-Table2[[#This Row],[budget]])/Table2[[#This Row],[budget]]</f>
        <v>6.1580450842946908</v>
      </c>
      <c r="N399" t="str">
        <f t="shared" si="19"/>
        <v>OK</v>
      </c>
      <c r="O399" s="2">
        <f t="shared" si="20"/>
        <v>0.40169370195677701</v>
      </c>
    </row>
    <row r="400" spans="1:15" x14ac:dyDescent="0.3">
      <c r="A400" t="s">
        <v>418</v>
      </c>
      <c r="B400" s="1">
        <v>44818</v>
      </c>
      <c r="C400" s="1">
        <v>45155</v>
      </c>
      <c r="D400">
        <v>13908.21</v>
      </c>
      <c r="E400" s="2">
        <f>(Table2[[#This Row],[revenue]]-Table2[[#This Row],[budget]])/Table2[[#This Row],[budget]]</f>
        <v>57.71380932557102</v>
      </c>
      <c r="F400" t="s">
        <v>18</v>
      </c>
      <c r="G400" t="s">
        <v>12</v>
      </c>
      <c r="H400" t="s">
        <v>16</v>
      </c>
      <c r="I400">
        <v>0.88</v>
      </c>
      <c r="J400">
        <v>816603.99</v>
      </c>
      <c r="K400">
        <f>Table2[[#This Row],[revenue]]/Table2[[#This Row],[budget]]</f>
        <v>58.713809325571013</v>
      </c>
      <c r="L400" s="2">
        <f t="shared" si="18"/>
        <v>139082.09999999998</v>
      </c>
      <c r="M400" s="2">
        <f>(Table2[[#This Row],[Adjusted revenue]]-Table2[[#This Row],[budget]])/Table2[[#This Row],[budget]]</f>
        <v>9</v>
      </c>
      <c r="N400" t="str">
        <f t="shared" si="19"/>
        <v>OK</v>
      </c>
      <c r="O400" s="2">
        <f t="shared" si="20"/>
        <v>1</v>
      </c>
    </row>
    <row r="401" spans="1:15" x14ac:dyDescent="0.3">
      <c r="A401" t="s">
        <v>419</v>
      </c>
      <c r="B401" s="1">
        <v>45041</v>
      </c>
      <c r="C401" s="1">
        <v>45436</v>
      </c>
      <c r="D401">
        <v>4833.32</v>
      </c>
      <c r="E401" s="2">
        <f>(Table2[[#This Row],[revenue]]-Table2[[#This Row],[budget]])/Table2[[#This Row],[budget]]</f>
        <v>177.84970786126308</v>
      </c>
      <c r="F401" t="s">
        <v>21</v>
      </c>
      <c r="G401" t="s">
        <v>15</v>
      </c>
      <c r="H401" t="s">
        <v>16</v>
      </c>
      <c r="I401">
        <v>0.22</v>
      </c>
      <c r="J401">
        <v>864437.87</v>
      </c>
      <c r="K401">
        <f>Table2[[#This Row],[revenue]]/Table2[[#This Row],[budget]]</f>
        <v>178.84970786126308</v>
      </c>
      <c r="L401" s="2">
        <f t="shared" si="18"/>
        <v>48333.2</v>
      </c>
      <c r="M401" s="2">
        <f>(Table2[[#This Row],[Adjusted revenue]]-Table2[[#This Row],[budget]])/Table2[[#This Row],[budget]]</f>
        <v>9</v>
      </c>
      <c r="N401" t="str">
        <f t="shared" si="19"/>
        <v>OK</v>
      </c>
      <c r="O401" s="2">
        <f t="shared" si="20"/>
        <v>1</v>
      </c>
    </row>
    <row r="402" spans="1:15" x14ac:dyDescent="0.3">
      <c r="A402" t="s">
        <v>420</v>
      </c>
      <c r="B402" s="1">
        <v>44837</v>
      </c>
      <c r="C402" s="1">
        <v>45156</v>
      </c>
      <c r="D402">
        <v>28827.53</v>
      </c>
      <c r="E402" s="2">
        <f>(Table2[[#This Row],[revenue]]-Table2[[#This Row],[budget]])/Table2[[#This Row],[budget]]</f>
        <v>24.462306343970504</v>
      </c>
      <c r="F402" t="s">
        <v>23</v>
      </c>
      <c r="G402" t="s">
        <v>15</v>
      </c>
      <c r="H402" t="s">
        <v>19</v>
      </c>
      <c r="I402">
        <v>0.94</v>
      </c>
      <c r="J402">
        <v>734015.4</v>
      </c>
      <c r="K402">
        <f>Table2[[#This Row],[revenue]]/Table2[[#This Row],[budget]]</f>
        <v>25.462306343970504</v>
      </c>
      <c r="L402" s="2">
        <f t="shared" si="18"/>
        <v>288275.3</v>
      </c>
      <c r="M402" s="2">
        <f>(Table2[[#This Row],[Adjusted revenue]]-Table2[[#This Row],[budget]])/Table2[[#This Row],[budget]]</f>
        <v>9</v>
      </c>
      <c r="N402" t="str">
        <f t="shared" si="19"/>
        <v>OK</v>
      </c>
      <c r="O402" s="2">
        <f t="shared" si="20"/>
        <v>1</v>
      </c>
    </row>
    <row r="403" spans="1:15" x14ac:dyDescent="0.3">
      <c r="A403" t="s">
        <v>421</v>
      </c>
      <c r="B403" s="1">
        <v>44957</v>
      </c>
      <c r="C403" s="1">
        <v>45232</v>
      </c>
      <c r="D403">
        <v>89440.320000000007</v>
      </c>
      <c r="E403" s="2">
        <f>(Table2[[#This Row],[revenue]]-Table2[[#This Row],[budget]])/Table2[[#This Row],[budget]]</f>
        <v>9.4172907699793562</v>
      </c>
      <c r="F403" t="s">
        <v>11</v>
      </c>
      <c r="G403" t="s">
        <v>15</v>
      </c>
      <c r="H403" t="s">
        <v>16</v>
      </c>
      <c r="I403">
        <v>0.85</v>
      </c>
      <c r="J403">
        <v>931725.82</v>
      </c>
      <c r="K403">
        <f>Table2[[#This Row],[revenue]]/Table2[[#This Row],[budget]]</f>
        <v>10.417290769979354</v>
      </c>
      <c r="L403" s="2">
        <f t="shared" si="18"/>
        <v>894403.20000000007</v>
      </c>
      <c r="M403" s="2">
        <f>(Table2[[#This Row],[Adjusted revenue]]-Table2[[#This Row],[budget]])/Table2[[#This Row],[budget]]</f>
        <v>9</v>
      </c>
      <c r="N403" t="str">
        <f t="shared" si="19"/>
        <v>OK</v>
      </c>
      <c r="O403" s="2">
        <f t="shared" si="20"/>
        <v>1</v>
      </c>
    </row>
    <row r="404" spans="1:15" x14ac:dyDescent="0.3">
      <c r="A404" t="s">
        <v>422</v>
      </c>
      <c r="B404" s="1">
        <v>44926</v>
      </c>
      <c r="C404" s="1">
        <v>45305</v>
      </c>
      <c r="D404">
        <v>31564.29</v>
      </c>
      <c r="E404" s="2">
        <f>(Table2[[#This Row],[revenue]]-Table2[[#This Row],[budget]])/Table2[[#This Row],[budget]]</f>
        <v>28.501161597488807</v>
      </c>
      <c r="F404" t="s">
        <v>18</v>
      </c>
      <c r="G404" t="s">
        <v>12</v>
      </c>
      <c r="H404" t="s">
        <v>25</v>
      </c>
      <c r="I404">
        <v>0.83</v>
      </c>
      <c r="J404">
        <v>931183.22</v>
      </c>
      <c r="K404">
        <f>Table2[[#This Row],[revenue]]/Table2[[#This Row],[budget]]</f>
        <v>29.501161597488807</v>
      </c>
      <c r="L404" s="2">
        <f t="shared" si="18"/>
        <v>315642.90000000002</v>
      </c>
      <c r="M404" s="2">
        <f>(Table2[[#This Row],[Adjusted revenue]]-Table2[[#This Row],[budget]])/Table2[[#This Row],[budget]]</f>
        <v>9.0000000000000018</v>
      </c>
      <c r="N404" t="str">
        <f t="shared" si="19"/>
        <v>OK</v>
      </c>
      <c r="O404" s="2">
        <f t="shared" si="20"/>
        <v>1.0000000000000004</v>
      </c>
    </row>
    <row r="405" spans="1:15" x14ac:dyDescent="0.3">
      <c r="A405" t="s">
        <v>423</v>
      </c>
      <c r="B405" s="1">
        <v>44800</v>
      </c>
      <c r="C405" s="1">
        <v>45292</v>
      </c>
      <c r="D405">
        <v>86492.2</v>
      </c>
      <c r="E405" s="2">
        <f>(Table2[[#This Row],[revenue]]-Table2[[#This Row],[budget]])/Table2[[#This Row],[budget]]</f>
        <v>0.41514148096591369</v>
      </c>
      <c r="F405" t="s">
        <v>18</v>
      </c>
      <c r="G405" t="s">
        <v>12</v>
      </c>
      <c r="H405" t="s">
        <v>19</v>
      </c>
      <c r="I405">
        <v>0.23</v>
      </c>
      <c r="J405">
        <v>122398.7</v>
      </c>
      <c r="K405">
        <f>Table2[[#This Row],[revenue]]/Table2[[#This Row],[budget]]</f>
        <v>1.4151414809659137</v>
      </c>
      <c r="L405" s="2">
        <f t="shared" si="18"/>
        <v>122398.7</v>
      </c>
      <c r="M405" s="2">
        <f>(Table2[[#This Row],[Adjusted revenue]]-Table2[[#This Row],[budget]])/Table2[[#This Row],[budget]]</f>
        <v>0.41514148096591369</v>
      </c>
      <c r="N405" t="str">
        <f t="shared" si="19"/>
        <v>Failed</v>
      </c>
      <c r="O405" s="2">
        <f t="shared" si="20"/>
        <v>-0.8073386355861234</v>
      </c>
    </row>
    <row r="406" spans="1:15" x14ac:dyDescent="0.3">
      <c r="A406" t="s">
        <v>424</v>
      </c>
      <c r="B406" s="1">
        <v>45120</v>
      </c>
      <c r="C406" s="1">
        <v>45466</v>
      </c>
      <c r="D406">
        <v>13945.61</v>
      </c>
      <c r="E406" s="2">
        <f>(Table2[[#This Row],[revenue]]-Table2[[#This Row],[budget]])/Table2[[#This Row],[budget]]</f>
        <v>55.993985203945904</v>
      </c>
      <c r="F406" t="s">
        <v>11</v>
      </c>
      <c r="G406" t="s">
        <v>12</v>
      </c>
      <c r="H406" t="s">
        <v>16</v>
      </c>
      <c r="I406">
        <v>0.56999999999999995</v>
      </c>
      <c r="J406">
        <v>794815.89</v>
      </c>
      <c r="K406">
        <f>Table2[[#This Row],[revenue]]/Table2[[#This Row],[budget]]</f>
        <v>56.993985203945897</v>
      </c>
      <c r="L406" s="2">
        <f t="shared" si="18"/>
        <v>139456.1</v>
      </c>
      <c r="M406" s="2">
        <f>(Table2[[#This Row],[Adjusted revenue]]-Table2[[#This Row],[budget]])/Table2[[#This Row],[budget]]</f>
        <v>9</v>
      </c>
      <c r="N406" t="str">
        <f t="shared" si="19"/>
        <v>OK</v>
      </c>
      <c r="O406" s="2">
        <f t="shared" si="20"/>
        <v>1</v>
      </c>
    </row>
    <row r="407" spans="1:15" x14ac:dyDescent="0.3">
      <c r="A407" t="s">
        <v>425</v>
      </c>
      <c r="B407" s="1">
        <v>44945</v>
      </c>
      <c r="C407" s="1">
        <v>45201</v>
      </c>
      <c r="D407">
        <v>13105.34</v>
      </c>
      <c r="E407" s="2">
        <f>(Table2[[#This Row],[revenue]]-Table2[[#This Row],[budget]])/Table2[[#This Row],[budget]]</f>
        <v>37.287030325043069</v>
      </c>
      <c r="F407" t="s">
        <v>23</v>
      </c>
      <c r="G407" t="s">
        <v>12</v>
      </c>
      <c r="H407" t="s">
        <v>19</v>
      </c>
      <c r="I407">
        <v>0.6</v>
      </c>
      <c r="J407">
        <v>501764.55</v>
      </c>
      <c r="K407">
        <f>Table2[[#This Row],[revenue]]/Table2[[#This Row],[budget]]</f>
        <v>38.287030325043069</v>
      </c>
      <c r="L407" s="2">
        <f t="shared" si="18"/>
        <v>131053.4</v>
      </c>
      <c r="M407" s="2">
        <f>(Table2[[#This Row],[Adjusted revenue]]-Table2[[#This Row],[budget]])/Table2[[#This Row],[budget]]</f>
        <v>9</v>
      </c>
      <c r="N407" t="str">
        <f t="shared" si="19"/>
        <v>OK</v>
      </c>
      <c r="O407" s="2">
        <f t="shared" si="20"/>
        <v>1</v>
      </c>
    </row>
    <row r="408" spans="1:15" x14ac:dyDescent="0.3">
      <c r="A408" t="s">
        <v>426</v>
      </c>
      <c r="B408" s="1">
        <v>44806</v>
      </c>
      <c r="C408" s="1">
        <v>45210</v>
      </c>
      <c r="D408">
        <v>27771.85</v>
      </c>
      <c r="E408" s="2">
        <f>(Table2[[#This Row],[revenue]]-Table2[[#This Row],[budget]])/Table2[[#This Row],[budget]]</f>
        <v>23.253881898397122</v>
      </c>
      <c r="F408" t="s">
        <v>23</v>
      </c>
      <c r="G408" t="s">
        <v>12</v>
      </c>
      <c r="H408" t="s">
        <v>25</v>
      </c>
      <c r="I408">
        <v>0.57999999999999996</v>
      </c>
      <c r="J408">
        <v>673575.17</v>
      </c>
      <c r="K408">
        <f>Table2[[#This Row],[revenue]]/Table2[[#This Row],[budget]]</f>
        <v>24.253881898397122</v>
      </c>
      <c r="L408" s="2">
        <f t="shared" si="18"/>
        <v>277718.5</v>
      </c>
      <c r="M408" s="2">
        <f>(Table2[[#This Row],[Adjusted revenue]]-Table2[[#This Row],[budget]])/Table2[[#This Row],[budget]]</f>
        <v>9</v>
      </c>
      <c r="N408" t="str">
        <f t="shared" si="19"/>
        <v>OK</v>
      </c>
      <c r="O408" s="2">
        <f t="shared" si="20"/>
        <v>1</v>
      </c>
    </row>
    <row r="409" spans="1:15" x14ac:dyDescent="0.3">
      <c r="A409" t="s">
        <v>427</v>
      </c>
      <c r="B409" s="1">
        <v>44981</v>
      </c>
      <c r="C409" s="1">
        <v>45198</v>
      </c>
      <c r="D409">
        <v>30544.22</v>
      </c>
      <c r="E409" s="2">
        <f>(Table2[[#This Row],[revenue]]-Table2[[#This Row],[budget]])/Table2[[#This Row],[budget]]</f>
        <v>0.31767876213568391</v>
      </c>
      <c r="F409" t="s">
        <v>18</v>
      </c>
      <c r="G409" t="s">
        <v>12</v>
      </c>
      <c r="H409" t="s">
        <v>13</v>
      </c>
      <c r="I409">
        <v>0.47</v>
      </c>
      <c r="J409">
        <v>40247.47</v>
      </c>
      <c r="K409">
        <f>Table2[[#This Row],[revenue]]/Table2[[#This Row],[budget]]</f>
        <v>1.317678762135684</v>
      </c>
      <c r="L409" s="2">
        <f t="shared" si="18"/>
        <v>40247.47</v>
      </c>
      <c r="M409" s="2">
        <f>(Table2[[#This Row],[Adjusted revenue]]-Table2[[#This Row],[budget]])/Table2[[#This Row],[budget]]</f>
        <v>0.31767876213568391</v>
      </c>
      <c r="N409" t="str">
        <f t="shared" si="19"/>
        <v>Failed</v>
      </c>
      <c r="O409" s="2">
        <f t="shared" si="20"/>
        <v>-0.82785710270827706</v>
      </c>
    </row>
    <row r="410" spans="1:15" x14ac:dyDescent="0.3">
      <c r="A410" t="s">
        <v>428</v>
      </c>
      <c r="B410" s="1">
        <v>45013</v>
      </c>
      <c r="C410" s="1">
        <v>45252</v>
      </c>
      <c r="D410">
        <v>35286.839999999997</v>
      </c>
      <c r="E410" s="2">
        <f>(Table2[[#This Row],[revenue]]-Table2[[#This Row],[budget]])/Table2[[#This Row],[budget]]</f>
        <v>4.5275349110319887</v>
      </c>
      <c r="F410" t="s">
        <v>21</v>
      </c>
      <c r="G410" t="s">
        <v>12</v>
      </c>
      <c r="H410" t="s">
        <v>19</v>
      </c>
      <c r="I410">
        <v>0.45</v>
      </c>
      <c r="J410">
        <v>195049.24</v>
      </c>
      <c r="K410">
        <f>Table2[[#This Row],[revenue]]/Table2[[#This Row],[budget]]</f>
        <v>5.5275349110319887</v>
      </c>
      <c r="L410" s="2">
        <f t="shared" si="18"/>
        <v>195049.24</v>
      </c>
      <c r="M410" s="2">
        <f>(Table2[[#This Row],[Adjusted revenue]]-Table2[[#This Row],[budget]])/Table2[[#This Row],[budget]]</f>
        <v>4.5275349110319887</v>
      </c>
      <c r="N410" t="str">
        <f t="shared" si="19"/>
        <v>OK</v>
      </c>
      <c r="O410" s="2">
        <f t="shared" si="20"/>
        <v>5.8428402322523887E-2</v>
      </c>
    </row>
    <row r="411" spans="1:15" x14ac:dyDescent="0.3">
      <c r="A411" t="s">
        <v>429</v>
      </c>
      <c r="B411" s="1">
        <v>45000</v>
      </c>
      <c r="C411" s="1">
        <v>45419</v>
      </c>
      <c r="D411">
        <v>23254.87</v>
      </c>
      <c r="E411" s="2">
        <f>(Table2[[#This Row],[revenue]]-Table2[[#This Row],[budget]])/Table2[[#This Row],[budget]]</f>
        <v>34.147760877614026</v>
      </c>
      <c r="F411" t="s">
        <v>23</v>
      </c>
      <c r="G411" t="s">
        <v>15</v>
      </c>
      <c r="H411" t="s">
        <v>16</v>
      </c>
      <c r="I411">
        <v>0.59</v>
      </c>
      <c r="J411">
        <v>817356.61</v>
      </c>
      <c r="K411">
        <f>Table2[[#This Row],[revenue]]/Table2[[#This Row],[budget]]</f>
        <v>35.147760877614026</v>
      </c>
      <c r="L411" s="2">
        <f t="shared" si="18"/>
        <v>232548.69999999998</v>
      </c>
      <c r="M411" s="2">
        <f>(Table2[[#This Row],[Adjusted revenue]]-Table2[[#This Row],[budget]])/Table2[[#This Row],[budget]]</f>
        <v>9</v>
      </c>
      <c r="N411" t="str">
        <f t="shared" si="19"/>
        <v>OK</v>
      </c>
      <c r="O411" s="2">
        <f t="shared" si="20"/>
        <v>1</v>
      </c>
    </row>
    <row r="412" spans="1:15" x14ac:dyDescent="0.3">
      <c r="A412" t="s">
        <v>430</v>
      </c>
      <c r="B412" s="1">
        <v>44798</v>
      </c>
      <c r="C412" s="1">
        <v>45264</v>
      </c>
      <c r="D412">
        <v>29101.58</v>
      </c>
      <c r="E412" s="2">
        <f>(Table2[[#This Row],[revenue]]-Table2[[#This Row],[budget]])/Table2[[#This Row],[budget]]</f>
        <v>26.439693652372139</v>
      </c>
      <c r="F412" t="s">
        <v>11</v>
      </c>
      <c r="G412" t="s">
        <v>15</v>
      </c>
      <c r="H412" t="s">
        <v>25</v>
      </c>
      <c r="I412">
        <v>0.56999999999999995</v>
      </c>
      <c r="J412">
        <v>798538.44</v>
      </c>
      <c r="K412">
        <f>Table2[[#This Row],[revenue]]/Table2[[#This Row],[budget]]</f>
        <v>27.439693652372135</v>
      </c>
      <c r="L412" s="2">
        <f t="shared" si="18"/>
        <v>291015.80000000005</v>
      </c>
      <c r="M412" s="2">
        <f>(Table2[[#This Row],[Adjusted revenue]]-Table2[[#This Row],[budget]])/Table2[[#This Row],[budget]]</f>
        <v>9</v>
      </c>
      <c r="N412" t="str">
        <f t="shared" si="19"/>
        <v>OK</v>
      </c>
      <c r="O412" s="2">
        <f t="shared" si="20"/>
        <v>1</v>
      </c>
    </row>
    <row r="413" spans="1:15" x14ac:dyDescent="0.3">
      <c r="A413" t="s">
        <v>431</v>
      </c>
      <c r="B413" s="1">
        <v>45121</v>
      </c>
      <c r="C413" s="1">
        <v>45491</v>
      </c>
      <c r="D413">
        <v>31358.99</v>
      </c>
      <c r="E413" s="2">
        <f>(Table2[[#This Row],[revenue]]-Table2[[#This Row],[budget]])/Table2[[#This Row],[budget]]</f>
        <v>11.079934015732013</v>
      </c>
      <c r="F413" t="s">
        <v>23</v>
      </c>
      <c r="G413" t="s">
        <v>15</v>
      </c>
      <c r="H413" t="s">
        <v>25</v>
      </c>
      <c r="I413">
        <v>0.86</v>
      </c>
      <c r="J413">
        <v>378814.53</v>
      </c>
      <c r="K413">
        <f>Table2[[#This Row],[revenue]]/Table2[[#This Row],[budget]]</f>
        <v>12.079934015732013</v>
      </c>
      <c r="L413" s="2">
        <f t="shared" si="18"/>
        <v>313589.90000000002</v>
      </c>
      <c r="M413" s="2">
        <f>(Table2[[#This Row],[Adjusted revenue]]-Table2[[#This Row],[budget]])/Table2[[#This Row],[budget]]</f>
        <v>9</v>
      </c>
      <c r="N413" t="str">
        <f t="shared" si="19"/>
        <v>OK</v>
      </c>
      <c r="O413" s="2">
        <f t="shared" si="20"/>
        <v>1</v>
      </c>
    </row>
    <row r="414" spans="1:15" x14ac:dyDescent="0.3">
      <c r="A414" t="s">
        <v>432</v>
      </c>
      <c r="B414" s="1">
        <v>45018</v>
      </c>
      <c r="C414" s="1">
        <v>45161</v>
      </c>
      <c r="D414">
        <v>51725.95</v>
      </c>
      <c r="E414" s="2">
        <f>(Table2[[#This Row],[revenue]]-Table2[[#This Row],[budget]])/Table2[[#This Row],[budget]]</f>
        <v>11.643937907375312</v>
      </c>
      <c r="F414" t="s">
        <v>11</v>
      </c>
      <c r="G414" t="s">
        <v>12</v>
      </c>
      <c r="H414" t="s">
        <v>19</v>
      </c>
      <c r="I414">
        <v>0.72</v>
      </c>
      <c r="J414">
        <v>654019.69999999995</v>
      </c>
      <c r="K414">
        <f>Table2[[#This Row],[revenue]]/Table2[[#This Row],[budget]]</f>
        <v>12.643937907375312</v>
      </c>
      <c r="L414" s="2">
        <f t="shared" si="18"/>
        <v>517259.5</v>
      </c>
      <c r="M414" s="2">
        <f>(Table2[[#This Row],[Adjusted revenue]]-Table2[[#This Row],[budget]])/Table2[[#This Row],[budget]]</f>
        <v>9</v>
      </c>
      <c r="N414" t="str">
        <f t="shared" si="19"/>
        <v>OK</v>
      </c>
      <c r="O414" s="2">
        <f t="shared" si="20"/>
        <v>1</v>
      </c>
    </row>
    <row r="415" spans="1:15" x14ac:dyDescent="0.3">
      <c r="A415" t="s">
        <v>433</v>
      </c>
      <c r="B415" s="1">
        <v>44795</v>
      </c>
      <c r="C415" s="1">
        <v>45218</v>
      </c>
      <c r="D415">
        <v>28468.75</v>
      </c>
      <c r="E415" s="2">
        <f>(Table2[[#This Row],[revenue]]-Table2[[#This Row],[budget]])/Table2[[#This Row],[budget]]</f>
        <v>4.3195837541163558</v>
      </c>
      <c r="F415" t="s">
        <v>21</v>
      </c>
      <c r="G415" t="s">
        <v>15</v>
      </c>
      <c r="H415" t="s">
        <v>13</v>
      </c>
      <c r="I415">
        <v>0.11</v>
      </c>
      <c r="J415">
        <v>151441.9</v>
      </c>
      <c r="K415">
        <f>Table2[[#This Row],[revenue]]/Table2[[#This Row],[budget]]</f>
        <v>5.3195837541163558</v>
      </c>
      <c r="L415" s="2">
        <f t="shared" si="18"/>
        <v>151441.9</v>
      </c>
      <c r="M415" s="2">
        <f>(Table2[[#This Row],[Adjusted revenue]]-Table2[[#This Row],[budget]])/Table2[[#This Row],[budget]]</f>
        <v>4.3195837541163558</v>
      </c>
      <c r="N415" t="str">
        <f t="shared" si="19"/>
        <v>OK</v>
      </c>
      <c r="O415" s="2">
        <f t="shared" si="20"/>
        <v>1.4649211392917083E-2</v>
      </c>
    </row>
    <row r="416" spans="1:15" x14ac:dyDescent="0.3">
      <c r="A416" t="s">
        <v>434</v>
      </c>
      <c r="B416" s="1">
        <v>44824</v>
      </c>
      <c r="C416" s="1">
        <v>45373</v>
      </c>
      <c r="D416">
        <v>8627.43</v>
      </c>
      <c r="E416" s="2">
        <f>(Table2[[#This Row],[revenue]]-Table2[[#This Row],[budget]])/Table2[[#This Row],[budget]]</f>
        <v>94.393463638650204</v>
      </c>
      <c r="F416" t="s">
        <v>11</v>
      </c>
      <c r="G416" t="s">
        <v>12</v>
      </c>
      <c r="H416" t="s">
        <v>16</v>
      </c>
      <c r="I416">
        <v>0.75</v>
      </c>
      <c r="J416">
        <v>823000.43</v>
      </c>
      <c r="K416">
        <f>Table2[[#This Row],[revenue]]/Table2[[#This Row],[budget]]</f>
        <v>95.393463638650218</v>
      </c>
      <c r="L416" s="2">
        <f t="shared" si="18"/>
        <v>86274.3</v>
      </c>
      <c r="M416" s="2">
        <f>(Table2[[#This Row],[Adjusted revenue]]-Table2[[#This Row],[budget]])/Table2[[#This Row],[budget]]</f>
        <v>9</v>
      </c>
      <c r="N416" t="str">
        <f t="shared" si="19"/>
        <v>OK</v>
      </c>
      <c r="O416" s="2">
        <f t="shared" si="20"/>
        <v>1</v>
      </c>
    </row>
    <row r="417" spans="1:15" x14ac:dyDescent="0.3">
      <c r="A417" t="s">
        <v>435</v>
      </c>
      <c r="B417" s="1">
        <v>45028</v>
      </c>
      <c r="C417" s="1">
        <v>45349</v>
      </c>
      <c r="D417">
        <v>92072.41</v>
      </c>
      <c r="E417" s="2">
        <f>(Table2[[#This Row],[revenue]]-Table2[[#This Row],[budget]])/Table2[[#This Row],[budget]]</f>
        <v>-0.9042935880574865</v>
      </c>
      <c r="F417" t="s">
        <v>11</v>
      </c>
      <c r="G417" t="s">
        <v>12</v>
      </c>
      <c r="H417" t="s">
        <v>13</v>
      </c>
      <c r="I417">
        <v>0.54</v>
      </c>
      <c r="J417">
        <v>8811.92</v>
      </c>
      <c r="K417">
        <f>Table2[[#This Row],[revenue]]/Table2[[#This Row],[budget]]</f>
        <v>9.5706411942513503E-2</v>
      </c>
      <c r="L417" s="2">
        <f t="shared" si="18"/>
        <v>46036.205000000002</v>
      </c>
      <c r="M417" s="2">
        <f>(Table2[[#This Row],[Adjusted revenue]]-Table2[[#This Row],[budget]])/Table2[[#This Row],[budget]]</f>
        <v>-0.5</v>
      </c>
      <c r="N417" t="str">
        <f t="shared" si="19"/>
        <v>Failed</v>
      </c>
      <c r="O417" s="2">
        <f t="shared" si="20"/>
        <v>-1</v>
      </c>
    </row>
    <row r="418" spans="1:15" x14ac:dyDescent="0.3">
      <c r="A418" t="s">
        <v>436</v>
      </c>
      <c r="B418" s="1">
        <v>44955</v>
      </c>
      <c r="C418" s="1">
        <v>45265</v>
      </c>
      <c r="D418">
        <v>42804.51</v>
      </c>
      <c r="E418" s="2">
        <f>(Table2[[#This Row],[revenue]]-Table2[[#This Row],[budget]])/Table2[[#This Row],[budget]]</f>
        <v>14.198747281536455</v>
      </c>
      <c r="F418" t="s">
        <v>18</v>
      </c>
      <c r="G418" t="s">
        <v>15</v>
      </c>
      <c r="H418" t="s">
        <v>13</v>
      </c>
      <c r="I418">
        <v>0.79</v>
      </c>
      <c r="J418">
        <v>650574.93000000005</v>
      </c>
      <c r="K418">
        <f>Table2[[#This Row],[revenue]]/Table2[[#This Row],[budget]]</f>
        <v>15.198747281536455</v>
      </c>
      <c r="L418" s="2">
        <f t="shared" si="18"/>
        <v>428045.10000000003</v>
      </c>
      <c r="M418" s="2">
        <f>(Table2[[#This Row],[Adjusted revenue]]-Table2[[#This Row],[budget]])/Table2[[#This Row],[budget]]</f>
        <v>9</v>
      </c>
      <c r="N418" t="str">
        <f t="shared" si="19"/>
        <v>OK</v>
      </c>
      <c r="O418" s="2">
        <f t="shared" si="20"/>
        <v>1</v>
      </c>
    </row>
    <row r="419" spans="1:15" x14ac:dyDescent="0.3">
      <c r="A419" t="s">
        <v>437</v>
      </c>
      <c r="B419" s="1">
        <v>44812</v>
      </c>
      <c r="C419" s="1">
        <v>45413</v>
      </c>
      <c r="D419">
        <v>4270.96</v>
      </c>
      <c r="E419" s="2">
        <f>(Table2[[#This Row],[revenue]]-Table2[[#This Row],[budget]])/Table2[[#This Row],[budget]]</f>
        <v>6.238932230692865</v>
      </c>
      <c r="F419" t="s">
        <v>11</v>
      </c>
      <c r="G419" t="s">
        <v>12</v>
      </c>
      <c r="H419" t="s">
        <v>16</v>
      </c>
      <c r="I419">
        <v>0.8</v>
      </c>
      <c r="J419">
        <v>30917.19</v>
      </c>
      <c r="K419">
        <f>Table2[[#This Row],[revenue]]/Table2[[#This Row],[budget]]</f>
        <v>7.238932230692865</v>
      </c>
      <c r="L419" s="2">
        <f t="shared" si="18"/>
        <v>30917.19</v>
      </c>
      <c r="M419" s="2">
        <f>(Table2[[#This Row],[Adjusted revenue]]-Table2[[#This Row],[budget]])/Table2[[#This Row],[budget]]</f>
        <v>6.238932230692865</v>
      </c>
      <c r="N419" t="str">
        <f t="shared" si="19"/>
        <v>OK</v>
      </c>
      <c r="O419" s="2">
        <f t="shared" si="20"/>
        <v>0.41872257488270836</v>
      </c>
    </row>
    <row r="420" spans="1:15" x14ac:dyDescent="0.3">
      <c r="A420" t="s">
        <v>438</v>
      </c>
      <c r="B420" s="1">
        <v>44803</v>
      </c>
      <c r="C420" s="1">
        <v>45343</v>
      </c>
      <c r="D420">
        <v>68514.740000000005</v>
      </c>
      <c r="E420" s="2">
        <f>(Table2[[#This Row],[revenue]]-Table2[[#This Row],[budget]])/Table2[[#This Row],[budget]]</f>
        <v>0.79620064237272148</v>
      </c>
      <c r="F420" t="s">
        <v>18</v>
      </c>
      <c r="G420" t="s">
        <v>12</v>
      </c>
      <c r="H420" t="s">
        <v>13</v>
      </c>
      <c r="I420">
        <v>0.75</v>
      </c>
      <c r="J420">
        <v>123066.22</v>
      </c>
      <c r="K420">
        <f>Table2[[#This Row],[revenue]]/Table2[[#This Row],[budget]]</f>
        <v>1.7962006423727215</v>
      </c>
      <c r="L420" s="2">
        <f t="shared" si="18"/>
        <v>123066.22</v>
      </c>
      <c r="M420" s="2">
        <f>(Table2[[#This Row],[Adjusted revenue]]-Table2[[#This Row],[budget]])/Table2[[#This Row],[budget]]</f>
        <v>0.79620064237272148</v>
      </c>
      <c r="N420" t="str">
        <f t="shared" si="19"/>
        <v>OK</v>
      </c>
      <c r="O420" s="2">
        <f t="shared" si="20"/>
        <v>-0.72711565423732183</v>
      </c>
    </row>
    <row r="421" spans="1:15" x14ac:dyDescent="0.3">
      <c r="A421" t="s">
        <v>439</v>
      </c>
      <c r="B421" s="1">
        <v>45125</v>
      </c>
      <c r="C421" s="1">
        <v>45489</v>
      </c>
      <c r="D421">
        <v>76849</v>
      </c>
      <c r="E421" s="2">
        <f>(Table2[[#This Row],[revenue]]-Table2[[#This Row],[budget]])/Table2[[#This Row],[budget]]</f>
        <v>4.9034014756210231</v>
      </c>
      <c r="F421" t="s">
        <v>21</v>
      </c>
      <c r="G421" t="s">
        <v>15</v>
      </c>
      <c r="H421" t="s">
        <v>16</v>
      </c>
      <c r="I421">
        <v>0.45</v>
      </c>
      <c r="J421">
        <v>453670.5</v>
      </c>
      <c r="K421">
        <f>Table2[[#This Row],[revenue]]/Table2[[#This Row],[budget]]</f>
        <v>5.9034014756210231</v>
      </c>
      <c r="L421" s="2">
        <f t="shared" si="18"/>
        <v>453670.5</v>
      </c>
      <c r="M421" s="2">
        <f>(Table2[[#This Row],[Adjusted revenue]]-Table2[[#This Row],[budget]])/Table2[[#This Row],[budget]]</f>
        <v>4.9034014756210231</v>
      </c>
      <c r="N421" t="str">
        <f t="shared" si="19"/>
        <v>OK</v>
      </c>
      <c r="O421" s="2">
        <f t="shared" si="20"/>
        <v>0.13755820539389951</v>
      </c>
    </row>
    <row r="422" spans="1:15" x14ac:dyDescent="0.3">
      <c r="A422" t="s">
        <v>440</v>
      </c>
      <c r="B422" s="1">
        <v>45050</v>
      </c>
      <c r="C422" s="1">
        <v>45435</v>
      </c>
      <c r="D422">
        <v>74278.5</v>
      </c>
      <c r="E422" s="2">
        <f>(Table2[[#This Row],[revenue]]-Table2[[#This Row],[budget]])/Table2[[#This Row],[budget]]</f>
        <v>10.623926977523778</v>
      </c>
      <c r="F422" t="s">
        <v>23</v>
      </c>
      <c r="G422" t="s">
        <v>12</v>
      </c>
      <c r="H422" t="s">
        <v>16</v>
      </c>
      <c r="I422">
        <v>0.12</v>
      </c>
      <c r="J422">
        <v>863407.86</v>
      </c>
      <c r="K422">
        <f>Table2[[#This Row],[revenue]]/Table2[[#This Row],[budget]]</f>
        <v>11.623926977523778</v>
      </c>
      <c r="L422" s="2">
        <f t="shared" si="18"/>
        <v>742785</v>
      </c>
      <c r="M422" s="2">
        <f>(Table2[[#This Row],[Adjusted revenue]]-Table2[[#This Row],[budget]])/Table2[[#This Row],[budget]]</f>
        <v>9</v>
      </c>
      <c r="N422" t="str">
        <f t="shared" si="19"/>
        <v>OK</v>
      </c>
      <c r="O422" s="2">
        <f t="shared" si="20"/>
        <v>1</v>
      </c>
    </row>
    <row r="423" spans="1:15" x14ac:dyDescent="0.3">
      <c r="A423" t="s">
        <v>441</v>
      </c>
      <c r="B423" s="1">
        <v>44935</v>
      </c>
      <c r="C423" s="1">
        <v>45400</v>
      </c>
      <c r="D423">
        <v>21674.14</v>
      </c>
      <c r="E423" s="2">
        <f>(Table2[[#This Row],[revenue]]-Table2[[#This Row],[budget]])/Table2[[#This Row],[budget]]</f>
        <v>41.334563678189767</v>
      </c>
      <c r="F423" t="s">
        <v>18</v>
      </c>
      <c r="G423" t="s">
        <v>12</v>
      </c>
      <c r="H423" t="s">
        <v>16</v>
      </c>
      <c r="I423">
        <v>0.65</v>
      </c>
      <c r="J423">
        <v>917565.26</v>
      </c>
      <c r="K423">
        <f>Table2[[#This Row],[revenue]]/Table2[[#This Row],[budget]]</f>
        <v>42.334563678189774</v>
      </c>
      <c r="L423" s="2">
        <f t="shared" si="18"/>
        <v>216741.4</v>
      </c>
      <c r="M423" s="2">
        <f>(Table2[[#This Row],[Adjusted revenue]]-Table2[[#This Row],[budget]])/Table2[[#This Row],[budget]]</f>
        <v>9</v>
      </c>
      <c r="N423" t="str">
        <f t="shared" si="19"/>
        <v>OK</v>
      </c>
      <c r="O423" s="2">
        <f t="shared" si="20"/>
        <v>1</v>
      </c>
    </row>
    <row r="424" spans="1:15" x14ac:dyDescent="0.3">
      <c r="A424" t="s">
        <v>442</v>
      </c>
      <c r="B424" s="1">
        <v>44825</v>
      </c>
      <c r="C424" s="1">
        <v>45435</v>
      </c>
      <c r="D424">
        <v>72864.67</v>
      </c>
      <c r="E424" s="2">
        <f>(Table2[[#This Row],[revenue]]-Table2[[#This Row],[budget]])/Table2[[#This Row],[budget]]</f>
        <v>3.9460554751706147</v>
      </c>
      <c r="F424" t="s">
        <v>23</v>
      </c>
      <c r="G424" t="s">
        <v>15</v>
      </c>
      <c r="H424" t="s">
        <v>25</v>
      </c>
      <c r="I424">
        <v>0.7</v>
      </c>
      <c r="J424">
        <v>360392.7</v>
      </c>
      <c r="K424">
        <f>Table2[[#This Row],[revenue]]/Table2[[#This Row],[budget]]</f>
        <v>4.9460554751706143</v>
      </c>
      <c r="L424" s="2">
        <f t="shared" si="18"/>
        <v>360392.7</v>
      </c>
      <c r="M424" s="2">
        <f>(Table2[[#This Row],[Adjusted revenue]]-Table2[[#This Row],[budget]])/Table2[[#This Row],[budget]]</f>
        <v>3.9460554751706147</v>
      </c>
      <c r="N424" t="str">
        <f t="shared" si="19"/>
        <v>OK</v>
      </c>
      <c r="O424" s="2">
        <f t="shared" si="20"/>
        <v>-6.398832101671259E-2</v>
      </c>
    </row>
    <row r="425" spans="1:15" x14ac:dyDescent="0.3">
      <c r="A425" t="s">
        <v>443</v>
      </c>
      <c r="B425" s="1">
        <v>44955</v>
      </c>
      <c r="C425" s="1">
        <v>45485</v>
      </c>
      <c r="D425">
        <v>47218.62</v>
      </c>
      <c r="E425" s="2">
        <f>(Table2[[#This Row],[revenue]]-Table2[[#This Row],[budget]])/Table2[[#This Row],[budget]]</f>
        <v>18.73034175924667</v>
      </c>
      <c r="F425" t="s">
        <v>18</v>
      </c>
      <c r="G425" t="s">
        <v>12</v>
      </c>
      <c r="H425" t="s">
        <v>25</v>
      </c>
      <c r="I425">
        <v>0.96</v>
      </c>
      <c r="J425">
        <v>931639.51</v>
      </c>
      <c r="K425">
        <f>Table2[[#This Row],[revenue]]/Table2[[#This Row],[budget]]</f>
        <v>19.73034175924667</v>
      </c>
      <c r="L425" s="2">
        <f t="shared" si="18"/>
        <v>472186.2</v>
      </c>
      <c r="M425" s="2">
        <f>(Table2[[#This Row],[Adjusted revenue]]-Table2[[#This Row],[budget]])/Table2[[#This Row],[budget]]</f>
        <v>9</v>
      </c>
      <c r="N425" t="str">
        <f t="shared" si="19"/>
        <v>OK</v>
      </c>
      <c r="O425" s="2">
        <f t="shared" si="20"/>
        <v>1</v>
      </c>
    </row>
    <row r="426" spans="1:15" x14ac:dyDescent="0.3">
      <c r="A426" t="s">
        <v>444</v>
      </c>
      <c r="B426" s="1">
        <v>45109</v>
      </c>
      <c r="C426" s="1">
        <v>45227</v>
      </c>
      <c r="D426">
        <v>29709.16</v>
      </c>
      <c r="E426" s="2">
        <f>(Table2[[#This Row],[revenue]]-Table2[[#This Row],[budget]])/Table2[[#This Row],[budget]]</f>
        <v>26.326601290645712</v>
      </c>
      <c r="F426" t="s">
        <v>23</v>
      </c>
      <c r="G426" t="s">
        <v>15</v>
      </c>
      <c r="H426" t="s">
        <v>25</v>
      </c>
      <c r="I426">
        <v>0.12</v>
      </c>
      <c r="J426">
        <v>811850.37</v>
      </c>
      <c r="K426">
        <f>Table2[[#This Row],[revenue]]/Table2[[#This Row],[budget]]</f>
        <v>27.326601290645712</v>
      </c>
      <c r="L426" s="2">
        <f t="shared" si="18"/>
        <v>297091.59999999998</v>
      </c>
      <c r="M426" s="2">
        <f>(Table2[[#This Row],[Adjusted revenue]]-Table2[[#This Row],[budget]])/Table2[[#This Row],[budget]]</f>
        <v>9</v>
      </c>
      <c r="N426" t="str">
        <f t="shared" si="19"/>
        <v>OK</v>
      </c>
      <c r="O426" s="2">
        <f t="shared" si="20"/>
        <v>1</v>
      </c>
    </row>
    <row r="427" spans="1:15" x14ac:dyDescent="0.3">
      <c r="A427" t="s">
        <v>445</v>
      </c>
      <c r="B427" s="1">
        <v>44949</v>
      </c>
      <c r="C427" s="1">
        <v>45145</v>
      </c>
      <c r="D427">
        <v>55196.85</v>
      </c>
      <c r="E427" s="2">
        <f>(Table2[[#This Row],[revenue]]-Table2[[#This Row],[budget]])/Table2[[#This Row],[budget]]</f>
        <v>9.1644635518150039</v>
      </c>
      <c r="F427" t="s">
        <v>18</v>
      </c>
      <c r="G427" t="s">
        <v>12</v>
      </c>
      <c r="H427" t="s">
        <v>16</v>
      </c>
      <c r="I427">
        <v>0.4</v>
      </c>
      <c r="J427">
        <v>561046.37</v>
      </c>
      <c r="K427">
        <f>Table2[[#This Row],[revenue]]/Table2[[#This Row],[budget]]</f>
        <v>10.164463551815004</v>
      </c>
      <c r="L427" s="2">
        <f t="shared" si="18"/>
        <v>551968.5</v>
      </c>
      <c r="M427" s="2">
        <f>(Table2[[#This Row],[Adjusted revenue]]-Table2[[#This Row],[budget]])/Table2[[#This Row],[budget]]</f>
        <v>9</v>
      </c>
      <c r="N427" t="str">
        <f t="shared" si="19"/>
        <v>OK</v>
      </c>
      <c r="O427" s="2">
        <f t="shared" si="20"/>
        <v>1</v>
      </c>
    </row>
    <row r="428" spans="1:15" x14ac:dyDescent="0.3">
      <c r="A428" t="s">
        <v>446</v>
      </c>
      <c r="B428" s="1">
        <v>45108</v>
      </c>
      <c r="C428" s="1">
        <v>45267</v>
      </c>
      <c r="D428">
        <v>72566.45</v>
      </c>
      <c r="E428" s="2">
        <f>(Table2[[#This Row],[revenue]]-Table2[[#This Row],[budget]])/Table2[[#This Row],[budget]]</f>
        <v>8.8259038439940234</v>
      </c>
      <c r="F428" t="s">
        <v>18</v>
      </c>
      <c r="G428" t="s">
        <v>15</v>
      </c>
      <c r="H428" t="s">
        <v>25</v>
      </c>
      <c r="I428">
        <v>0.33</v>
      </c>
      <c r="J428">
        <v>713030.96</v>
      </c>
      <c r="K428">
        <f>Table2[[#This Row],[revenue]]/Table2[[#This Row],[budget]]</f>
        <v>9.8259038439940216</v>
      </c>
      <c r="L428" s="2">
        <f t="shared" si="18"/>
        <v>713030.96</v>
      </c>
      <c r="M428" s="2">
        <f>(Table2[[#This Row],[Adjusted revenue]]-Table2[[#This Row],[budget]])/Table2[[#This Row],[budget]]</f>
        <v>8.8259038439940234</v>
      </c>
      <c r="N428" t="str">
        <f t="shared" si="19"/>
        <v>OK</v>
      </c>
      <c r="O428" s="2">
        <f t="shared" si="20"/>
        <v>0.96334817768295222</v>
      </c>
    </row>
    <row r="429" spans="1:15" x14ac:dyDescent="0.3">
      <c r="A429" t="s">
        <v>447</v>
      </c>
      <c r="B429" s="1">
        <v>44828</v>
      </c>
      <c r="C429" s="1">
        <v>45242</v>
      </c>
      <c r="D429">
        <v>11006.3</v>
      </c>
      <c r="E429" s="2">
        <f>(Table2[[#This Row],[revenue]]-Table2[[#This Row],[budget]])/Table2[[#This Row],[budget]]</f>
        <v>-0.66916220709957019</v>
      </c>
      <c r="F429" t="s">
        <v>18</v>
      </c>
      <c r="G429" t="s">
        <v>15</v>
      </c>
      <c r="H429" t="s">
        <v>16</v>
      </c>
      <c r="I429">
        <v>0.98</v>
      </c>
      <c r="J429">
        <v>3641.3</v>
      </c>
      <c r="K429">
        <f>Table2[[#This Row],[revenue]]/Table2[[#This Row],[budget]]</f>
        <v>0.33083779290042981</v>
      </c>
      <c r="L429" s="2">
        <f t="shared" si="18"/>
        <v>5503.15</v>
      </c>
      <c r="M429" s="2">
        <f>(Table2[[#This Row],[Adjusted revenue]]-Table2[[#This Row],[budget]])/Table2[[#This Row],[budget]]</f>
        <v>-0.5</v>
      </c>
      <c r="N429" t="str">
        <f t="shared" si="19"/>
        <v>Failed</v>
      </c>
      <c r="O429" s="2">
        <f t="shared" si="20"/>
        <v>-1</v>
      </c>
    </row>
    <row r="430" spans="1:15" x14ac:dyDescent="0.3">
      <c r="A430" t="s">
        <v>448</v>
      </c>
      <c r="B430" s="1">
        <v>44979</v>
      </c>
      <c r="C430" s="1">
        <v>45452</v>
      </c>
      <c r="D430">
        <v>9950.82</v>
      </c>
      <c r="E430" s="2">
        <f>(Table2[[#This Row],[revenue]]-Table2[[#This Row],[budget]])/Table2[[#This Row],[budget]]</f>
        <v>47.523171959697791</v>
      </c>
      <c r="F430" t="s">
        <v>21</v>
      </c>
      <c r="G430" t="s">
        <v>15</v>
      </c>
      <c r="H430" t="s">
        <v>25</v>
      </c>
      <c r="I430">
        <v>0.5</v>
      </c>
      <c r="J430">
        <v>482845.35</v>
      </c>
      <c r="K430">
        <f>Table2[[#This Row],[revenue]]/Table2[[#This Row],[budget]]</f>
        <v>48.523171959697791</v>
      </c>
      <c r="L430" s="2">
        <f t="shared" si="18"/>
        <v>99508.2</v>
      </c>
      <c r="M430" s="2">
        <f>(Table2[[#This Row],[Adjusted revenue]]-Table2[[#This Row],[budget]])/Table2[[#This Row],[budget]]</f>
        <v>9</v>
      </c>
      <c r="N430" t="str">
        <f t="shared" si="19"/>
        <v>OK</v>
      </c>
      <c r="O430" s="2">
        <f t="shared" si="20"/>
        <v>1</v>
      </c>
    </row>
    <row r="431" spans="1:15" x14ac:dyDescent="0.3">
      <c r="A431" t="s">
        <v>449</v>
      </c>
      <c r="B431" s="1">
        <v>45011</v>
      </c>
      <c r="C431" s="1">
        <v>45386</v>
      </c>
      <c r="D431">
        <v>38117.82</v>
      </c>
      <c r="E431" s="2">
        <f>(Table2[[#This Row],[revenue]]-Table2[[#This Row],[budget]])/Table2[[#This Row],[budget]]</f>
        <v>14.759245937989109</v>
      </c>
      <c r="F431" t="s">
        <v>18</v>
      </c>
      <c r="G431" t="s">
        <v>15</v>
      </c>
      <c r="H431" t="s">
        <v>16</v>
      </c>
      <c r="I431">
        <v>0.4</v>
      </c>
      <c r="J431">
        <v>600708.1</v>
      </c>
      <c r="K431">
        <f>Table2[[#This Row],[revenue]]/Table2[[#This Row],[budget]]</f>
        <v>15.759245937989109</v>
      </c>
      <c r="L431" s="2">
        <f t="shared" si="18"/>
        <v>381178.2</v>
      </c>
      <c r="M431" s="2">
        <f>(Table2[[#This Row],[Adjusted revenue]]-Table2[[#This Row],[budget]])/Table2[[#This Row],[budget]]</f>
        <v>9</v>
      </c>
      <c r="N431" t="str">
        <f t="shared" si="19"/>
        <v>OK</v>
      </c>
      <c r="O431" s="2">
        <f t="shared" si="20"/>
        <v>1</v>
      </c>
    </row>
    <row r="432" spans="1:15" x14ac:dyDescent="0.3">
      <c r="A432" t="s">
        <v>450</v>
      </c>
      <c r="B432" s="1">
        <v>44805</v>
      </c>
      <c r="C432" s="1">
        <v>45457</v>
      </c>
      <c r="D432">
        <v>74720.7</v>
      </c>
      <c r="E432" s="2">
        <f>(Table2[[#This Row],[revenue]]-Table2[[#This Row],[budget]])/Table2[[#This Row],[budget]]</f>
        <v>9.3634802671816519</v>
      </c>
      <c r="F432" t="s">
        <v>11</v>
      </c>
      <c r="G432" t="s">
        <v>12</v>
      </c>
      <c r="H432" t="s">
        <v>19</v>
      </c>
      <c r="I432">
        <v>0.49</v>
      </c>
      <c r="J432">
        <v>774366.5</v>
      </c>
      <c r="K432">
        <f>Table2[[#This Row],[revenue]]/Table2[[#This Row],[budget]]</f>
        <v>10.363480267181652</v>
      </c>
      <c r="L432" s="2">
        <f t="shared" si="18"/>
        <v>747207</v>
      </c>
      <c r="M432" s="2">
        <f>(Table2[[#This Row],[Adjusted revenue]]-Table2[[#This Row],[budget]])/Table2[[#This Row],[budget]]</f>
        <v>9.0000000000000018</v>
      </c>
      <c r="N432" t="str">
        <f t="shared" si="19"/>
        <v>OK</v>
      </c>
      <c r="O432" s="2">
        <f t="shared" si="20"/>
        <v>1.0000000000000004</v>
      </c>
    </row>
    <row r="433" spans="1:15" x14ac:dyDescent="0.3">
      <c r="A433" t="s">
        <v>451</v>
      </c>
      <c r="B433" s="1">
        <v>45123</v>
      </c>
      <c r="C433" s="1">
        <v>45172</v>
      </c>
      <c r="D433">
        <v>37221.22</v>
      </c>
      <c r="E433" s="2">
        <f>(Table2[[#This Row],[revenue]]-Table2[[#This Row],[budget]])/Table2[[#This Row],[budget]]</f>
        <v>17.305824473244027</v>
      </c>
      <c r="F433" t="s">
        <v>11</v>
      </c>
      <c r="G433" t="s">
        <v>15</v>
      </c>
      <c r="H433" t="s">
        <v>13</v>
      </c>
      <c r="I433">
        <v>0.1</v>
      </c>
      <c r="J433">
        <v>681365.12</v>
      </c>
      <c r="K433">
        <f>Table2[[#This Row],[revenue]]/Table2[[#This Row],[budget]]</f>
        <v>18.305824473244027</v>
      </c>
      <c r="L433" s="2">
        <f t="shared" si="18"/>
        <v>372212.2</v>
      </c>
      <c r="M433" s="2">
        <f>(Table2[[#This Row],[Adjusted revenue]]-Table2[[#This Row],[budget]])/Table2[[#This Row],[budget]]</f>
        <v>9</v>
      </c>
      <c r="N433" t="str">
        <f t="shared" si="19"/>
        <v>OK</v>
      </c>
      <c r="O433" s="2">
        <f t="shared" si="20"/>
        <v>1</v>
      </c>
    </row>
    <row r="434" spans="1:15" x14ac:dyDescent="0.3">
      <c r="A434" t="s">
        <v>452</v>
      </c>
      <c r="B434" s="1">
        <v>44833</v>
      </c>
      <c r="C434" s="1">
        <v>45415</v>
      </c>
      <c r="D434">
        <v>33682.83</v>
      </c>
      <c r="E434" s="2">
        <f>(Table2[[#This Row],[revenue]]-Table2[[#This Row],[budget]])/Table2[[#This Row],[budget]]</f>
        <v>4.6336094680880437</v>
      </c>
      <c r="F434" t="s">
        <v>23</v>
      </c>
      <c r="G434" t="s">
        <v>15</v>
      </c>
      <c r="H434" t="s">
        <v>25</v>
      </c>
      <c r="I434">
        <v>0.25</v>
      </c>
      <c r="J434">
        <v>189755.91</v>
      </c>
      <c r="K434">
        <f>Table2[[#This Row],[revenue]]/Table2[[#This Row],[budget]]</f>
        <v>5.6336094680880437</v>
      </c>
      <c r="L434" s="2">
        <f t="shared" si="18"/>
        <v>189755.91</v>
      </c>
      <c r="M434" s="2">
        <f>(Table2[[#This Row],[Adjusted revenue]]-Table2[[#This Row],[budget]])/Table2[[#This Row],[budget]]</f>
        <v>4.6336094680880437</v>
      </c>
      <c r="N434" t="str">
        <f t="shared" si="19"/>
        <v>OK</v>
      </c>
      <c r="O434" s="2">
        <f t="shared" si="20"/>
        <v>8.0759888018535619E-2</v>
      </c>
    </row>
    <row r="435" spans="1:15" x14ac:dyDescent="0.3">
      <c r="A435" t="s">
        <v>453</v>
      </c>
      <c r="B435" s="1">
        <v>45112</v>
      </c>
      <c r="C435" s="1">
        <v>45263</v>
      </c>
      <c r="D435">
        <v>1810.82</v>
      </c>
      <c r="E435" s="2">
        <f>(Table2[[#This Row],[revenue]]-Table2[[#This Row],[budget]])/Table2[[#This Row],[budget]]</f>
        <v>148.36956185595477</v>
      </c>
      <c r="F435" t="s">
        <v>11</v>
      </c>
      <c r="G435" t="s">
        <v>15</v>
      </c>
      <c r="H435" t="s">
        <v>16</v>
      </c>
      <c r="I435">
        <v>0.87</v>
      </c>
      <c r="J435">
        <v>270481.39</v>
      </c>
      <c r="K435">
        <f>Table2[[#This Row],[revenue]]/Table2[[#This Row],[budget]]</f>
        <v>149.36956185595477</v>
      </c>
      <c r="L435" s="2">
        <f t="shared" si="18"/>
        <v>18108.2</v>
      </c>
      <c r="M435" s="2">
        <f>(Table2[[#This Row],[Adjusted revenue]]-Table2[[#This Row],[budget]])/Table2[[#This Row],[budget]]</f>
        <v>9</v>
      </c>
      <c r="N435" t="str">
        <f t="shared" si="19"/>
        <v>OK</v>
      </c>
      <c r="O435" s="2">
        <f t="shared" si="20"/>
        <v>1</v>
      </c>
    </row>
    <row r="436" spans="1:15" x14ac:dyDescent="0.3">
      <c r="A436" t="s">
        <v>454</v>
      </c>
      <c r="B436" s="1">
        <v>44985</v>
      </c>
      <c r="C436" s="1">
        <v>45357</v>
      </c>
      <c r="D436">
        <v>29840.15</v>
      </c>
      <c r="E436" s="2">
        <f>(Table2[[#This Row],[revenue]]-Table2[[#This Row],[budget]])/Table2[[#This Row],[budget]]</f>
        <v>20.157657719548997</v>
      </c>
      <c r="F436" t="s">
        <v>21</v>
      </c>
      <c r="G436" t="s">
        <v>12</v>
      </c>
      <c r="H436" t="s">
        <v>13</v>
      </c>
      <c r="I436">
        <v>0.78</v>
      </c>
      <c r="J436">
        <v>631347.68000000005</v>
      </c>
      <c r="K436">
        <f>Table2[[#This Row],[revenue]]/Table2[[#This Row],[budget]]</f>
        <v>21.157657719548997</v>
      </c>
      <c r="L436" s="2">
        <f t="shared" si="18"/>
        <v>298401.5</v>
      </c>
      <c r="M436" s="2">
        <f>(Table2[[#This Row],[Adjusted revenue]]-Table2[[#This Row],[budget]])/Table2[[#This Row],[budget]]</f>
        <v>8.9999999999999982</v>
      </c>
      <c r="N436" t="str">
        <f t="shared" si="19"/>
        <v>OK</v>
      </c>
      <c r="O436" s="2">
        <f t="shared" si="20"/>
        <v>0.99999999999999956</v>
      </c>
    </row>
    <row r="437" spans="1:15" x14ac:dyDescent="0.3">
      <c r="A437" t="s">
        <v>455</v>
      </c>
      <c r="B437" s="1">
        <v>44994</v>
      </c>
      <c r="C437" s="1">
        <v>45303</v>
      </c>
      <c r="D437">
        <v>81342.100000000006</v>
      </c>
      <c r="E437" s="2">
        <f>(Table2[[#This Row],[revenue]]-Table2[[#This Row],[budget]])/Table2[[#This Row],[budget]]</f>
        <v>3.4507112553032186</v>
      </c>
      <c r="F437" t="s">
        <v>11</v>
      </c>
      <c r="G437" t="s">
        <v>15</v>
      </c>
      <c r="H437" t="s">
        <v>16</v>
      </c>
      <c r="I437">
        <v>0.91</v>
      </c>
      <c r="J437">
        <v>362030.2</v>
      </c>
      <c r="K437">
        <f>Table2[[#This Row],[revenue]]/Table2[[#This Row],[budget]]</f>
        <v>4.4507112553032195</v>
      </c>
      <c r="L437" s="2">
        <f t="shared" si="18"/>
        <v>362030.2</v>
      </c>
      <c r="M437" s="2">
        <f>(Table2[[#This Row],[Adjusted revenue]]-Table2[[#This Row],[budget]])/Table2[[#This Row],[budget]]</f>
        <v>3.4507112553032186</v>
      </c>
      <c r="N437" t="str">
        <f t="shared" si="19"/>
        <v>OK</v>
      </c>
      <c r="O437" s="2">
        <f t="shared" si="20"/>
        <v>-0.1682713146730066</v>
      </c>
    </row>
    <row r="438" spans="1:15" x14ac:dyDescent="0.3">
      <c r="A438" t="s">
        <v>456</v>
      </c>
      <c r="B438" s="1">
        <v>44927</v>
      </c>
      <c r="C438" s="1">
        <v>45383</v>
      </c>
      <c r="D438">
        <v>96731.22</v>
      </c>
      <c r="E438" s="2">
        <f>(Table2[[#This Row],[revenue]]-Table2[[#This Row],[budget]])/Table2[[#This Row],[budget]]</f>
        <v>6.7627797933283595</v>
      </c>
      <c r="F438" t="s">
        <v>23</v>
      </c>
      <c r="G438" t="s">
        <v>12</v>
      </c>
      <c r="H438" t="s">
        <v>13</v>
      </c>
      <c r="I438">
        <v>0.8</v>
      </c>
      <c r="J438">
        <v>750903.16</v>
      </c>
      <c r="K438">
        <f>Table2[[#This Row],[revenue]]/Table2[[#This Row],[budget]]</f>
        <v>7.7627797933283587</v>
      </c>
      <c r="L438" s="2">
        <f t="shared" si="18"/>
        <v>750903.16</v>
      </c>
      <c r="M438" s="2">
        <f>(Table2[[#This Row],[Adjusted revenue]]-Table2[[#This Row],[budget]])/Table2[[#This Row],[budget]]</f>
        <v>6.7627797933283595</v>
      </c>
      <c r="N438" t="str">
        <f t="shared" si="19"/>
        <v>OK</v>
      </c>
      <c r="O438" s="2">
        <f t="shared" si="20"/>
        <v>0.52900627227965469</v>
      </c>
    </row>
    <row r="439" spans="1:15" x14ac:dyDescent="0.3">
      <c r="A439" t="s">
        <v>457</v>
      </c>
      <c r="B439" s="1">
        <v>44779</v>
      </c>
      <c r="C439" s="1">
        <v>45273</v>
      </c>
      <c r="D439">
        <v>27329.38</v>
      </c>
      <c r="E439" s="2">
        <f>(Table2[[#This Row],[revenue]]-Table2[[#This Row],[budget]])/Table2[[#This Row],[budget]]</f>
        <v>30.966330374124841</v>
      </c>
      <c r="F439" t="s">
        <v>11</v>
      </c>
      <c r="G439" t="s">
        <v>12</v>
      </c>
      <c r="H439" t="s">
        <v>13</v>
      </c>
      <c r="I439">
        <v>0.6</v>
      </c>
      <c r="J439">
        <v>873619.99</v>
      </c>
      <c r="K439">
        <f>Table2[[#This Row],[revenue]]/Table2[[#This Row],[budget]]</f>
        <v>31.966330374124841</v>
      </c>
      <c r="L439" s="2">
        <f t="shared" si="18"/>
        <v>273293.8</v>
      </c>
      <c r="M439" s="2">
        <f>(Table2[[#This Row],[Adjusted revenue]]-Table2[[#This Row],[budget]])/Table2[[#This Row],[budget]]</f>
        <v>8.9999999999999982</v>
      </c>
      <c r="N439" t="str">
        <f t="shared" si="19"/>
        <v>OK</v>
      </c>
      <c r="O439" s="2">
        <f t="shared" si="20"/>
        <v>0.99999999999999956</v>
      </c>
    </row>
    <row r="440" spans="1:15" x14ac:dyDescent="0.3">
      <c r="A440" t="s">
        <v>458</v>
      </c>
      <c r="B440" s="1">
        <v>44827</v>
      </c>
      <c r="C440" s="1">
        <v>45316</v>
      </c>
      <c r="D440">
        <v>21718.66</v>
      </c>
      <c r="E440" s="2">
        <f>(Table2[[#This Row],[revenue]]-Table2[[#This Row],[budget]])/Table2[[#This Row],[budget]]</f>
        <v>37.60976782177169</v>
      </c>
      <c r="F440" t="s">
        <v>23</v>
      </c>
      <c r="G440" t="s">
        <v>15</v>
      </c>
      <c r="H440" t="s">
        <v>13</v>
      </c>
      <c r="I440">
        <v>0.65</v>
      </c>
      <c r="J440">
        <v>838552.42</v>
      </c>
      <c r="K440">
        <f>Table2[[#This Row],[revenue]]/Table2[[#This Row],[budget]]</f>
        <v>38.609767821771698</v>
      </c>
      <c r="L440" s="2">
        <f t="shared" si="18"/>
        <v>217186.6</v>
      </c>
      <c r="M440" s="2">
        <f>(Table2[[#This Row],[Adjusted revenue]]-Table2[[#This Row],[budget]])/Table2[[#This Row],[budget]]</f>
        <v>9</v>
      </c>
      <c r="N440" t="str">
        <f t="shared" si="19"/>
        <v>OK</v>
      </c>
      <c r="O440" s="2">
        <f t="shared" si="20"/>
        <v>1</v>
      </c>
    </row>
    <row r="441" spans="1:15" x14ac:dyDescent="0.3">
      <c r="A441" t="s">
        <v>459</v>
      </c>
      <c r="B441" s="1">
        <v>45042</v>
      </c>
      <c r="C441" s="1">
        <v>45303</v>
      </c>
      <c r="D441">
        <v>80659.67</v>
      </c>
      <c r="E441" s="2">
        <f>(Table2[[#This Row],[revenue]]-Table2[[#This Row],[budget]])/Table2[[#This Row],[budget]]</f>
        <v>5.6275062865989902</v>
      </c>
      <c r="F441" t="s">
        <v>11</v>
      </c>
      <c r="G441" t="s">
        <v>15</v>
      </c>
      <c r="H441" t="s">
        <v>16</v>
      </c>
      <c r="I441">
        <v>0.7</v>
      </c>
      <c r="J441">
        <v>534572.47</v>
      </c>
      <c r="K441">
        <f>Table2[[#This Row],[revenue]]/Table2[[#This Row],[budget]]</f>
        <v>6.6275062865989902</v>
      </c>
      <c r="L441" s="2">
        <f t="shared" si="18"/>
        <v>534572.47</v>
      </c>
      <c r="M441" s="2">
        <f>(Table2[[#This Row],[Adjusted revenue]]-Table2[[#This Row],[budget]])/Table2[[#This Row],[budget]]</f>
        <v>5.6275062865989902</v>
      </c>
      <c r="N441" t="str">
        <f t="shared" si="19"/>
        <v>OK</v>
      </c>
      <c r="O441" s="2">
        <f t="shared" si="20"/>
        <v>0.29000132349452423</v>
      </c>
    </row>
    <row r="442" spans="1:15" x14ac:dyDescent="0.3">
      <c r="A442" t="s">
        <v>460</v>
      </c>
      <c r="B442" s="1">
        <v>45045</v>
      </c>
      <c r="C442" s="1">
        <v>45248</v>
      </c>
      <c r="D442">
        <v>95913.4</v>
      </c>
      <c r="E442" s="2">
        <f>(Table2[[#This Row],[revenue]]-Table2[[#This Row],[budget]])/Table2[[#This Row],[budget]]</f>
        <v>5.7966513542424725</v>
      </c>
      <c r="F442" t="s">
        <v>11</v>
      </c>
      <c r="G442" t="s">
        <v>12</v>
      </c>
      <c r="H442" t="s">
        <v>16</v>
      </c>
      <c r="I442">
        <v>0.91</v>
      </c>
      <c r="J442">
        <v>651889.93999999994</v>
      </c>
      <c r="K442">
        <f>Table2[[#This Row],[revenue]]/Table2[[#This Row],[budget]]</f>
        <v>6.7966513542424725</v>
      </c>
      <c r="L442" s="2">
        <f t="shared" si="18"/>
        <v>651889.93999999994</v>
      </c>
      <c r="M442" s="2">
        <f>(Table2[[#This Row],[Adjusted revenue]]-Table2[[#This Row],[budget]])/Table2[[#This Row],[budget]]</f>
        <v>5.7966513542424725</v>
      </c>
      <c r="N442" t="str">
        <f t="shared" si="19"/>
        <v>OK</v>
      </c>
      <c r="O442" s="2">
        <f t="shared" si="20"/>
        <v>0.32561081141946779</v>
      </c>
    </row>
    <row r="443" spans="1:15" x14ac:dyDescent="0.3">
      <c r="A443" t="s">
        <v>461</v>
      </c>
      <c r="B443" s="1">
        <v>45053</v>
      </c>
      <c r="C443" s="1">
        <v>45251</v>
      </c>
      <c r="D443">
        <v>34910.160000000003</v>
      </c>
      <c r="E443" s="2">
        <f>(Table2[[#This Row],[revenue]]-Table2[[#This Row],[budget]])/Table2[[#This Row],[budget]]</f>
        <v>16.562000575190716</v>
      </c>
      <c r="F443" t="s">
        <v>18</v>
      </c>
      <c r="G443" t="s">
        <v>15</v>
      </c>
      <c r="H443" t="s">
        <v>25</v>
      </c>
      <c r="I443">
        <v>0.97</v>
      </c>
      <c r="J443">
        <v>613092.25</v>
      </c>
      <c r="K443">
        <f>Table2[[#This Row],[revenue]]/Table2[[#This Row],[budget]]</f>
        <v>17.562000575190716</v>
      </c>
      <c r="L443" s="2">
        <f t="shared" si="18"/>
        <v>349101.60000000003</v>
      </c>
      <c r="M443" s="2">
        <f>(Table2[[#This Row],[Adjusted revenue]]-Table2[[#This Row],[budget]])/Table2[[#This Row],[budget]]</f>
        <v>9</v>
      </c>
      <c r="N443" t="str">
        <f t="shared" si="19"/>
        <v>OK</v>
      </c>
      <c r="O443" s="2">
        <f t="shared" si="20"/>
        <v>1</v>
      </c>
    </row>
    <row r="444" spans="1:15" x14ac:dyDescent="0.3">
      <c r="A444" t="s">
        <v>462</v>
      </c>
      <c r="B444" s="1">
        <v>44879</v>
      </c>
      <c r="C444" s="1">
        <v>45210</v>
      </c>
      <c r="D444">
        <v>51394.97</v>
      </c>
      <c r="E444" s="2">
        <f>(Table2[[#This Row],[revenue]]-Table2[[#This Row],[budget]])/Table2[[#This Row],[budget]]</f>
        <v>15.375447052503388</v>
      </c>
      <c r="F444" t="s">
        <v>11</v>
      </c>
      <c r="G444" t="s">
        <v>12</v>
      </c>
      <c r="H444" t="s">
        <v>19</v>
      </c>
      <c r="I444">
        <v>0.41</v>
      </c>
      <c r="J444">
        <v>841615.61</v>
      </c>
      <c r="K444">
        <f>Table2[[#This Row],[revenue]]/Table2[[#This Row],[budget]]</f>
        <v>16.375447052503386</v>
      </c>
      <c r="L444" s="2">
        <f t="shared" si="18"/>
        <v>513949.7</v>
      </c>
      <c r="M444" s="2">
        <f>(Table2[[#This Row],[Adjusted revenue]]-Table2[[#This Row],[budget]])/Table2[[#This Row],[budget]]</f>
        <v>9</v>
      </c>
      <c r="N444" t="str">
        <f t="shared" si="19"/>
        <v>OK</v>
      </c>
      <c r="O444" s="2">
        <f t="shared" si="20"/>
        <v>1</v>
      </c>
    </row>
    <row r="445" spans="1:15" x14ac:dyDescent="0.3">
      <c r="A445" t="s">
        <v>463</v>
      </c>
      <c r="B445" s="1">
        <v>44790</v>
      </c>
      <c r="C445" s="1">
        <v>45403</v>
      </c>
      <c r="D445">
        <v>27577.78</v>
      </c>
      <c r="E445" s="2">
        <f>(Table2[[#This Row],[revenue]]-Table2[[#This Row],[budget]])/Table2[[#This Row],[budget]]</f>
        <v>23.14318302633497</v>
      </c>
      <c r="F445" t="s">
        <v>18</v>
      </c>
      <c r="G445" t="s">
        <v>12</v>
      </c>
      <c r="H445" t="s">
        <v>19</v>
      </c>
      <c r="I445">
        <v>0.4</v>
      </c>
      <c r="J445">
        <v>665815.39</v>
      </c>
      <c r="K445">
        <f>Table2[[#This Row],[revenue]]/Table2[[#This Row],[budget]]</f>
        <v>24.14318302633497</v>
      </c>
      <c r="L445" s="2">
        <f t="shared" si="18"/>
        <v>275777.8</v>
      </c>
      <c r="M445" s="2">
        <f>(Table2[[#This Row],[Adjusted revenue]]-Table2[[#This Row],[budget]])/Table2[[#This Row],[budget]]</f>
        <v>9</v>
      </c>
      <c r="N445" t="str">
        <f t="shared" si="19"/>
        <v>OK</v>
      </c>
      <c r="O445" s="2">
        <f t="shared" si="20"/>
        <v>1</v>
      </c>
    </row>
    <row r="446" spans="1:15" x14ac:dyDescent="0.3">
      <c r="A446" t="s">
        <v>464</v>
      </c>
      <c r="B446" s="1">
        <v>44988</v>
      </c>
      <c r="C446" s="1">
        <v>45441</v>
      </c>
      <c r="D446">
        <v>31618.12</v>
      </c>
      <c r="E446" s="2">
        <f>(Table2[[#This Row],[revenue]]-Table2[[#This Row],[budget]])/Table2[[#This Row],[budget]]</f>
        <v>13.404832418878794</v>
      </c>
      <c r="F446" t="s">
        <v>21</v>
      </c>
      <c r="G446" t="s">
        <v>15</v>
      </c>
      <c r="H446" t="s">
        <v>19</v>
      </c>
      <c r="I446">
        <v>0.87</v>
      </c>
      <c r="J446">
        <v>455453.72</v>
      </c>
      <c r="K446">
        <f>Table2[[#This Row],[revenue]]/Table2[[#This Row],[budget]]</f>
        <v>14.404832418878794</v>
      </c>
      <c r="L446" s="2">
        <f t="shared" si="18"/>
        <v>316181.2</v>
      </c>
      <c r="M446" s="2">
        <f>(Table2[[#This Row],[Adjusted revenue]]-Table2[[#This Row],[budget]])/Table2[[#This Row],[budget]]</f>
        <v>9</v>
      </c>
      <c r="N446" t="str">
        <f t="shared" si="19"/>
        <v>OK</v>
      </c>
      <c r="O446" s="2">
        <f t="shared" si="20"/>
        <v>1</v>
      </c>
    </row>
    <row r="447" spans="1:15" x14ac:dyDescent="0.3">
      <c r="A447" t="s">
        <v>465</v>
      </c>
      <c r="B447" s="1">
        <v>45046</v>
      </c>
      <c r="C447" s="1">
        <v>45375</v>
      </c>
      <c r="D447">
        <v>84055.7</v>
      </c>
      <c r="E447" s="2">
        <f>(Table2[[#This Row],[revenue]]-Table2[[#This Row],[budget]])/Table2[[#This Row],[budget]]</f>
        <v>2.6010913001735751</v>
      </c>
      <c r="F447" t="s">
        <v>11</v>
      </c>
      <c r="G447" t="s">
        <v>15</v>
      </c>
      <c r="H447" t="s">
        <v>25</v>
      </c>
      <c r="I447">
        <v>0.85</v>
      </c>
      <c r="J447">
        <v>302692.25</v>
      </c>
      <c r="K447">
        <f>Table2[[#This Row],[revenue]]/Table2[[#This Row],[budget]]</f>
        <v>3.6010913001735756</v>
      </c>
      <c r="L447" s="2">
        <f t="shared" si="18"/>
        <v>302692.25</v>
      </c>
      <c r="M447" s="2">
        <f>(Table2[[#This Row],[Adjusted revenue]]-Table2[[#This Row],[budget]])/Table2[[#This Row],[budget]]</f>
        <v>2.6010913001735751</v>
      </c>
      <c r="N447" t="str">
        <f t="shared" si="19"/>
        <v>OK</v>
      </c>
      <c r="O447" s="2">
        <f t="shared" si="20"/>
        <v>-0.34713867364766837</v>
      </c>
    </row>
    <row r="448" spans="1:15" x14ac:dyDescent="0.3">
      <c r="A448" t="s">
        <v>466</v>
      </c>
      <c r="B448" s="1">
        <v>44837</v>
      </c>
      <c r="C448" s="1">
        <v>45421</v>
      </c>
      <c r="D448">
        <v>28051.5</v>
      </c>
      <c r="E448" s="2">
        <f>(Table2[[#This Row],[revenue]]-Table2[[#This Row],[budget]])/Table2[[#This Row],[budget]]</f>
        <v>12.365083150633657</v>
      </c>
      <c r="F448" t="s">
        <v>18</v>
      </c>
      <c r="G448" t="s">
        <v>15</v>
      </c>
      <c r="H448" t="s">
        <v>25</v>
      </c>
      <c r="I448">
        <v>0.36</v>
      </c>
      <c r="J448">
        <v>374910.63</v>
      </c>
      <c r="K448">
        <f>Table2[[#This Row],[revenue]]/Table2[[#This Row],[budget]]</f>
        <v>13.365083150633657</v>
      </c>
      <c r="L448" s="2">
        <f t="shared" si="18"/>
        <v>280515</v>
      </c>
      <c r="M448" s="2">
        <f>(Table2[[#This Row],[Adjusted revenue]]-Table2[[#This Row],[budget]])/Table2[[#This Row],[budget]]</f>
        <v>9</v>
      </c>
      <c r="N448" t="str">
        <f t="shared" si="19"/>
        <v>OK</v>
      </c>
      <c r="O448" s="2">
        <f t="shared" si="20"/>
        <v>1</v>
      </c>
    </row>
    <row r="449" spans="1:15" x14ac:dyDescent="0.3">
      <c r="A449" t="s">
        <v>467</v>
      </c>
      <c r="B449" s="1">
        <v>44794</v>
      </c>
      <c r="C449" s="1">
        <v>45483</v>
      </c>
      <c r="D449">
        <v>16470.61</v>
      </c>
      <c r="E449" s="2">
        <f>(Table2[[#This Row],[revenue]]-Table2[[#This Row],[budget]])/Table2[[#This Row],[budget]]</f>
        <v>31.415978521742662</v>
      </c>
      <c r="F449" t="s">
        <v>23</v>
      </c>
      <c r="G449" t="s">
        <v>12</v>
      </c>
      <c r="H449" t="s">
        <v>13</v>
      </c>
      <c r="I449">
        <v>0.7</v>
      </c>
      <c r="J449">
        <v>533910.93999999994</v>
      </c>
      <c r="K449">
        <f>Table2[[#This Row],[revenue]]/Table2[[#This Row],[budget]]</f>
        <v>32.415978521742666</v>
      </c>
      <c r="L449" s="2">
        <f t="shared" si="18"/>
        <v>164706.1</v>
      </c>
      <c r="M449" s="2">
        <f>(Table2[[#This Row],[Adjusted revenue]]-Table2[[#This Row],[budget]])/Table2[[#This Row],[budget]]</f>
        <v>9</v>
      </c>
      <c r="N449" t="str">
        <f t="shared" si="19"/>
        <v>OK</v>
      </c>
      <c r="O449" s="2">
        <f t="shared" si="20"/>
        <v>1</v>
      </c>
    </row>
    <row r="450" spans="1:15" x14ac:dyDescent="0.3">
      <c r="A450" t="s">
        <v>468</v>
      </c>
      <c r="B450" s="1">
        <v>45129</v>
      </c>
      <c r="C450" s="1">
        <v>45219</v>
      </c>
      <c r="D450">
        <v>39241.75</v>
      </c>
      <c r="E450" s="2">
        <f>(Table2[[#This Row],[revenue]]-Table2[[#This Row],[budget]])/Table2[[#This Row],[budget]]</f>
        <v>5.4290670013442313</v>
      </c>
      <c r="F450" t="s">
        <v>18</v>
      </c>
      <c r="G450" t="s">
        <v>12</v>
      </c>
      <c r="H450" t="s">
        <v>25</v>
      </c>
      <c r="I450">
        <v>0.59</v>
      </c>
      <c r="J450">
        <v>252287.84</v>
      </c>
      <c r="K450">
        <f>Table2[[#This Row],[revenue]]/Table2[[#This Row],[budget]]</f>
        <v>6.4290670013442313</v>
      </c>
      <c r="L450" s="2">
        <f t="shared" ref="L450:L513" si="21">MIN(MAX(J450, D450*0.5), D450*10)</f>
        <v>252287.84</v>
      </c>
      <c r="M450" s="2">
        <f>(Table2[[#This Row],[Adjusted revenue]]-Table2[[#This Row],[budget]])/Table2[[#This Row],[budget]]</f>
        <v>5.4290670013442313</v>
      </c>
      <c r="N450" t="str">
        <f t="shared" ref="N450:N513" si="22">IF(M450&lt;0.5,"Failed",IF(M450&gt;10,"Suspicious","OK"))</f>
        <v>OK</v>
      </c>
      <c r="O450" s="2">
        <f t="shared" ref="O450:O513" si="23">((M450 - (-0.5)) / (9 - (-0.5))) * (1 - (-1)) + (-1)</f>
        <v>0.24822463186194343</v>
      </c>
    </row>
    <row r="451" spans="1:15" x14ac:dyDescent="0.3">
      <c r="A451" t="s">
        <v>469</v>
      </c>
      <c r="B451" s="1">
        <v>45005</v>
      </c>
      <c r="C451" s="1">
        <v>45266</v>
      </c>
      <c r="D451">
        <v>54166.71</v>
      </c>
      <c r="E451" s="2">
        <f>(Table2[[#This Row],[revenue]]-Table2[[#This Row],[budget]])/Table2[[#This Row],[budget]]</f>
        <v>12.576434677313799</v>
      </c>
      <c r="F451" t="s">
        <v>21</v>
      </c>
      <c r="G451" t="s">
        <v>12</v>
      </c>
      <c r="H451" t="s">
        <v>19</v>
      </c>
      <c r="I451">
        <v>0.15</v>
      </c>
      <c r="J451">
        <v>735390.8</v>
      </c>
      <c r="K451">
        <f>Table2[[#This Row],[revenue]]/Table2[[#This Row],[budget]]</f>
        <v>13.576434677313797</v>
      </c>
      <c r="L451" s="2">
        <f t="shared" si="21"/>
        <v>541667.1</v>
      </c>
      <c r="M451" s="2">
        <f>(Table2[[#This Row],[Adjusted revenue]]-Table2[[#This Row],[budget]])/Table2[[#This Row],[budget]]</f>
        <v>9</v>
      </c>
      <c r="N451" t="str">
        <f t="shared" si="22"/>
        <v>OK</v>
      </c>
      <c r="O451" s="2">
        <f t="shared" si="23"/>
        <v>1</v>
      </c>
    </row>
    <row r="452" spans="1:15" x14ac:dyDescent="0.3">
      <c r="A452" t="s">
        <v>470</v>
      </c>
      <c r="B452" s="1">
        <v>45023</v>
      </c>
      <c r="C452" s="1">
        <v>45463</v>
      </c>
      <c r="D452">
        <v>40958.699999999997</v>
      </c>
      <c r="E452" s="2">
        <f>(Table2[[#This Row],[revenue]]-Table2[[#This Row],[budget]])/Table2[[#This Row],[budget]]</f>
        <v>21.490512394192201</v>
      </c>
      <c r="F452" t="s">
        <v>18</v>
      </c>
      <c r="G452" t="s">
        <v>12</v>
      </c>
      <c r="H452" t="s">
        <v>16</v>
      </c>
      <c r="I452">
        <v>0.39</v>
      </c>
      <c r="J452">
        <v>921182.15</v>
      </c>
      <c r="K452">
        <f>Table2[[#This Row],[revenue]]/Table2[[#This Row],[budget]]</f>
        <v>22.490512394192201</v>
      </c>
      <c r="L452" s="2">
        <f t="shared" si="21"/>
        <v>409587</v>
      </c>
      <c r="M452" s="2">
        <f>(Table2[[#This Row],[Adjusted revenue]]-Table2[[#This Row],[budget]])/Table2[[#This Row],[budget]]</f>
        <v>9</v>
      </c>
      <c r="N452" t="str">
        <f t="shared" si="22"/>
        <v>OK</v>
      </c>
      <c r="O452" s="2">
        <f t="shared" si="23"/>
        <v>1</v>
      </c>
    </row>
    <row r="453" spans="1:15" x14ac:dyDescent="0.3">
      <c r="A453" t="s">
        <v>471</v>
      </c>
      <c r="B453" s="1">
        <v>45098</v>
      </c>
      <c r="C453" s="1">
        <v>45343</v>
      </c>
      <c r="D453">
        <v>21009.79</v>
      </c>
      <c r="E453" s="2">
        <f>(Table2[[#This Row],[revenue]]-Table2[[#This Row],[budget]])/Table2[[#This Row],[budget]]</f>
        <v>14.325912348481351</v>
      </c>
      <c r="F453" t="s">
        <v>18</v>
      </c>
      <c r="G453" t="s">
        <v>12</v>
      </c>
      <c r="H453" t="s">
        <v>25</v>
      </c>
      <c r="I453">
        <v>0.54</v>
      </c>
      <c r="J453">
        <v>321994.2</v>
      </c>
      <c r="K453">
        <f>Table2[[#This Row],[revenue]]/Table2[[#This Row],[budget]]</f>
        <v>15.325912348481351</v>
      </c>
      <c r="L453" s="2">
        <f t="shared" si="21"/>
        <v>210097.90000000002</v>
      </c>
      <c r="M453" s="2">
        <f>(Table2[[#This Row],[Adjusted revenue]]-Table2[[#This Row],[budget]])/Table2[[#This Row],[budget]]</f>
        <v>9</v>
      </c>
      <c r="N453" t="str">
        <f t="shared" si="22"/>
        <v>OK</v>
      </c>
      <c r="O453" s="2">
        <f t="shared" si="23"/>
        <v>1</v>
      </c>
    </row>
    <row r="454" spans="1:15" x14ac:dyDescent="0.3">
      <c r="A454" t="s">
        <v>472</v>
      </c>
      <c r="B454" s="1">
        <v>45092</v>
      </c>
      <c r="C454" s="1">
        <v>45322</v>
      </c>
      <c r="D454">
        <v>23099.8</v>
      </c>
      <c r="E454" s="2">
        <f>(Table2[[#This Row],[revenue]]-Table2[[#This Row],[budget]])/Table2[[#This Row],[budget]]</f>
        <v>16.179852206512614</v>
      </c>
      <c r="F454" t="s">
        <v>23</v>
      </c>
      <c r="G454" t="s">
        <v>15</v>
      </c>
      <c r="H454" t="s">
        <v>19</v>
      </c>
      <c r="I454">
        <v>0.98</v>
      </c>
      <c r="J454">
        <v>396851.15</v>
      </c>
      <c r="K454">
        <f>Table2[[#This Row],[revenue]]/Table2[[#This Row],[budget]]</f>
        <v>17.179852206512614</v>
      </c>
      <c r="L454" s="2">
        <f t="shared" si="21"/>
        <v>230998</v>
      </c>
      <c r="M454" s="2">
        <f>(Table2[[#This Row],[Adjusted revenue]]-Table2[[#This Row],[budget]])/Table2[[#This Row],[budget]]</f>
        <v>9</v>
      </c>
      <c r="N454" t="str">
        <f t="shared" si="22"/>
        <v>OK</v>
      </c>
      <c r="O454" s="2">
        <f t="shared" si="23"/>
        <v>1</v>
      </c>
    </row>
    <row r="455" spans="1:15" x14ac:dyDescent="0.3">
      <c r="A455" t="s">
        <v>473</v>
      </c>
      <c r="B455" s="1">
        <v>44824</v>
      </c>
      <c r="C455" s="1">
        <v>45234</v>
      </c>
      <c r="D455">
        <v>33618.699999999997</v>
      </c>
      <c r="E455" s="2">
        <f>(Table2[[#This Row],[revenue]]-Table2[[#This Row],[budget]])/Table2[[#This Row],[budget]]</f>
        <v>24.827993646393228</v>
      </c>
      <c r="F455" t="s">
        <v>21</v>
      </c>
      <c r="G455" t="s">
        <v>15</v>
      </c>
      <c r="H455" t="s">
        <v>19</v>
      </c>
      <c r="I455">
        <v>0.8</v>
      </c>
      <c r="J455">
        <v>868303.57</v>
      </c>
      <c r="K455">
        <f>Table2[[#This Row],[revenue]]/Table2[[#This Row],[budget]]</f>
        <v>25.827993646393228</v>
      </c>
      <c r="L455" s="2">
        <f t="shared" si="21"/>
        <v>336187</v>
      </c>
      <c r="M455" s="2">
        <f>(Table2[[#This Row],[Adjusted revenue]]-Table2[[#This Row],[budget]])/Table2[[#This Row],[budget]]</f>
        <v>9</v>
      </c>
      <c r="N455" t="str">
        <f t="shared" si="22"/>
        <v>OK</v>
      </c>
      <c r="O455" s="2">
        <f t="shared" si="23"/>
        <v>1</v>
      </c>
    </row>
    <row r="456" spans="1:15" x14ac:dyDescent="0.3">
      <c r="A456" t="s">
        <v>474</v>
      </c>
      <c r="B456" s="1">
        <v>45104</v>
      </c>
      <c r="C456" s="1">
        <v>45256</v>
      </c>
      <c r="D456">
        <v>55436.7</v>
      </c>
      <c r="E456" s="2">
        <f>(Table2[[#This Row],[revenue]]-Table2[[#This Row],[budget]])/Table2[[#This Row],[budget]]</f>
        <v>13.191062960096831</v>
      </c>
      <c r="F456" t="s">
        <v>18</v>
      </c>
      <c r="G456" t="s">
        <v>12</v>
      </c>
      <c r="H456" t="s">
        <v>13</v>
      </c>
      <c r="I456">
        <v>0.99</v>
      </c>
      <c r="J456">
        <v>786705.7</v>
      </c>
      <c r="K456">
        <f>Table2[[#This Row],[revenue]]/Table2[[#This Row],[budget]]</f>
        <v>14.191062960096831</v>
      </c>
      <c r="L456" s="2">
        <f t="shared" si="21"/>
        <v>554367</v>
      </c>
      <c r="M456" s="2">
        <f>(Table2[[#This Row],[Adjusted revenue]]-Table2[[#This Row],[budget]])/Table2[[#This Row],[budget]]</f>
        <v>9</v>
      </c>
      <c r="N456" t="str">
        <f t="shared" si="22"/>
        <v>OK</v>
      </c>
      <c r="O456" s="2">
        <f t="shared" si="23"/>
        <v>1</v>
      </c>
    </row>
    <row r="457" spans="1:15" x14ac:dyDescent="0.3">
      <c r="A457" t="s">
        <v>475</v>
      </c>
      <c r="B457" s="1">
        <v>44993</v>
      </c>
      <c r="C457" s="1">
        <v>45471</v>
      </c>
      <c r="D457">
        <v>73916.740000000005</v>
      </c>
      <c r="E457" s="2">
        <f>(Table2[[#This Row],[revenue]]-Table2[[#This Row],[budget]])/Table2[[#This Row],[budget]]</f>
        <v>2.1480739004452847</v>
      </c>
      <c r="F457" t="s">
        <v>21</v>
      </c>
      <c r="G457" t="s">
        <v>12</v>
      </c>
      <c r="H457" t="s">
        <v>16</v>
      </c>
      <c r="I457">
        <v>0.69</v>
      </c>
      <c r="J457">
        <v>232695.36</v>
      </c>
      <c r="K457">
        <f>Table2[[#This Row],[revenue]]/Table2[[#This Row],[budget]]</f>
        <v>3.1480739004452842</v>
      </c>
      <c r="L457" s="2">
        <f t="shared" si="21"/>
        <v>232695.36</v>
      </c>
      <c r="M457" s="2">
        <f>(Table2[[#This Row],[Adjusted revenue]]-Table2[[#This Row],[budget]])/Table2[[#This Row],[budget]]</f>
        <v>2.1480739004452847</v>
      </c>
      <c r="N457" t="str">
        <f t="shared" si="22"/>
        <v>OK</v>
      </c>
      <c r="O457" s="2">
        <f t="shared" si="23"/>
        <v>-0.44251075780099269</v>
      </c>
    </row>
    <row r="458" spans="1:15" x14ac:dyDescent="0.3">
      <c r="A458" t="s">
        <v>476</v>
      </c>
      <c r="B458" s="1">
        <v>44800</v>
      </c>
      <c r="C458" s="1">
        <v>45248</v>
      </c>
      <c r="D458">
        <v>66331.63</v>
      </c>
      <c r="E458" s="2">
        <f>(Table2[[#This Row],[revenue]]-Table2[[#This Row],[budget]])/Table2[[#This Row],[budget]]</f>
        <v>12.818959672783556</v>
      </c>
      <c r="F458" t="s">
        <v>18</v>
      </c>
      <c r="G458" t="s">
        <v>15</v>
      </c>
      <c r="H458" t="s">
        <v>16</v>
      </c>
      <c r="I458">
        <v>0.4</v>
      </c>
      <c r="J458">
        <v>916634.12</v>
      </c>
      <c r="K458">
        <f>Table2[[#This Row],[revenue]]/Table2[[#This Row],[budget]]</f>
        <v>13.818959672783556</v>
      </c>
      <c r="L458" s="2">
        <f t="shared" si="21"/>
        <v>663316.30000000005</v>
      </c>
      <c r="M458" s="2">
        <f>(Table2[[#This Row],[Adjusted revenue]]-Table2[[#This Row],[budget]])/Table2[[#This Row],[budget]]</f>
        <v>9</v>
      </c>
      <c r="N458" t="str">
        <f t="shared" si="22"/>
        <v>OK</v>
      </c>
      <c r="O458" s="2">
        <f t="shared" si="23"/>
        <v>1</v>
      </c>
    </row>
    <row r="459" spans="1:15" x14ac:dyDescent="0.3">
      <c r="A459" t="s">
        <v>477</v>
      </c>
      <c r="B459" s="1">
        <v>44856</v>
      </c>
      <c r="C459" s="1">
        <v>45224</v>
      </c>
      <c r="D459">
        <v>39767.24</v>
      </c>
      <c r="E459" s="2">
        <f>(Table2[[#This Row],[revenue]]-Table2[[#This Row],[budget]])/Table2[[#This Row],[budget]]</f>
        <v>9.2236463983922459</v>
      </c>
      <c r="F459" t="s">
        <v>11</v>
      </c>
      <c r="G459" t="s">
        <v>12</v>
      </c>
      <c r="H459" t="s">
        <v>19</v>
      </c>
      <c r="I459">
        <v>0.33</v>
      </c>
      <c r="J459">
        <v>406566.2</v>
      </c>
      <c r="K459">
        <f>Table2[[#This Row],[revenue]]/Table2[[#This Row],[budget]]</f>
        <v>10.223646398392246</v>
      </c>
      <c r="L459" s="2">
        <f t="shared" si="21"/>
        <v>397672.39999999997</v>
      </c>
      <c r="M459" s="2">
        <f>(Table2[[#This Row],[Adjusted revenue]]-Table2[[#This Row],[budget]])/Table2[[#This Row],[budget]]</f>
        <v>9</v>
      </c>
      <c r="N459" t="str">
        <f t="shared" si="22"/>
        <v>OK</v>
      </c>
      <c r="O459" s="2">
        <f t="shared" si="23"/>
        <v>1</v>
      </c>
    </row>
    <row r="460" spans="1:15" x14ac:dyDescent="0.3">
      <c r="A460" t="s">
        <v>478</v>
      </c>
      <c r="B460" s="1">
        <v>45042</v>
      </c>
      <c r="C460" s="1">
        <v>45211</v>
      </c>
      <c r="D460">
        <v>86716.38</v>
      </c>
      <c r="E460" s="2">
        <f>(Table2[[#This Row],[revenue]]-Table2[[#This Row],[budget]])/Table2[[#This Row],[budget]]</f>
        <v>-0.20014119593091875</v>
      </c>
      <c r="F460" t="s">
        <v>11</v>
      </c>
      <c r="G460" t="s">
        <v>12</v>
      </c>
      <c r="H460" t="s">
        <v>19</v>
      </c>
      <c r="I460">
        <v>0.95</v>
      </c>
      <c r="J460">
        <v>69360.86</v>
      </c>
      <c r="K460">
        <f>Table2[[#This Row],[revenue]]/Table2[[#This Row],[budget]]</f>
        <v>0.79985880406908128</v>
      </c>
      <c r="L460" s="2">
        <f t="shared" si="21"/>
        <v>69360.86</v>
      </c>
      <c r="M460" s="2">
        <f>(Table2[[#This Row],[Adjusted revenue]]-Table2[[#This Row],[budget]])/Table2[[#This Row],[budget]]</f>
        <v>-0.20014119593091875</v>
      </c>
      <c r="N460" t="str">
        <f t="shared" si="22"/>
        <v>Failed</v>
      </c>
      <c r="O460" s="2">
        <f t="shared" si="23"/>
        <v>-0.93687183072229874</v>
      </c>
    </row>
    <row r="461" spans="1:15" x14ac:dyDescent="0.3">
      <c r="A461" t="s">
        <v>479</v>
      </c>
      <c r="B461" s="1">
        <v>45007</v>
      </c>
      <c r="C461" s="1">
        <v>45457</v>
      </c>
      <c r="D461">
        <v>69474.960000000006</v>
      </c>
      <c r="E461" s="2">
        <f>(Table2[[#This Row],[revenue]]-Table2[[#This Row],[budget]])/Table2[[#This Row],[budget]]</f>
        <v>0.24039193401478728</v>
      </c>
      <c r="F461" t="s">
        <v>11</v>
      </c>
      <c r="G461" t="s">
        <v>12</v>
      </c>
      <c r="H461" t="s">
        <v>13</v>
      </c>
      <c r="I461">
        <v>0.7</v>
      </c>
      <c r="J461">
        <v>86176.18</v>
      </c>
      <c r="K461">
        <f>Table2[[#This Row],[revenue]]/Table2[[#This Row],[budget]]</f>
        <v>1.2403919340147873</v>
      </c>
      <c r="L461" s="2">
        <f t="shared" si="21"/>
        <v>86176.18</v>
      </c>
      <c r="M461" s="2">
        <f>(Table2[[#This Row],[Adjusted revenue]]-Table2[[#This Row],[budget]])/Table2[[#This Row],[budget]]</f>
        <v>0.24039193401478728</v>
      </c>
      <c r="N461" t="str">
        <f t="shared" si="22"/>
        <v>Failed</v>
      </c>
      <c r="O461" s="2">
        <f t="shared" si="23"/>
        <v>-0.84412801389162373</v>
      </c>
    </row>
    <row r="462" spans="1:15" x14ac:dyDescent="0.3">
      <c r="A462" t="s">
        <v>480</v>
      </c>
      <c r="B462" s="1">
        <v>44865</v>
      </c>
      <c r="C462" s="1">
        <v>45389</v>
      </c>
      <c r="D462">
        <v>7952.69</v>
      </c>
      <c r="E462" s="2">
        <f>(Table2[[#This Row],[revenue]]-Table2[[#This Row],[budget]])/Table2[[#This Row],[budget]]</f>
        <v>96.110096080697232</v>
      </c>
      <c r="F462" t="s">
        <v>23</v>
      </c>
      <c r="G462" t="s">
        <v>15</v>
      </c>
      <c r="H462" t="s">
        <v>16</v>
      </c>
      <c r="I462">
        <v>0.14000000000000001</v>
      </c>
      <c r="J462">
        <v>772286.49</v>
      </c>
      <c r="K462">
        <f>Table2[[#This Row],[revenue]]/Table2[[#This Row],[budget]]</f>
        <v>97.110096080697232</v>
      </c>
      <c r="L462" s="2">
        <f t="shared" si="21"/>
        <v>79526.899999999994</v>
      </c>
      <c r="M462" s="2">
        <f>(Table2[[#This Row],[Adjusted revenue]]-Table2[[#This Row],[budget]])/Table2[[#This Row],[budget]]</f>
        <v>9</v>
      </c>
      <c r="N462" t="str">
        <f t="shared" si="22"/>
        <v>OK</v>
      </c>
      <c r="O462" s="2">
        <f t="shared" si="23"/>
        <v>1</v>
      </c>
    </row>
    <row r="463" spans="1:15" x14ac:dyDescent="0.3">
      <c r="A463" t="s">
        <v>481</v>
      </c>
      <c r="B463" s="1">
        <v>45033</v>
      </c>
      <c r="C463" s="1">
        <v>45245</v>
      </c>
      <c r="D463">
        <v>92395.78</v>
      </c>
      <c r="E463" s="2">
        <f>(Table2[[#This Row],[revenue]]-Table2[[#This Row],[budget]])/Table2[[#This Row],[budget]]</f>
        <v>9.2785717053311316</v>
      </c>
      <c r="F463" t="s">
        <v>23</v>
      </c>
      <c r="G463" t="s">
        <v>15</v>
      </c>
      <c r="H463" t="s">
        <v>13</v>
      </c>
      <c r="I463">
        <v>0.31</v>
      </c>
      <c r="J463">
        <v>949696.65</v>
      </c>
      <c r="K463">
        <f>Table2[[#This Row],[revenue]]/Table2[[#This Row],[budget]]</f>
        <v>10.278571705331132</v>
      </c>
      <c r="L463" s="2">
        <f t="shared" si="21"/>
        <v>923957.8</v>
      </c>
      <c r="M463" s="2">
        <f>(Table2[[#This Row],[Adjusted revenue]]-Table2[[#This Row],[budget]])/Table2[[#This Row],[budget]]</f>
        <v>9</v>
      </c>
      <c r="N463" t="str">
        <f t="shared" si="22"/>
        <v>OK</v>
      </c>
      <c r="O463" s="2">
        <f t="shared" si="23"/>
        <v>1</v>
      </c>
    </row>
    <row r="464" spans="1:15" x14ac:dyDescent="0.3">
      <c r="A464" t="s">
        <v>482</v>
      </c>
      <c r="B464" s="1">
        <v>45037</v>
      </c>
      <c r="C464" s="1">
        <v>45295</v>
      </c>
      <c r="D464">
        <v>76016.600000000006</v>
      </c>
      <c r="E464" s="2">
        <f>(Table2[[#This Row],[revenue]]-Table2[[#This Row],[budget]])/Table2[[#This Row],[budget]]</f>
        <v>9.6440388020511314</v>
      </c>
      <c r="F464" t="s">
        <v>23</v>
      </c>
      <c r="G464" t="s">
        <v>12</v>
      </c>
      <c r="H464" t="s">
        <v>16</v>
      </c>
      <c r="I464">
        <v>0.38</v>
      </c>
      <c r="J464">
        <v>809123.64</v>
      </c>
      <c r="K464">
        <f>Table2[[#This Row],[revenue]]/Table2[[#This Row],[budget]]</f>
        <v>10.64403880205113</v>
      </c>
      <c r="L464" s="2">
        <f t="shared" si="21"/>
        <v>760166</v>
      </c>
      <c r="M464" s="2">
        <f>(Table2[[#This Row],[Adjusted revenue]]-Table2[[#This Row],[budget]])/Table2[[#This Row],[budget]]</f>
        <v>9</v>
      </c>
      <c r="N464" t="str">
        <f t="shared" si="22"/>
        <v>OK</v>
      </c>
      <c r="O464" s="2">
        <f t="shared" si="23"/>
        <v>1</v>
      </c>
    </row>
    <row r="465" spans="1:15" x14ac:dyDescent="0.3">
      <c r="A465" t="s">
        <v>483</v>
      </c>
      <c r="B465" s="1">
        <v>44910</v>
      </c>
      <c r="C465" s="1">
        <v>45358</v>
      </c>
      <c r="D465">
        <v>32965.35</v>
      </c>
      <c r="E465" s="2">
        <f>(Table2[[#This Row],[revenue]]-Table2[[#This Row],[budget]])/Table2[[#This Row],[budget]]</f>
        <v>24.435026778117027</v>
      </c>
      <c r="F465" t="s">
        <v>11</v>
      </c>
      <c r="G465" t="s">
        <v>15</v>
      </c>
      <c r="H465" t="s">
        <v>25</v>
      </c>
      <c r="I465">
        <v>0.77</v>
      </c>
      <c r="J465">
        <v>838474.56</v>
      </c>
      <c r="K465">
        <f>Table2[[#This Row],[revenue]]/Table2[[#This Row],[budget]]</f>
        <v>25.435026778117027</v>
      </c>
      <c r="L465" s="2">
        <f t="shared" si="21"/>
        <v>329653.5</v>
      </c>
      <c r="M465" s="2">
        <f>(Table2[[#This Row],[Adjusted revenue]]-Table2[[#This Row],[budget]])/Table2[[#This Row],[budget]]</f>
        <v>9.0000000000000018</v>
      </c>
      <c r="N465" t="str">
        <f t="shared" si="22"/>
        <v>OK</v>
      </c>
      <c r="O465" s="2">
        <f t="shared" si="23"/>
        <v>1.0000000000000004</v>
      </c>
    </row>
    <row r="466" spans="1:15" x14ac:dyDescent="0.3">
      <c r="A466" t="s">
        <v>484</v>
      </c>
      <c r="B466" s="1">
        <v>45029</v>
      </c>
      <c r="C466" s="1">
        <v>45384</v>
      </c>
      <c r="D466">
        <v>99120.34</v>
      </c>
      <c r="E466" s="2">
        <f>(Table2[[#This Row],[revenue]]-Table2[[#This Row],[budget]])/Table2[[#This Row],[budget]]</f>
        <v>1.2941620256750532</v>
      </c>
      <c r="F466" t="s">
        <v>21</v>
      </c>
      <c r="G466" t="s">
        <v>12</v>
      </c>
      <c r="H466" t="s">
        <v>25</v>
      </c>
      <c r="I466">
        <v>0.67</v>
      </c>
      <c r="J466">
        <v>227398.12</v>
      </c>
      <c r="K466">
        <f>Table2[[#This Row],[revenue]]/Table2[[#This Row],[budget]]</f>
        <v>2.2941620256750532</v>
      </c>
      <c r="L466" s="2">
        <f t="shared" si="21"/>
        <v>227398.12</v>
      </c>
      <c r="M466" s="2">
        <f>(Table2[[#This Row],[Adjusted revenue]]-Table2[[#This Row],[budget]])/Table2[[#This Row],[budget]]</f>
        <v>1.2941620256750532</v>
      </c>
      <c r="N466" t="str">
        <f t="shared" si="22"/>
        <v>OK</v>
      </c>
      <c r="O466" s="2">
        <f t="shared" si="23"/>
        <v>-0.62228167880525187</v>
      </c>
    </row>
    <row r="467" spans="1:15" x14ac:dyDescent="0.3">
      <c r="A467" t="s">
        <v>485</v>
      </c>
      <c r="B467" s="1">
        <v>44950</v>
      </c>
      <c r="C467" s="1">
        <v>45224</v>
      </c>
      <c r="D467">
        <v>65906.929999999993</v>
      </c>
      <c r="E467" s="2">
        <f>(Table2[[#This Row],[revenue]]-Table2[[#This Row],[budget]])/Table2[[#This Row],[budget]]</f>
        <v>7.2437074523119191</v>
      </c>
      <c r="F467" t="s">
        <v>11</v>
      </c>
      <c r="G467" t="s">
        <v>12</v>
      </c>
      <c r="H467" t="s">
        <v>16</v>
      </c>
      <c r="I467">
        <v>0.9</v>
      </c>
      <c r="J467">
        <v>543317.44999999995</v>
      </c>
      <c r="K467">
        <f>Table2[[#This Row],[revenue]]/Table2[[#This Row],[budget]]</f>
        <v>8.24370745231192</v>
      </c>
      <c r="L467" s="2">
        <f t="shared" si="21"/>
        <v>543317.44999999995</v>
      </c>
      <c r="M467" s="2">
        <f>(Table2[[#This Row],[Adjusted revenue]]-Table2[[#This Row],[budget]])/Table2[[#This Row],[budget]]</f>
        <v>7.2437074523119191</v>
      </c>
      <c r="N467" t="str">
        <f t="shared" si="22"/>
        <v>OK</v>
      </c>
      <c r="O467" s="2">
        <f t="shared" si="23"/>
        <v>0.63025420048671976</v>
      </c>
    </row>
    <row r="468" spans="1:15" x14ac:dyDescent="0.3">
      <c r="A468" t="s">
        <v>486</v>
      </c>
      <c r="B468" s="1">
        <v>44860</v>
      </c>
      <c r="C468" s="1">
        <v>45354</v>
      </c>
      <c r="D468">
        <v>16945.29</v>
      </c>
      <c r="E468" s="2">
        <f>(Table2[[#This Row],[revenue]]-Table2[[#This Row],[budget]])/Table2[[#This Row],[budget]]</f>
        <v>51.207419288781715</v>
      </c>
      <c r="F468" t="s">
        <v>23</v>
      </c>
      <c r="G468" t="s">
        <v>15</v>
      </c>
      <c r="H468" t="s">
        <v>25</v>
      </c>
      <c r="I468">
        <v>0.76</v>
      </c>
      <c r="J468">
        <v>884669.86</v>
      </c>
      <c r="K468">
        <f>Table2[[#This Row],[revenue]]/Table2[[#This Row],[budget]]</f>
        <v>52.207419288781715</v>
      </c>
      <c r="L468" s="2">
        <f t="shared" si="21"/>
        <v>169452.90000000002</v>
      </c>
      <c r="M468" s="2">
        <f>(Table2[[#This Row],[Adjusted revenue]]-Table2[[#This Row],[budget]])/Table2[[#This Row],[budget]]</f>
        <v>9</v>
      </c>
      <c r="N468" t="str">
        <f t="shared" si="22"/>
        <v>OK</v>
      </c>
      <c r="O468" s="2">
        <f t="shared" si="23"/>
        <v>1</v>
      </c>
    </row>
    <row r="469" spans="1:15" x14ac:dyDescent="0.3">
      <c r="A469" t="s">
        <v>487</v>
      </c>
      <c r="B469" s="1">
        <v>44967</v>
      </c>
      <c r="C469" s="1">
        <v>45336</v>
      </c>
      <c r="D469">
        <v>41041.24</v>
      </c>
      <c r="E469" s="2">
        <f>(Table2[[#This Row],[revenue]]-Table2[[#This Row],[budget]])/Table2[[#This Row],[budget]]</f>
        <v>8.6010710202713181</v>
      </c>
      <c r="F469" t="s">
        <v>11</v>
      </c>
      <c r="G469" t="s">
        <v>15</v>
      </c>
      <c r="H469" t="s">
        <v>13</v>
      </c>
      <c r="I469">
        <v>0.51</v>
      </c>
      <c r="J469">
        <v>394039.86</v>
      </c>
      <c r="K469">
        <f>Table2[[#This Row],[revenue]]/Table2[[#This Row],[budget]]</f>
        <v>9.6010710202713181</v>
      </c>
      <c r="L469" s="2">
        <f t="shared" si="21"/>
        <v>394039.86</v>
      </c>
      <c r="M469" s="2">
        <f>(Table2[[#This Row],[Adjusted revenue]]-Table2[[#This Row],[budget]])/Table2[[#This Row],[budget]]</f>
        <v>8.6010710202713181</v>
      </c>
      <c r="N469" t="str">
        <f t="shared" si="22"/>
        <v>OK</v>
      </c>
      <c r="O469" s="2">
        <f t="shared" si="23"/>
        <v>0.91601495163606694</v>
      </c>
    </row>
    <row r="470" spans="1:15" x14ac:dyDescent="0.3">
      <c r="A470" t="s">
        <v>488</v>
      </c>
      <c r="B470" s="1">
        <v>44923</v>
      </c>
      <c r="C470" s="1">
        <v>45471</v>
      </c>
      <c r="D470">
        <v>44445.2</v>
      </c>
      <c r="E470" s="2">
        <f>(Table2[[#This Row],[revenue]]-Table2[[#This Row],[budget]])/Table2[[#This Row],[budget]]</f>
        <v>5.7663905213611377</v>
      </c>
      <c r="F470" t="s">
        <v>21</v>
      </c>
      <c r="G470" t="s">
        <v>15</v>
      </c>
      <c r="H470" t="s">
        <v>25</v>
      </c>
      <c r="I470">
        <v>0.39</v>
      </c>
      <c r="J470">
        <v>300733.58</v>
      </c>
      <c r="K470">
        <f>Table2[[#This Row],[revenue]]/Table2[[#This Row],[budget]]</f>
        <v>6.7663905213611377</v>
      </c>
      <c r="L470" s="2">
        <f t="shared" si="21"/>
        <v>300733.58</v>
      </c>
      <c r="M470" s="2">
        <f>(Table2[[#This Row],[Adjusted revenue]]-Table2[[#This Row],[budget]])/Table2[[#This Row],[budget]]</f>
        <v>5.7663905213611377</v>
      </c>
      <c r="N470" t="str">
        <f t="shared" si="22"/>
        <v>OK</v>
      </c>
      <c r="O470" s="2">
        <f t="shared" si="23"/>
        <v>0.31924010976023953</v>
      </c>
    </row>
    <row r="471" spans="1:15" x14ac:dyDescent="0.3">
      <c r="A471" t="s">
        <v>489</v>
      </c>
      <c r="B471" s="1">
        <v>44970</v>
      </c>
      <c r="C471" s="1">
        <v>45280</v>
      </c>
      <c r="D471">
        <v>11742.47</v>
      </c>
      <c r="E471" s="2">
        <f>(Table2[[#This Row],[revenue]]-Table2[[#This Row],[budget]])/Table2[[#This Row],[budget]]</f>
        <v>56.248705766333664</v>
      </c>
      <c r="F471" t="s">
        <v>11</v>
      </c>
      <c r="G471" t="s">
        <v>12</v>
      </c>
      <c r="H471" t="s">
        <v>13</v>
      </c>
      <c r="I471">
        <v>0.2</v>
      </c>
      <c r="J471">
        <v>672241.21</v>
      </c>
      <c r="K471">
        <f>Table2[[#This Row],[revenue]]/Table2[[#This Row],[budget]]</f>
        <v>57.248705766333657</v>
      </c>
      <c r="L471" s="2">
        <f t="shared" si="21"/>
        <v>117424.7</v>
      </c>
      <c r="M471" s="2">
        <f>(Table2[[#This Row],[Adjusted revenue]]-Table2[[#This Row],[budget]])/Table2[[#This Row],[budget]]</f>
        <v>9</v>
      </c>
      <c r="N471" t="str">
        <f t="shared" si="22"/>
        <v>OK</v>
      </c>
      <c r="O471" s="2">
        <f t="shared" si="23"/>
        <v>1</v>
      </c>
    </row>
    <row r="472" spans="1:15" x14ac:dyDescent="0.3">
      <c r="A472" t="s">
        <v>490</v>
      </c>
      <c r="B472" s="1">
        <v>44904</v>
      </c>
      <c r="C472" s="1">
        <v>45191</v>
      </c>
      <c r="D472">
        <v>68103.5</v>
      </c>
      <c r="E472" s="2">
        <f>(Table2[[#This Row],[revenue]]-Table2[[#This Row],[budget]])/Table2[[#This Row],[budget]]</f>
        <v>1.8822380641229892</v>
      </c>
      <c r="F472" t="s">
        <v>11</v>
      </c>
      <c r="G472" t="s">
        <v>12</v>
      </c>
      <c r="H472" t="s">
        <v>25</v>
      </c>
      <c r="I472">
        <v>0.56000000000000005</v>
      </c>
      <c r="J472">
        <v>196290.5</v>
      </c>
      <c r="K472">
        <f>Table2[[#This Row],[revenue]]/Table2[[#This Row],[budget]]</f>
        <v>2.8822380641229892</v>
      </c>
      <c r="L472" s="2">
        <f t="shared" si="21"/>
        <v>196290.5</v>
      </c>
      <c r="M472" s="2">
        <f>(Table2[[#This Row],[Adjusted revenue]]-Table2[[#This Row],[budget]])/Table2[[#This Row],[budget]]</f>
        <v>1.8822380641229892</v>
      </c>
      <c r="N472" t="str">
        <f t="shared" si="22"/>
        <v>OK</v>
      </c>
      <c r="O472" s="2">
        <f t="shared" si="23"/>
        <v>-0.49847619702673907</v>
      </c>
    </row>
    <row r="473" spans="1:15" x14ac:dyDescent="0.3">
      <c r="A473" t="s">
        <v>491</v>
      </c>
      <c r="B473" s="1">
        <v>44974</v>
      </c>
      <c r="C473" s="1">
        <v>45209</v>
      </c>
      <c r="D473">
        <v>26563.78</v>
      </c>
      <c r="E473" s="2">
        <f>(Table2[[#This Row],[revenue]]-Table2[[#This Row],[budget]])/Table2[[#This Row],[budget]]</f>
        <v>31.514970008033497</v>
      </c>
      <c r="F473" t="s">
        <v>23</v>
      </c>
      <c r="G473" t="s">
        <v>12</v>
      </c>
      <c r="H473" t="s">
        <v>19</v>
      </c>
      <c r="I473">
        <v>0.32</v>
      </c>
      <c r="J473">
        <v>863720.51</v>
      </c>
      <c r="K473">
        <f>Table2[[#This Row],[revenue]]/Table2[[#This Row],[budget]]</f>
        <v>32.514970008033494</v>
      </c>
      <c r="L473" s="2">
        <f t="shared" si="21"/>
        <v>265637.8</v>
      </c>
      <c r="M473" s="2">
        <f>(Table2[[#This Row],[Adjusted revenue]]-Table2[[#This Row],[budget]])/Table2[[#This Row],[budget]]</f>
        <v>9</v>
      </c>
      <c r="N473" t="str">
        <f t="shared" si="22"/>
        <v>OK</v>
      </c>
      <c r="O473" s="2">
        <f t="shared" si="23"/>
        <v>1</v>
      </c>
    </row>
    <row r="474" spans="1:15" x14ac:dyDescent="0.3">
      <c r="A474" t="s">
        <v>492</v>
      </c>
      <c r="B474" s="1">
        <v>44890</v>
      </c>
      <c r="C474" s="1">
        <v>45183</v>
      </c>
      <c r="D474">
        <v>3104.48</v>
      </c>
      <c r="E474" s="2">
        <f>(Table2[[#This Row],[revenue]]-Table2[[#This Row],[budget]])/Table2[[#This Row],[budget]]</f>
        <v>112.56873614904912</v>
      </c>
      <c r="F474" t="s">
        <v>21</v>
      </c>
      <c r="G474" t="s">
        <v>15</v>
      </c>
      <c r="H474" t="s">
        <v>25</v>
      </c>
      <c r="I474">
        <v>0.56999999999999995</v>
      </c>
      <c r="J474">
        <v>352571.87</v>
      </c>
      <c r="K474">
        <f>Table2[[#This Row],[revenue]]/Table2[[#This Row],[budget]]</f>
        <v>113.56873614904912</v>
      </c>
      <c r="L474" s="2">
        <f t="shared" si="21"/>
        <v>31044.799999999999</v>
      </c>
      <c r="M474" s="2">
        <f>(Table2[[#This Row],[Adjusted revenue]]-Table2[[#This Row],[budget]])/Table2[[#This Row],[budget]]</f>
        <v>9</v>
      </c>
      <c r="N474" t="str">
        <f t="shared" si="22"/>
        <v>OK</v>
      </c>
      <c r="O474" s="2">
        <f t="shared" si="23"/>
        <v>1</v>
      </c>
    </row>
    <row r="475" spans="1:15" x14ac:dyDescent="0.3">
      <c r="A475" t="s">
        <v>493</v>
      </c>
      <c r="B475" s="1">
        <v>44940</v>
      </c>
      <c r="C475" s="1">
        <v>45381</v>
      </c>
      <c r="D475">
        <v>1480.67</v>
      </c>
      <c r="E475" s="2">
        <f>(Table2[[#This Row],[revenue]]-Table2[[#This Row],[budget]])/Table2[[#This Row],[budget]]</f>
        <v>524.42642857625265</v>
      </c>
      <c r="F475" t="s">
        <v>23</v>
      </c>
      <c r="G475" t="s">
        <v>15</v>
      </c>
      <c r="H475" t="s">
        <v>16</v>
      </c>
      <c r="I475">
        <v>0.89</v>
      </c>
      <c r="J475">
        <v>777983.15</v>
      </c>
      <c r="K475">
        <f>Table2[[#This Row],[revenue]]/Table2[[#This Row],[budget]]</f>
        <v>525.42642857625265</v>
      </c>
      <c r="L475" s="2">
        <f t="shared" si="21"/>
        <v>14806.7</v>
      </c>
      <c r="M475" s="2">
        <f>(Table2[[#This Row],[Adjusted revenue]]-Table2[[#This Row],[budget]])/Table2[[#This Row],[budget]]</f>
        <v>9</v>
      </c>
      <c r="N475" t="str">
        <f t="shared" si="22"/>
        <v>OK</v>
      </c>
      <c r="O475" s="2">
        <f t="shared" si="23"/>
        <v>1</v>
      </c>
    </row>
    <row r="476" spans="1:15" x14ac:dyDescent="0.3">
      <c r="A476" t="s">
        <v>494</v>
      </c>
      <c r="B476" s="1">
        <v>45104</v>
      </c>
      <c r="C476" s="1">
        <v>45452</v>
      </c>
      <c r="D476">
        <v>43263.23</v>
      </c>
      <c r="E476" s="2">
        <f>(Table2[[#This Row],[revenue]]-Table2[[#This Row],[budget]])/Table2[[#This Row],[budget]]</f>
        <v>5.5728652252732855</v>
      </c>
      <c r="F476" t="s">
        <v>23</v>
      </c>
      <c r="G476" t="s">
        <v>12</v>
      </c>
      <c r="H476" t="s">
        <v>19</v>
      </c>
      <c r="I476">
        <v>0.27</v>
      </c>
      <c r="J476">
        <v>284363.38</v>
      </c>
      <c r="K476">
        <f>Table2[[#This Row],[revenue]]/Table2[[#This Row],[budget]]</f>
        <v>6.5728652252732855</v>
      </c>
      <c r="L476" s="2">
        <f t="shared" si="21"/>
        <v>284363.38</v>
      </c>
      <c r="M476" s="2">
        <f>(Table2[[#This Row],[Adjusted revenue]]-Table2[[#This Row],[budget]])/Table2[[#This Row],[budget]]</f>
        <v>5.5728652252732855</v>
      </c>
      <c r="N476" t="str">
        <f t="shared" si="22"/>
        <v>OK</v>
      </c>
      <c r="O476" s="2">
        <f t="shared" si="23"/>
        <v>0.27849794216279689</v>
      </c>
    </row>
    <row r="477" spans="1:15" x14ac:dyDescent="0.3">
      <c r="A477" t="s">
        <v>495</v>
      </c>
      <c r="B477" s="1">
        <v>44794</v>
      </c>
      <c r="C477" s="1">
        <v>45494</v>
      </c>
      <c r="D477">
        <v>50643.73</v>
      </c>
      <c r="E477" s="2">
        <f>(Table2[[#This Row],[revenue]]-Table2[[#This Row],[budget]])/Table2[[#This Row],[budget]]</f>
        <v>11.446166583701478</v>
      </c>
      <c r="F477" t="s">
        <v>11</v>
      </c>
      <c r="G477" t="s">
        <v>12</v>
      </c>
      <c r="H477" t="s">
        <v>13</v>
      </c>
      <c r="I477">
        <v>0.6</v>
      </c>
      <c r="J477">
        <v>630320.30000000005</v>
      </c>
      <c r="K477">
        <f>Table2[[#This Row],[revenue]]/Table2[[#This Row],[budget]]</f>
        <v>12.446166583701476</v>
      </c>
      <c r="L477" s="2">
        <f t="shared" si="21"/>
        <v>506437.30000000005</v>
      </c>
      <c r="M477" s="2">
        <f>(Table2[[#This Row],[Adjusted revenue]]-Table2[[#This Row],[budget]])/Table2[[#This Row],[budget]]</f>
        <v>9</v>
      </c>
      <c r="N477" t="str">
        <f t="shared" si="22"/>
        <v>OK</v>
      </c>
      <c r="O477" s="2">
        <f t="shared" si="23"/>
        <v>1</v>
      </c>
    </row>
    <row r="478" spans="1:15" x14ac:dyDescent="0.3">
      <c r="A478" t="s">
        <v>496</v>
      </c>
      <c r="B478" s="1">
        <v>45016</v>
      </c>
      <c r="C478" s="1">
        <v>45179</v>
      </c>
      <c r="D478">
        <v>30878.98</v>
      </c>
      <c r="E478" s="2">
        <f>(Table2[[#This Row],[revenue]]-Table2[[#This Row],[budget]])/Table2[[#This Row],[budget]]</f>
        <v>20.592578511336839</v>
      </c>
      <c r="F478" t="s">
        <v>18</v>
      </c>
      <c r="G478" t="s">
        <v>12</v>
      </c>
      <c r="H478" t="s">
        <v>16</v>
      </c>
      <c r="I478">
        <v>0.7</v>
      </c>
      <c r="J478">
        <v>666756.80000000005</v>
      </c>
      <c r="K478">
        <f>Table2[[#This Row],[revenue]]/Table2[[#This Row],[budget]]</f>
        <v>21.592578511336839</v>
      </c>
      <c r="L478" s="2">
        <f t="shared" si="21"/>
        <v>308789.8</v>
      </c>
      <c r="M478" s="2">
        <f>(Table2[[#This Row],[Adjusted revenue]]-Table2[[#This Row],[budget]])/Table2[[#This Row],[budget]]</f>
        <v>9</v>
      </c>
      <c r="N478" t="str">
        <f t="shared" si="22"/>
        <v>OK</v>
      </c>
      <c r="O478" s="2">
        <f t="shared" si="23"/>
        <v>1</v>
      </c>
    </row>
    <row r="479" spans="1:15" x14ac:dyDescent="0.3">
      <c r="A479" t="s">
        <v>497</v>
      </c>
      <c r="B479" s="1">
        <v>45058</v>
      </c>
      <c r="C479" s="1">
        <v>45145</v>
      </c>
      <c r="D479">
        <v>30319.57</v>
      </c>
      <c r="E479" s="2">
        <f>(Table2[[#This Row],[revenue]]-Table2[[#This Row],[budget]])/Table2[[#This Row],[budget]]</f>
        <v>29.570789097602642</v>
      </c>
      <c r="F479" t="s">
        <v>11</v>
      </c>
      <c r="G479" t="s">
        <v>12</v>
      </c>
      <c r="H479" t="s">
        <v>16</v>
      </c>
      <c r="I479">
        <v>0.19</v>
      </c>
      <c r="J479">
        <v>926893.18</v>
      </c>
      <c r="K479">
        <f>Table2[[#This Row],[revenue]]/Table2[[#This Row],[budget]]</f>
        <v>30.570789097602638</v>
      </c>
      <c r="L479" s="2">
        <f t="shared" si="21"/>
        <v>303195.7</v>
      </c>
      <c r="M479" s="2">
        <f>(Table2[[#This Row],[Adjusted revenue]]-Table2[[#This Row],[budget]])/Table2[[#This Row],[budget]]</f>
        <v>9</v>
      </c>
      <c r="N479" t="str">
        <f t="shared" si="22"/>
        <v>OK</v>
      </c>
      <c r="O479" s="2">
        <f t="shared" si="23"/>
        <v>1</v>
      </c>
    </row>
    <row r="480" spans="1:15" x14ac:dyDescent="0.3">
      <c r="A480" t="s">
        <v>498</v>
      </c>
      <c r="B480" s="1">
        <v>44956</v>
      </c>
      <c r="C480" s="1">
        <v>45263</v>
      </c>
      <c r="D480">
        <v>89283.48</v>
      </c>
      <c r="E480" s="2">
        <f>(Table2[[#This Row],[revenue]]-Table2[[#This Row],[budget]])/Table2[[#This Row],[budget]]</f>
        <v>9.1619897656318958</v>
      </c>
      <c r="F480" t="s">
        <v>11</v>
      </c>
      <c r="G480" t="s">
        <v>12</v>
      </c>
      <c r="H480" t="s">
        <v>25</v>
      </c>
      <c r="I480">
        <v>0.67</v>
      </c>
      <c r="J480">
        <v>907297.81</v>
      </c>
      <c r="K480">
        <f>Table2[[#This Row],[revenue]]/Table2[[#This Row],[budget]]</f>
        <v>10.161989765631896</v>
      </c>
      <c r="L480" s="2">
        <f t="shared" si="21"/>
        <v>892834.79999999993</v>
      </c>
      <c r="M480" s="2">
        <f>(Table2[[#This Row],[Adjusted revenue]]-Table2[[#This Row],[budget]])/Table2[[#This Row],[budget]]</f>
        <v>9</v>
      </c>
      <c r="N480" t="str">
        <f t="shared" si="22"/>
        <v>OK</v>
      </c>
      <c r="O480" s="2">
        <f t="shared" si="23"/>
        <v>1</v>
      </c>
    </row>
    <row r="481" spans="1:15" x14ac:dyDescent="0.3">
      <c r="A481" t="s">
        <v>499</v>
      </c>
      <c r="B481" s="1">
        <v>44929</v>
      </c>
      <c r="C481" s="1">
        <v>45319</v>
      </c>
      <c r="D481">
        <v>64733</v>
      </c>
      <c r="E481" s="2">
        <f>(Table2[[#This Row],[revenue]]-Table2[[#This Row],[budget]])/Table2[[#This Row],[budget]]</f>
        <v>13.372907481500935</v>
      </c>
      <c r="F481" t="s">
        <v>11</v>
      </c>
      <c r="G481" t="s">
        <v>12</v>
      </c>
      <c r="H481" t="s">
        <v>25</v>
      </c>
      <c r="I481">
        <v>0.75</v>
      </c>
      <c r="J481">
        <v>930401.42</v>
      </c>
      <c r="K481">
        <f>Table2[[#This Row],[revenue]]/Table2[[#This Row],[budget]]</f>
        <v>14.372907481500935</v>
      </c>
      <c r="L481" s="2">
        <f t="shared" si="21"/>
        <v>647330</v>
      </c>
      <c r="M481" s="2">
        <f>(Table2[[#This Row],[Adjusted revenue]]-Table2[[#This Row],[budget]])/Table2[[#This Row],[budget]]</f>
        <v>9</v>
      </c>
      <c r="N481" t="str">
        <f t="shared" si="22"/>
        <v>OK</v>
      </c>
      <c r="O481" s="2">
        <f t="shared" si="23"/>
        <v>1</v>
      </c>
    </row>
    <row r="482" spans="1:15" x14ac:dyDescent="0.3">
      <c r="A482" t="s">
        <v>500</v>
      </c>
      <c r="B482" s="1">
        <v>45007</v>
      </c>
      <c r="C482" s="1">
        <v>45460</v>
      </c>
      <c r="D482">
        <v>1635.98</v>
      </c>
      <c r="E482" s="2">
        <f>(Table2[[#This Row],[revenue]]-Table2[[#This Row],[budget]])/Table2[[#This Row],[budget]]</f>
        <v>75.728761965305196</v>
      </c>
      <c r="F482" t="s">
        <v>11</v>
      </c>
      <c r="G482" t="s">
        <v>12</v>
      </c>
      <c r="H482" t="s">
        <v>13</v>
      </c>
      <c r="I482">
        <v>0.9</v>
      </c>
      <c r="J482">
        <v>125526.72</v>
      </c>
      <c r="K482">
        <f>Table2[[#This Row],[revenue]]/Table2[[#This Row],[budget]]</f>
        <v>76.728761965305196</v>
      </c>
      <c r="L482" s="2">
        <f t="shared" si="21"/>
        <v>16359.8</v>
      </c>
      <c r="M482" s="2">
        <f>(Table2[[#This Row],[Adjusted revenue]]-Table2[[#This Row],[budget]])/Table2[[#This Row],[budget]]</f>
        <v>9</v>
      </c>
      <c r="N482" t="str">
        <f t="shared" si="22"/>
        <v>OK</v>
      </c>
      <c r="O482" s="2">
        <f t="shared" si="23"/>
        <v>1</v>
      </c>
    </row>
    <row r="483" spans="1:15" x14ac:dyDescent="0.3">
      <c r="A483" t="s">
        <v>501</v>
      </c>
      <c r="B483" s="1">
        <v>44912</v>
      </c>
      <c r="C483" s="1">
        <v>45337</v>
      </c>
      <c r="D483">
        <v>11395.3</v>
      </c>
      <c r="E483" s="2">
        <f>(Table2[[#This Row],[revenue]]-Table2[[#This Row],[budget]])/Table2[[#This Row],[budget]]</f>
        <v>64.098401095188379</v>
      </c>
      <c r="F483" t="s">
        <v>23</v>
      </c>
      <c r="G483" t="s">
        <v>12</v>
      </c>
      <c r="H483" t="s">
        <v>16</v>
      </c>
      <c r="I483">
        <v>0.88</v>
      </c>
      <c r="J483">
        <v>741815.81</v>
      </c>
      <c r="K483">
        <f>Table2[[#This Row],[revenue]]/Table2[[#This Row],[budget]]</f>
        <v>65.098401095188379</v>
      </c>
      <c r="L483" s="2">
        <f t="shared" si="21"/>
        <v>113953</v>
      </c>
      <c r="M483" s="2">
        <f>(Table2[[#This Row],[Adjusted revenue]]-Table2[[#This Row],[budget]])/Table2[[#This Row],[budget]]</f>
        <v>9</v>
      </c>
      <c r="N483" t="str">
        <f t="shared" si="22"/>
        <v>OK</v>
      </c>
      <c r="O483" s="2">
        <f t="shared" si="23"/>
        <v>1</v>
      </c>
    </row>
    <row r="484" spans="1:15" x14ac:dyDescent="0.3">
      <c r="A484" t="s">
        <v>502</v>
      </c>
      <c r="B484" s="1">
        <v>45116</v>
      </c>
      <c r="C484" s="1">
        <v>45190</v>
      </c>
      <c r="D484">
        <v>24959.24</v>
      </c>
      <c r="E484" s="2">
        <f>(Table2[[#This Row],[revenue]]-Table2[[#This Row],[budget]])/Table2[[#This Row],[budget]]</f>
        <v>15.331044134356654</v>
      </c>
      <c r="F484" t="s">
        <v>11</v>
      </c>
      <c r="G484" t="s">
        <v>15</v>
      </c>
      <c r="H484" t="s">
        <v>19</v>
      </c>
      <c r="I484">
        <v>0.73</v>
      </c>
      <c r="J484">
        <v>407610.45</v>
      </c>
      <c r="K484">
        <f>Table2[[#This Row],[revenue]]/Table2[[#This Row],[budget]]</f>
        <v>16.331044134356656</v>
      </c>
      <c r="L484" s="2">
        <f t="shared" si="21"/>
        <v>249592.40000000002</v>
      </c>
      <c r="M484" s="2">
        <f>(Table2[[#This Row],[Adjusted revenue]]-Table2[[#This Row],[budget]])/Table2[[#This Row],[budget]]</f>
        <v>9</v>
      </c>
      <c r="N484" t="str">
        <f t="shared" si="22"/>
        <v>OK</v>
      </c>
      <c r="O484" s="2">
        <f t="shared" si="23"/>
        <v>1</v>
      </c>
    </row>
    <row r="485" spans="1:15" x14ac:dyDescent="0.3">
      <c r="A485" t="s">
        <v>503</v>
      </c>
      <c r="B485" s="1">
        <v>45102</v>
      </c>
      <c r="C485" s="1">
        <v>45212</v>
      </c>
      <c r="D485">
        <v>59973.81</v>
      </c>
      <c r="E485" s="2">
        <f>(Table2[[#This Row],[revenue]]-Table2[[#This Row],[budget]])/Table2[[#This Row],[budget]]</f>
        <v>4.24894433086709</v>
      </c>
      <c r="F485" t="s">
        <v>23</v>
      </c>
      <c r="G485" t="s">
        <v>12</v>
      </c>
      <c r="H485" t="s">
        <v>19</v>
      </c>
      <c r="I485">
        <v>0.7</v>
      </c>
      <c r="J485">
        <v>314799.19</v>
      </c>
      <c r="K485">
        <f>Table2[[#This Row],[revenue]]/Table2[[#This Row],[budget]]</f>
        <v>5.24894433086709</v>
      </c>
      <c r="L485" s="2">
        <f t="shared" si="21"/>
        <v>314799.19</v>
      </c>
      <c r="M485" s="2">
        <f>(Table2[[#This Row],[Adjusted revenue]]-Table2[[#This Row],[budget]])/Table2[[#This Row],[budget]]</f>
        <v>4.24894433086709</v>
      </c>
      <c r="N485" t="str">
        <f t="shared" si="22"/>
        <v>OK</v>
      </c>
      <c r="O485" s="2">
        <f t="shared" si="23"/>
        <v>-2.2224613324417497E-4</v>
      </c>
    </row>
    <row r="486" spans="1:15" x14ac:dyDescent="0.3">
      <c r="A486" t="s">
        <v>504</v>
      </c>
      <c r="B486" s="1">
        <v>44807</v>
      </c>
      <c r="C486" s="1">
        <v>45453</v>
      </c>
      <c r="D486">
        <v>11703.28</v>
      </c>
      <c r="E486" s="2">
        <f>(Table2[[#This Row],[revenue]]-Table2[[#This Row],[budget]])/Table2[[#This Row],[budget]]</f>
        <v>19.203413060270282</v>
      </c>
      <c r="F486" t="s">
        <v>11</v>
      </c>
      <c r="G486" t="s">
        <v>12</v>
      </c>
      <c r="H486" t="s">
        <v>25</v>
      </c>
      <c r="I486">
        <v>0.46</v>
      </c>
      <c r="J486">
        <v>236446.2</v>
      </c>
      <c r="K486">
        <f>Table2[[#This Row],[revenue]]/Table2[[#This Row],[budget]]</f>
        <v>20.203413060270282</v>
      </c>
      <c r="L486" s="2">
        <f t="shared" si="21"/>
        <v>117032.8</v>
      </c>
      <c r="M486" s="2">
        <f>(Table2[[#This Row],[Adjusted revenue]]-Table2[[#This Row],[budget]])/Table2[[#This Row],[budget]]</f>
        <v>9</v>
      </c>
      <c r="N486" t="str">
        <f t="shared" si="22"/>
        <v>OK</v>
      </c>
      <c r="O486" s="2">
        <f t="shared" si="23"/>
        <v>1</v>
      </c>
    </row>
    <row r="487" spans="1:15" x14ac:dyDescent="0.3">
      <c r="A487" t="s">
        <v>505</v>
      </c>
      <c r="B487" s="1">
        <v>45050</v>
      </c>
      <c r="C487" s="1">
        <v>45361</v>
      </c>
      <c r="D487">
        <v>8250.93</v>
      </c>
      <c r="E487" s="2">
        <f>(Table2[[#This Row],[revenue]]-Table2[[#This Row],[budget]])/Table2[[#This Row],[budget]]</f>
        <v>71.207585084348054</v>
      </c>
      <c r="F487" t="s">
        <v>18</v>
      </c>
      <c r="G487" t="s">
        <v>12</v>
      </c>
      <c r="H487" t="s">
        <v>19</v>
      </c>
      <c r="I487">
        <v>0.32</v>
      </c>
      <c r="J487">
        <v>595779.73</v>
      </c>
      <c r="K487">
        <f>Table2[[#This Row],[revenue]]/Table2[[#This Row],[budget]]</f>
        <v>72.207585084348068</v>
      </c>
      <c r="L487" s="2">
        <f t="shared" si="21"/>
        <v>82509.3</v>
      </c>
      <c r="M487" s="2">
        <f>(Table2[[#This Row],[Adjusted revenue]]-Table2[[#This Row],[budget]])/Table2[[#This Row],[budget]]</f>
        <v>9</v>
      </c>
      <c r="N487" t="str">
        <f t="shared" si="22"/>
        <v>OK</v>
      </c>
      <c r="O487" s="2">
        <f t="shared" si="23"/>
        <v>1</v>
      </c>
    </row>
    <row r="488" spans="1:15" x14ac:dyDescent="0.3">
      <c r="A488" t="s">
        <v>506</v>
      </c>
      <c r="B488" s="1">
        <v>45053</v>
      </c>
      <c r="C488" s="1">
        <v>45198</v>
      </c>
      <c r="D488">
        <v>6304.42</v>
      </c>
      <c r="E488" s="2">
        <f>(Table2[[#This Row],[revenue]]-Table2[[#This Row],[budget]])/Table2[[#This Row],[budget]]</f>
        <v>127.05045031898254</v>
      </c>
      <c r="F488" t="s">
        <v>11</v>
      </c>
      <c r="G488" t="s">
        <v>15</v>
      </c>
      <c r="H488" t="s">
        <v>13</v>
      </c>
      <c r="I488">
        <v>0.5</v>
      </c>
      <c r="J488">
        <v>807283.82</v>
      </c>
      <c r="K488">
        <f>Table2[[#This Row],[revenue]]/Table2[[#This Row],[budget]]</f>
        <v>128.05045031898254</v>
      </c>
      <c r="L488" s="2">
        <f t="shared" si="21"/>
        <v>63044.2</v>
      </c>
      <c r="M488" s="2">
        <f>(Table2[[#This Row],[Adjusted revenue]]-Table2[[#This Row],[budget]])/Table2[[#This Row],[budget]]</f>
        <v>9</v>
      </c>
      <c r="N488" t="str">
        <f t="shared" si="22"/>
        <v>OK</v>
      </c>
      <c r="O488" s="2">
        <f t="shared" si="23"/>
        <v>1</v>
      </c>
    </row>
    <row r="489" spans="1:15" x14ac:dyDescent="0.3">
      <c r="A489" t="s">
        <v>507</v>
      </c>
      <c r="B489" s="1">
        <v>44865</v>
      </c>
      <c r="C489" s="1">
        <v>45471</v>
      </c>
      <c r="D489">
        <v>72368.61</v>
      </c>
      <c r="E489" s="2">
        <f>(Table2[[#This Row],[revenue]]-Table2[[#This Row],[budget]])/Table2[[#This Row],[budget]]</f>
        <v>4.3656994379192859</v>
      </c>
      <c r="F489" t="s">
        <v>18</v>
      </c>
      <c r="G489" t="s">
        <v>12</v>
      </c>
      <c r="H489" t="s">
        <v>25</v>
      </c>
      <c r="I489">
        <v>0.33</v>
      </c>
      <c r="J489">
        <v>388308.21</v>
      </c>
      <c r="K489">
        <f>Table2[[#This Row],[revenue]]/Table2[[#This Row],[budget]]</f>
        <v>5.3656994379192859</v>
      </c>
      <c r="L489" s="2">
        <f t="shared" si="21"/>
        <v>388308.21</v>
      </c>
      <c r="M489" s="2">
        <f>(Table2[[#This Row],[Adjusted revenue]]-Table2[[#This Row],[budget]])/Table2[[#This Row],[budget]]</f>
        <v>4.3656994379192859</v>
      </c>
      <c r="N489" t="str">
        <f t="shared" si="22"/>
        <v>OK</v>
      </c>
      <c r="O489" s="2">
        <f t="shared" si="23"/>
        <v>2.4357776404060116E-2</v>
      </c>
    </row>
    <row r="490" spans="1:15" x14ac:dyDescent="0.3">
      <c r="A490" t="s">
        <v>508</v>
      </c>
      <c r="B490" s="1">
        <v>45056</v>
      </c>
      <c r="C490" s="1">
        <v>45459</v>
      </c>
      <c r="D490">
        <v>37696.449999999997</v>
      </c>
      <c r="E490" s="2">
        <f>(Table2[[#This Row],[revenue]]-Table2[[#This Row],[budget]])/Table2[[#This Row],[budget]]</f>
        <v>16.668183078247424</v>
      </c>
      <c r="F490" t="s">
        <v>11</v>
      </c>
      <c r="G490" t="s">
        <v>15</v>
      </c>
      <c r="H490" t="s">
        <v>16</v>
      </c>
      <c r="I490">
        <v>0.28000000000000003</v>
      </c>
      <c r="J490">
        <v>666027.78</v>
      </c>
      <c r="K490">
        <f>Table2[[#This Row],[revenue]]/Table2[[#This Row],[budget]]</f>
        <v>17.668183078247424</v>
      </c>
      <c r="L490" s="2">
        <f t="shared" si="21"/>
        <v>376964.5</v>
      </c>
      <c r="M490" s="2">
        <f>(Table2[[#This Row],[Adjusted revenue]]-Table2[[#This Row],[budget]])/Table2[[#This Row],[budget]]</f>
        <v>9</v>
      </c>
      <c r="N490" t="str">
        <f t="shared" si="22"/>
        <v>OK</v>
      </c>
      <c r="O490" s="2">
        <f t="shared" si="23"/>
        <v>1</v>
      </c>
    </row>
    <row r="491" spans="1:15" x14ac:dyDescent="0.3">
      <c r="A491" t="s">
        <v>509</v>
      </c>
      <c r="B491" s="1">
        <v>44903</v>
      </c>
      <c r="C491" s="1">
        <v>45295</v>
      </c>
      <c r="D491">
        <v>6333.7</v>
      </c>
      <c r="E491" s="2">
        <f>(Table2[[#This Row],[revenue]]-Table2[[#This Row],[budget]])/Table2[[#This Row],[budget]]</f>
        <v>17.912155612043513</v>
      </c>
      <c r="F491" t="s">
        <v>21</v>
      </c>
      <c r="G491" t="s">
        <v>15</v>
      </c>
      <c r="H491" t="s">
        <v>13</v>
      </c>
      <c r="I491">
        <v>0.61</v>
      </c>
      <c r="J491">
        <v>119783.92</v>
      </c>
      <c r="K491">
        <f>Table2[[#This Row],[revenue]]/Table2[[#This Row],[budget]]</f>
        <v>18.912155612043513</v>
      </c>
      <c r="L491" s="2">
        <f t="shared" si="21"/>
        <v>63337</v>
      </c>
      <c r="M491" s="2">
        <f>(Table2[[#This Row],[Adjusted revenue]]-Table2[[#This Row],[budget]])/Table2[[#This Row],[budget]]</f>
        <v>9</v>
      </c>
      <c r="N491" t="str">
        <f t="shared" si="22"/>
        <v>OK</v>
      </c>
      <c r="O491" s="2">
        <f t="shared" si="23"/>
        <v>1</v>
      </c>
    </row>
    <row r="492" spans="1:15" x14ac:dyDescent="0.3">
      <c r="A492" t="s">
        <v>510</v>
      </c>
      <c r="B492" s="1">
        <v>45017</v>
      </c>
      <c r="C492" s="1">
        <v>45463</v>
      </c>
      <c r="D492">
        <v>41704.959999999999</v>
      </c>
      <c r="E492" s="2">
        <f>(Table2[[#This Row],[revenue]]-Table2[[#This Row],[budget]])/Table2[[#This Row],[budget]]</f>
        <v>21.302827529387393</v>
      </c>
      <c r="F492" t="s">
        <v>23</v>
      </c>
      <c r="G492" t="s">
        <v>12</v>
      </c>
      <c r="H492" t="s">
        <v>25</v>
      </c>
      <c r="I492">
        <v>0.85</v>
      </c>
      <c r="J492">
        <v>930138.53</v>
      </c>
      <c r="K492">
        <f>Table2[[#This Row],[revenue]]/Table2[[#This Row],[budget]]</f>
        <v>22.302827529387393</v>
      </c>
      <c r="L492" s="2">
        <f t="shared" si="21"/>
        <v>417049.59999999998</v>
      </c>
      <c r="M492" s="2">
        <f>(Table2[[#This Row],[Adjusted revenue]]-Table2[[#This Row],[budget]])/Table2[[#This Row],[budget]]</f>
        <v>9</v>
      </c>
      <c r="N492" t="str">
        <f t="shared" si="22"/>
        <v>OK</v>
      </c>
      <c r="O492" s="2">
        <f t="shared" si="23"/>
        <v>1</v>
      </c>
    </row>
    <row r="493" spans="1:15" x14ac:dyDescent="0.3">
      <c r="A493" t="s">
        <v>511</v>
      </c>
      <c r="B493" s="1">
        <v>44983</v>
      </c>
      <c r="C493" s="1">
        <v>45333</v>
      </c>
      <c r="D493">
        <v>72322.94</v>
      </c>
      <c r="E493" s="2">
        <f>(Table2[[#This Row],[revenue]]-Table2[[#This Row],[budget]])/Table2[[#This Row],[budget]]</f>
        <v>9.7327384644484862</v>
      </c>
      <c r="F493" t="s">
        <v>18</v>
      </c>
      <c r="G493" t="s">
        <v>15</v>
      </c>
      <c r="H493" t="s">
        <v>19</v>
      </c>
      <c r="I493">
        <v>0.74</v>
      </c>
      <c r="J493">
        <v>776223.2</v>
      </c>
      <c r="K493">
        <f>Table2[[#This Row],[revenue]]/Table2[[#This Row],[budget]]</f>
        <v>10.732738464448484</v>
      </c>
      <c r="L493" s="2">
        <f t="shared" si="21"/>
        <v>723229.4</v>
      </c>
      <c r="M493" s="2">
        <f>(Table2[[#This Row],[Adjusted revenue]]-Table2[[#This Row],[budget]])/Table2[[#This Row],[budget]]</f>
        <v>9</v>
      </c>
      <c r="N493" t="str">
        <f t="shared" si="22"/>
        <v>OK</v>
      </c>
      <c r="O493" s="2">
        <f t="shared" si="23"/>
        <v>1</v>
      </c>
    </row>
    <row r="494" spans="1:15" x14ac:dyDescent="0.3">
      <c r="A494" t="s">
        <v>512</v>
      </c>
      <c r="B494" s="1">
        <v>45087</v>
      </c>
      <c r="C494" s="1">
        <v>45393</v>
      </c>
      <c r="D494">
        <v>1873.52</v>
      </c>
      <c r="E494" s="2">
        <f>(Table2[[#This Row],[revenue]]-Table2[[#This Row],[budget]])/Table2[[#This Row],[budget]]</f>
        <v>527.27471817754815</v>
      </c>
      <c r="F494" t="s">
        <v>18</v>
      </c>
      <c r="G494" t="s">
        <v>15</v>
      </c>
      <c r="H494" t="s">
        <v>13</v>
      </c>
      <c r="I494">
        <v>0.54</v>
      </c>
      <c r="J494">
        <v>989733.25</v>
      </c>
      <c r="K494">
        <f>Table2[[#This Row],[revenue]]/Table2[[#This Row],[budget]]</f>
        <v>528.27471817754815</v>
      </c>
      <c r="L494" s="2">
        <f t="shared" si="21"/>
        <v>18735.2</v>
      </c>
      <c r="M494" s="2">
        <f>(Table2[[#This Row],[Adjusted revenue]]-Table2[[#This Row],[budget]])/Table2[[#This Row],[budget]]</f>
        <v>9</v>
      </c>
      <c r="N494" t="str">
        <f t="shared" si="22"/>
        <v>OK</v>
      </c>
      <c r="O494" s="2">
        <f t="shared" si="23"/>
        <v>1</v>
      </c>
    </row>
    <row r="495" spans="1:15" x14ac:dyDescent="0.3">
      <c r="A495" t="s">
        <v>513</v>
      </c>
      <c r="B495" s="1">
        <v>45048</v>
      </c>
      <c r="C495" s="1">
        <v>45426</v>
      </c>
      <c r="D495">
        <v>38080.5</v>
      </c>
      <c r="E495" s="2">
        <f>(Table2[[#This Row],[revenue]]-Table2[[#This Row],[budget]])/Table2[[#This Row],[budget]]</f>
        <v>13.929398248447367</v>
      </c>
      <c r="F495" t="s">
        <v>18</v>
      </c>
      <c r="G495" t="s">
        <v>15</v>
      </c>
      <c r="H495" t="s">
        <v>19</v>
      </c>
      <c r="I495">
        <v>0.78</v>
      </c>
      <c r="J495">
        <v>568518.94999999995</v>
      </c>
      <c r="K495">
        <f>Table2[[#This Row],[revenue]]/Table2[[#This Row],[budget]]</f>
        <v>14.929398248447367</v>
      </c>
      <c r="L495" s="2">
        <f t="shared" si="21"/>
        <v>380805</v>
      </c>
      <c r="M495" s="2">
        <f>(Table2[[#This Row],[Adjusted revenue]]-Table2[[#This Row],[budget]])/Table2[[#This Row],[budget]]</f>
        <v>9</v>
      </c>
      <c r="N495" t="str">
        <f t="shared" si="22"/>
        <v>OK</v>
      </c>
      <c r="O495" s="2">
        <f t="shared" si="23"/>
        <v>1</v>
      </c>
    </row>
    <row r="496" spans="1:15" x14ac:dyDescent="0.3">
      <c r="A496" t="s">
        <v>514</v>
      </c>
      <c r="B496" s="1">
        <v>45114</v>
      </c>
      <c r="C496" s="1">
        <v>45148</v>
      </c>
      <c r="D496">
        <v>2412.9299999999998</v>
      </c>
      <c r="E496" s="2">
        <f>(Table2[[#This Row],[revenue]]-Table2[[#This Row],[budget]])/Table2[[#This Row],[budget]]</f>
        <v>269.11965535676541</v>
      </c>
      <c r="F496" t="s">
        <v>23</v>
      </c>
      <c r="G496" t="s">
        <v>15</v>
      </c>
      <c r="H496" t="s">
        <v>19</v>
      </c>
      <c r="I496">
        <v>0.8</v>
      </c>
      <c r="J496">
        <v>651779.81999999995</v>
      </c>
      <c r="K496">
        <f>Table2[[#This Row],[revenue]]/Table2[[#This Row],[budget]]</f>
        <v>270.11965535676541</v>
      </c>
      <c r="L496" s="2">
        <f t="shared" si="21"/>
        <v>24129.3</v>
      </c>
      <c r="M496" s="2">
        <f>(Table2[[#This Row],[Adjusted revenue]]-Table2[[#This Row],[budget]])/Table2[[#This Row],[budget]]</f>
        <v>9</v>
      </c>
      <c r="N496" t="str">
        <f t="shared" si="22"/>
        <v>OK</v>
      </c>
      <c r="O496" s="2">
        <f t="shared" si="23"/>
        <v>1</v>
      </c>
    </row>
    <row r="497" spans="1:15" x14ac:dyDescent="0.3">
      <c r="A497" t="s">
        <v>515</v>
      </c>
      <c r="B497" s="1">
        <v>44995</v>
      </c>
      <c r="C497" s="1">
        <v>45264</v>
      </c>
      <c r="D497">
        <v>46645.57</v>
      </c>
      <c r="E497" s="2">
        <f>(Table2[[#This Row],[revenue]]-Table2[[#This Row],[budget]])/Table2[[#This Row],[budget]]</f>
        <v>0.45265241693905772</v>
      </c>
      <c r="F497" t="s">
        <v>21</v>
      </c>
      <c r="G497" t="s">
        <v>15</v>
      </c>
      <c r="H497" t="s">
        <v>25</v>
      </c>
      <c r="I497">
        <v>0.8</v>
      </c>
      <c r="J497">
        <v>67759.8</v>
      </c>
      <c r="K497">
        <f>Table2[[#This Row],[revenue]]/Table2[[#This Row],[budget]]</f>
        <v>1.4526524169390578</v>
      </c>
      <c r="L497" s="2">
        <f t="shared" si="21"/>
        <v>67759.8</v>
      </c>
      <c r="M497" s="2">
        <f>(Table2[[#This Row],[Adjusted revenue]]-Table2[[#This Row],[budget]])/Table2[[#This Row],[budget]]</f>
        <v>0.45265241693905772</v>
      </c>
      <c r="N497" t="str">
        <f t="shared" si="22"/>
        <v>Failed</v>
      </c>
      <c r="O497" s="2">
        <f t="shared" si="23"/>
        <v>-0.79944159643388257</v>
      </c>
    </row>
    <row r="498" spans="1:15" x14ac:dyDescent="0.3">
      <c r="A498" t="s">
        <v>516</v>
      </c>
      <c r="B498" s="1">
        <v>45083</v>
      </c>
      <c r="C498" s="1">
        <v>45309</v>
      </c>
      <c r="D498">
        <v>41799.29</v>
      </c>
      <c r="E498" s="2">
        <f>(Table2[[#This Row],[revenue]]-Table2[[#This Row],[budget]])/Table2[[#This Row],[budget]]</f>
        <v>21.104279043974191</v>
      </c>
      <c r="F498" t="s">
        <v>23</v>
      </c>
      <c r="G498" t="s">
        <v>12</v>
      </c>
      <c r="H498" t="s">
        <v>25</v>
      </c>
      <c r="I498">
        <v>0.54</v>
      </c>
      <c r="J498">
        <v>923943.17</v>
      </c>
      <c r="K498">
        <f>Table2[[#This Row],[revenue]]/Table2[[#This Row],[budget]]</f>
        <v>22.104279043974191</v>
      </c>
      <c r="L498" s="2">
        <f t="shared" si="21"/>
        <v>417992.9</v>
      </c>
      <c r="M498" s="2">
        <f>(Table2[[#This Row],[Adjusted revenue]]-Table2[[#This Row],[budget]])/Table2[[#This Row],[budget]]</f>
        <v>9</v>
      </c>
      <c r="N498" t="str">
        <f t="shared" si="22"/>
        <v>OK</v>
      </c>
      <c r="O498" s="2">
        <f t="shared" si="23"/>
        <v>1</v>
      </c>
    </row>
    <row r="499" spans="1:15" x14ac:dyDescent="0.3">
      <c r="A499" t="s">
        <v>517</v>
      </c>
      <c r="B499" s="1">
        <v>44788</v>
      </c>
      <c r="C499" s="1">
        <v>45195</v>
      </c>
      <c r="D499">
        <v>74447.600000000006</v>
      </c>
      <c r="E499" s="2">
        <f>(Table2[[#This Row],[revenue]]-Table2[[#This Row],[budget]])/Table2[[#This Row],[budget]]</f>
        <v>8.3222842643684949</v>
      </c>
      <c r="F499" t="s">
        <v>11</v>
      </c>
      <c r="G499" t="s">
        <v>15</v>
      </c>
      <c r="H499" t="s">
        <v>25</v>
      </c>
      <c r="I499">
        <v>0.18</v>
      </c>
      <c r="J499">
        <v>694021.69</v>
      </c>
      <c r="K499">
        <f>Table2[[#This Row],[revenue]]/Table2[[#This Row],[budget]]</f>
        <v>9.3222842643684931</v>
      </c>
      <c r="L499" s="2">
        <f t="shared" si="21"/>
        <v>694021.69</v>
      </c>
      <c r="M499" s="2">
        <f>(Table2[[#This Row],[Adjusted revenue]]-Table2[[#This Row],[budget]])/Table2[[#This Row],[budget]]</f>
        <v>8.3222842643684949</v>
      </c>
      <c r="N499" t="str">
        <f t="shared" si="22"/>
        <v>OK</v>
      </c>
      <c r="O499" s="2">
        <f t="shared" si="23"/>
        <v>0.85732300302494635</v>
      </c>
    </row>
    <row r="500" spans="1:15" x14ac:dyDescent="0.3">
      <c r="A500" t="s">
        <v>518</v>
      </c>
      <c r="B500" s="1">
        <v>45004</v>
      </c>
      <c r="C500" s="1">
        <v>45222</v>
      </c>
      <c r="D500">
        <v>98135.86</v>
      </c>
      <c r="E500" s="2">
        <f>(Table2[[#This Row],[revenue]]-Table2[[#This Row],[budget]])/Table2[[#This Row],[budget]]</f>
        <v>1.4528785909656265</v>
      </c>
      <c r="F500" t="s">
        <v>23</v>
      </c>
      <c r="G500" t="s">
        <v>15</v>
      </c>
      <c r="H500" t="s">
        <v>16</v>
      </c>
      <c r="I500">
        <v>0.76</v>
      </c>
      <c r="J500">
        <v>240715.35</v>
      </c>
      <c r="K500">
        <f>Table2[[#This Row],[revenue]]/Table2[[#This Row],[budget]]</f>
        <v>2.4528785909656268</v>
      </c>
      <c r="L500" s="2">
        <f t="shared" si="21"/>
        <v>240715.35</v>
      </c>
      <c r="M500" s="2">
        <f>(Table2[[#This Row],[Adjusted revenue]]-Table2[[#This Row],[budget]])/Table2[[#This Row],[budget]]</f>
        <v>1.4528785909656265</v>
      </c>
      <c r="N500" t="str">
        <f t="shared" si="22"/>
        <v>OK</v>
      </c>
      <c r="O500" s="2">
        <f t="shared" si="23"/>
        <v>-0.5888676650598681</v>
      </c>
    </row>
    <row r="501" spans="1:15" x14ac:dyDescent="0.3">
      <c r="A501" t="s">
        <v>519</v>
      </c>
      <c r="B501" s="1">
        <v>44789</v>
      </c>
      <c r="C501" s="1">
        <v>45219</v>
      </c>
      <c r="D501">
        <v>10464.290000000001</v>
      </c>
      <c r="E501" s="2">
        <f>(Table2[[#This Row],[revenue]]-Table2[[#This Row],[budget]])/Table2[[#This Row],[budget]]</f>
        <v>9.677876855477054</v>
      </c>
      <c r="F501" t="s">
        <v>18</v>
      </c>
      <c r="G501" t="s">
        <v>12</v>
      </c>
      <c r="H501" t="s">
        <v>25</v>
      </c>
      <c r="I501">
        <v>0.89</v>
      </c>
      <c r="J501">
        <v>111736.4</v>
      </c>
      <c r="K501">
        <f>Table2[[#This Row],[revenue]]/Table2[[#This Row],[budget]]</f>
        <v>10.677876855477054</v>
      </c>
      <c r="L501" s="2">
        <f t="shared" si="21"/>
        <v>104642.90000000001</v>
      </c>
      <c r="M501" s="2">
        <f>(Table2[[#This Row],[Adjusted revenue]]-Table2[[#This Row],[budget]])/Table2[[#This Row],[budget]]</f>
        <v>9</v>
      </c>
      <c r="N501" t="str">
        <f t="shared" si="22"/>
        <v>OK</v>
      </c>
      <c r="O501" s="2">
        <f t="shared" si="23"/>
        <v>1</v>
      </c>
    </row>
    <row r="502" spans="1:15" x14ac:dyDescent="0.3">
      <c r="A502" t="s">
        <v>520</v>
      </c>
      <c r="B502" s="1">
        <v>44881</v>
      </c>
      <c r="C502" s="1">
        <v>45233</v>
      </c>
      <c r="D502">
        <v>78944.710000000006</v>
      </c>
      <c r="E502" s="2">
        <f>(Table2[[#This Row],[revenue]]-Table2[[#This Row],[budget]])/Table2[[#This Row],[budget]]</f>
        <v>6.5611389287515269</v>
      </c>
      <c r="F502" t="s">
        <v>11</v>
      </c>
      <c r="G502" t="s">
        <v>15</v>
      </c>
      <c r="H502" t="s">
        <v>25</v>
      </c>
      <c r="I502">
        <v>0.24</v>
      </c>
      <c r="J502">
        <v>596911.92000000004</v>
      </c>
      <c r="K502">
        <f>Table2[[#This Row],[revenue]]/Table2[[#This Row],[budget]]</f>
        <v>7.5611389287515278</v>
      </c>
      <c r="L502" s="2">
        <f t="shared" si="21"/>
        <v>596911.92000000004</v>
      </c>
      <c r="M502" s="2">
        <f>(Table2[[#This Row],[Adjusted revenue]]-Table2[[#This Row],[budget]])/Table2[[#This Row],[budget]]</f>
        <v>6.5611389287515269</v>
      </c>
      <c r="N502" t="str">
        <f t="shared" si="22"/>
        <v>OK</v>
      </c>
      <c r="O502" s="2">
        <f t="shared" si="23"/>
        <v>0.48655556394768995</v>
      </c>
    </row>
    <row r="503" spans="1:15" x14ac:dyDescent="0.3">
      <c r="A503" t="s">
        <v>521</v>
      </c>
      <c r="B503" s="1">
        <v>44907</v>
      </c>
      <c r="C503" s="1">
        <v>45198</v>
      </c>
      <c r="D503">
        <v>30937.43</v>
      </c>
      <c r="E503" s="2">
        <f>(Table2[[#This Row],[revenue]]-Table2[[#This Row],[budget]])/Table2[[#This Row],[budget]]</f>
        <v>28.869368593318836</v>
      </c>
      <c r="F503" t="s">
        <v>11</v>
      </c>
      <c r="G503" t="s">
        <v>15</v>
      </c>
      <c r="H503" t="s">
        <v>25</v>
      </c>
      <c r="I503">
        <v>0.64</v>
      </c>
      <c r="J503">
        <v>924081.5</v>
      </c>
      <c r="K503">
        <f>Table2[[#This Row],[revenue]]/Table2[[#This Row],[budget]]</f>
        <v>29.869368593318836</v>
      </c>
      <c r="L503" s="2">
        <f t="shared" si="21"/>
        <v>309374.3</v>
      </c>
      <c r="M503" s="2">
        <f>(Table2[[#This Row],[Adjusted revenue]]-Table2[[#This Row],[budget]])/Table2[[#This Row],[budget]]</f>
        <v>9</v>
      </c>
      <c r="N503" t="str">
        <f t="shared" si="22"/>
        <v>OK</v>
      </c>
      <c r="O503" s="2">
        <f t="shared" si="23"/>
        <v>1</v>
      </c>
    </row>
    <row r="504" spans="1:15" x14ac:dyDescent="0.3">
      <c r="A504" t="s">
        <v>522</v>
      </c>
      <c r="B504" s="1">
        <v>45129</v>
      </c>
      <c r="C504" s="1">
        <v>45359</v>
      </c>
      <c r="D504">
        <v>94173.28</v>
      </c>
      <c r="E504" s="2">
        <f>(Table2[[#This Row],[revenue]]-Table2[[#This Row],[budget]])/Table2[[#This Row],[budget]]</f>
        <v>7.4313461313017877</v>
      </c>
      <c r="F504" t="s">
        <v>21</v>
      </c>
      <c r="G504" t="s">
        <v>15</v>
      </c>
      <c r="H504" t="s">
        <v>25</v>
      </c>
      <c r="I504">
        <v>0.16</v>
      </c>
      <c r="J504">
        <v>794007.52</v>
      </c>
      <c r="K504">
        <f>Table2[[#This Row],[revenue]]/Table2[[#This Row],[budget]]</f>
        <v>8.4313461313017886</v>
      </c>
      <c r="L504" s="2">
        <f t="shared" si="21"/>
        <v>794007.52</v>
      </c>
      <c r="M504" s="2">
        <f>(Table2[[#This Row],[Adjusted revenue]]-Table2[[#This Row],[budget]])/Table2[[#This Row],[budget]]</f>
        <v>7.4313461313017877</v>
      </c>
      <c r="N504" t="str">
        <f t="shared" si="22"/>
        <v>OK</v>
      </c>
      <c r="O504" s="2">
        <f t="shared" si="23"/>
        <v>0.66975708027406067</v>
      </c>
    </row>
    <row r="505" spans="1:15" x14ac:dyDescent="0.3">
      <c r="A505" t="s">
        <v>523</v>
      </c>
      <c r="B505" s="1">
        <v>44827</v>
      </c>
      <c r="C505" s="1">
        <v>45477</v>
      </c>
      <c r="D505">
        <v>61866.52</v>
      </c>
      <c r="E505" s="2">
        <f>(Table2[[#This Row],[revenue]]-Table2[[#This Row],[budget]])/Table2[[#This Row],[budget]]</f>
        <v>9.1563349611389171</v>
      </c>
      <c r="F505" t="s">
        <v>18</v>
      </c>
      <c r="G505" t="s">
        <v>15</v>
      </c>
      <c r="H505" t="s">
        <v>13</v>
      </c>
      <c r="I505">
        <v>0.18</v>
      </c>
      <c r="J505">
        <v>628337.1</v>
      </c>
      <c r="K505">
        <f>Table2[[#This Row],[revenue]]/Table2[[#This Row],[budget]]</f>
        <v>10.156334961138917</v>
      </c>
      <c r="L505" s="2">
        <f t="shared" si="21"/>
        <v>618665.19999999995</v>
      </c>
      <c r="M505" s="2">
        <f>(Table2[[#This Row],[Adjusted revenue]]-Table2[[#This Row],[budget]])/Table2[[#This Row],[budget]]</f>
        <v>9</v>
      </c>
      <c r="N505" t="str">
        <f t="shared" si="22"/>
        <v>OK</v>
      </c>
      <c r="O505" s="2">
        <f t="shared" si="23"/>
        <v>1</v>
      </c>
    </row>
    <row r="506" spans="1:15" x14ac:dyDescent="0.3">
      <c r="A506" t="s">
        <v>524</v>
      </c>
      <c r="B506" s="1">
        <v>45109</v>
      </c>
      <c r="C506" s="1">
        <v>45467</v>
      </c>
      <c r="D506">
        <v>58920.71</v>
      </c>
      <c r="E506" s="2">
        <f>(Table2[[#This Row],[revenue]]-Table2[[#This Row],[budget]])/Table2[[#This Row],[budget]]</f>
        <v>6.0676953824894504</v>
      </c>
      <c r="F506" t="s">
        <v>23</v>
      </c>
      <c r="G506" t="s">
        <v>12</v>
      </c>
      <c r="H506" t="s">
        <v>13</v>
      </c>
      <c r="I506">
        <v>0.99</v>
      </c>
      <c r="J506">
        <v>416433.63</v>
      </c>
      <c r="K506">
        <f>Table2[[#This Row],[revenue]]/Table2[[#This Row],[budget]]</f>
        <v>7.0676953824894504</v>
      </c>
      <c r="L506" s="2">
        <f t="shared" si="21"/>
        <v>416433.63</v>
      </c>
      <c r="M506" s="2">
        <f>(Table2[[#This Row],[Adjusted revenue]]-Table2[[#This Row],[budget]])/Table2[[#This Row],[budget]]</f>
        <v>6.0676953824894504</v>
      </c>
      <c r="N506" t="str">
        <f t="shared" si="22"/>
        <v>OK</v>
      </c>
      <c r="O506" s="2">
        <f t="shared" si="23"/>
        <v>0.38267271210304221</v>
      </c>
    </row>
    <row r="507" spans="1:15" x14ac:dyDescent="0.3">
      <c r="A507" t="s">
        <v>525</v>
      </c>
      <c r="B507" s="1">
        <v>44915</v>
      </c>
      <c r="C507" s="1">
        <v>45330</v>
      </c>
      <c r="D507">
        <v>70889.3</v>
      </c>
      <c r="E507" s="2">
        <f>(Table2[[#This Row],[revenue]]-Table2[[#This Row],[budget]])/Table2[[#This Row],[budget]]</f>
        <v>2.6723694549106849</v>
      </c>
      <c r="F507" t="s">
        <v>21</v>
      </c>
      <c r="G507" t="s">
        <v>15</v>
      </c>
      <c r="H507" t="s">
        <v>25</v>
      </c>
      <c r="I507">
        <v>0.1</v>
      </c>
      <c r="J507">
        <v>260331.7</v>
      </c>
      <c r="K507">
        <f>Table2[[#This Row],[revenue]]/Table2[[#This Row],[budget]]</f>
        <v>3.6723694549106849</v>
      </c>
      <c r="L507" s="2">
        <f t="shared" si="21"/>
        <v>260331.7</v>
      </c>
      <c r="M507" s="2">
        <f>(Table2[[#This Row],[Adjusted revenue]]-Table2[[#This Row],[budget]])/Table2[[#This Row],[budget]]</f>
        <v>2.6723694549106849</v>
      </c>
      <c r="N507" t="str">
        <f t="shared" si="22"/>
        <v>OK</v>
      </c>
      <c r="O507" s="2">
        <f t="shared" si="23"/>
        <v>-0.33213274633459267</v>
      </c>
    </row>
    <row r="508" spans="1:15" x14ac:dyDescent="0.3">
      <c r="A508" t="s">
        <v>526</v>
      </c>
      <c r="B508" s="1">
        <v>45117</v>
      </c>
      <c r="C508" s="1">
        <v>45141</v>
      </c>
      <c r="D508">
        <v>38390.230000000003</v>
      </c>
      <c r="E508" s="2">
        <f>(Table2[[#This Row],[revenue]]-Table2[[#This Row],[budget]])/Table2[[#This Row],[budget]]</f>
        <v>5.8101397152348389</v>
      </c>
      <c r="F508" t="s">
        <v>18</v>
      </c>
      <c r="G508" t="s">
        <v>12</v>
      </c>
      <c r="H508" t="s">
        <v>19</v>
      </c>
      <c r="I508">
        <v>0.56999999999999995</v>
      </c>
      <c r="J508">
        <v>261442.83</v>
      </c>
      <c r="K508">
        <f>Table2[[#This Row],[revenue]]/Table2[[#This Row],[budget]]</f>
        <v>6.8101397152348389</v>
      </c>
      <c r="L508" s="2">
        <f t="shared" si="21"/>
        <v>261442.83</v>
      </c>
      <c r="M508" s="2">
        <f>(Table2[[#This Row],[Adjusted revenue]]-Table2[[#This Row],[budget]])/Table2[[#This Row],[budget]]</f>
        <v>5.8101397152348389</v>
      </c>
      <c r="N508" t="str">
        <f t="shared" si="22"/>
        <v>OK</v>
      </c>
      <c r="O508" s="2">
        <f t="shared" si="23"/>
        <v>0.32845046636522923</v>
      </c>
    </row>
    <row r="509" spans="1:15" x14ac:dyDescent="0.3">
      <c r="A509" t="s">
        <v>527</v>
      </c>
      <c r="B509" s="1">
        <v>44933</v>
      </c>
      <c r="C509" s="1">
        <v>45373</v>
      </c>
      <c r="D509">
        <v>32272.85</v>
      </c>
      <c r="E509" s="2">
        <f>(Table2[[#This Row],[revenue]]-Table2[[#This Row],[budget]])/Table2[[#This Row],[budget]]</f>
        <v>16.192741267040255</v>
      </c>
      <c r="F509" t="s">
        <v>11</v>
      </c>
      <c r="G509" t="s">
        <v>12</v>
      </c>
      <c r="H509" t="s">
        <v>13</v>
      </c>
      <c r="I509">
        <v>0.4</v>
      </c>
      <c r="J509">
        <v>554858.76</v>
      </c>
      <c r="K509">
        <f>Table2[[#This Row],[revenue]]/Table2[[#This Row],[budget]]</f>
        <v>17.192741267040255</v>
      </c>
      <c r="L509" s="2">
        <f t="shared" si="21"/>
        <v>322728.5</v>
      </c>
      <c r="M509" s="2">
        <f>(Table2[[#This Row],[Adjusted revenue]]-Table2[[#This Row],[budget]])/Table2[[#This Row],[budget]]</f>
        <v>9.0000000000000018</v>
      </c>
      <c r="N509" t="str">
        <f t="shared" si="22"/>
        <v>OK</v>
      </c>
      <c r="O509" s="2">
        <f t="shared" si="23"/>
        <v>1.0000000000000004</v>
      </c>
    </row>
    <row r="510" spans="1:15" x14ac:dyDescent="0.3">
      <c r="A510" t="s">
        <v>528</v>
      </c>
      <c r="B510" s="1">
        <v>44824</v>
      </c>
      <c r="C510" s="1">
        <v>45387</v>
      </c>
      <c r="D510">
        <v>21179.55</v>
      </c>
      <c r="E510" s="2">
        <f>(Table2[[#This Row],[revenue]]-Table2[[#This Row],[budget]])/Table2[[#This Row],[budget]]</f>
        <v>11.548750091479754</v>
      </c>
      <c r="F510" t="s">
        <v>23</v>
      </c>
      <c r="G510" t="s">
        <v>15</v>
      </c>
      <c r="H510" t="s">
        <v>19</v>
      </c>
      <c r="I510">
        <v>0.76</v>
      </c>
      <c r="J510">
        <v>265776.88</v>
      </c>
      <c r="K510">
        <f>Table2[[#This Row],[revenue]]/Table2[[#This Row],[budget]]</f>
        <v>12.548750091479754</v>
      </c>
      <c r="L510" s="2">
        <f t="shared" si="21"/>
        <v>211795.5</v>
      </c>
      <c r="M510" s="2">
        <f>(Table2[[#This Row],[Adjusted revenue]]-Table2[[#This Row],[budget]])/Table2[[#This Row],[budget]]</f>
        <v>9</v>
      </c>
      <c r="N510" t="str">
        <f t="shared" si="22"/>
        <v>OK</v>
      </c>
      <c r="O510" s="2">
        <f t="shared" si="23"/>
        <v>1</v>
      </c>
    </row>
    <row r="511" spans="1:15" x14ac:dyDescent="0.3">
      <c r="A511" t="s">
        <v>529</v>
      </c>
      <c r="B511" s="1">
        <v>44818</v>
      </c>
      <c r="C511" s="1">
        <v>45418</v>
      </c>
      <c r="D511">
        <v>71463.45</v>
      </c>
      <c r="E511" s="2">
        <f>(Table2[[#This Row],[revenue]]-Table2[[#This Row],[budget]])/Table2[[#This Row],[budget]]</f>
        <v>1.0975132043023392</v>
      </c>
      <c r="F511" t="s">
        <v>18</v>
      </c>
      <c r="G511" t="s">
        <v>12</v>
      </c>
      <c r="H511" t="s">
        <v>13</v>
      </c>
      <c r="I511">
        <v>0.53</v>
      </c>
      <c r="J511">
        <v>149895.53</v>
      </c>
      <c r="K511">
        <f>Table2[[#This Row],[revenue]]/Table2[[#This Row],[budget]]</f>
        <v>2.0975132043023392</v>
      </c>
      <c r="L511" s="2">
        <f t="shared" si="21"/>
        <v>149895.53</v>
      </c>
      <c r="M511" s="2">
        <f>(Table2[[#This Row],[Adjusted revenue]]-Table2[[#This Row],[budget]])/Table2[[#This Row],[budget]]</f>
        <v>1.0975132043023392</v>
      </c>
      <c r="N511" t="str">
        <f t="shared" si="22"/>
        <v>OK</v>
      </c>
      <c r="O511" s="2">
        <f t="shared" si="23"/>
        <v>-0.66368143067319174</v>
      </c>
    </row>
    <row r="512" spans="1:15" x14ac:dyDescent="0.3">
      <c r="A512" t="s">
        <v>530</v>
      </c>
      <c r="B512" s="1">
        <v>45097</v>
      </c>
      <c r="C512" s="1">
        <v>45421</v>
      </c>
      <c r="D512">
        <v>63986.6</v>
      </c>
      <c r="E512" s="2">
        <f>(Table2[[#This Row],[revenue]]-Table2[[#This Row],[budget]])/Table2[[#This Row],[budget]]</f>
        <v>7.6141957847424306</v>
      </c>
      <c r="F512" t="s">
        <v>23</v>
      </c>
      <c r="G512" t="s">
        <v>15</v>
      </c>
      <c r="H512" t="s">
        <v>19</v>
      </c>
      <c r="I512">
        <v>0.94</v>
      </c>
      <c r="J512">
        <v>551193.1</v>
      </c>
      <c r="K512">
        <f>Table2[[#This Row],[revenue]]/Table2[[#This Row],[budget]]</f>
        <v>8.6141957847424298</v>
      </c>
      <c r="L512" s="2">
        <f t="shared" si="21"/>
        <v>551193.1</v>
      </c>
      <c r="M512" s="2">
        <f>(Table2[[#This Row],[Adjusted revenue]]-Table2[[#This Row],[budget]])/Table2[[#This Row],[budget]]</f>
        <v>7.6141957847424306</v>
      </c>
      <c r="N512" t="str">
        <f t="shared" si="22"/>
        <v>OK</v>
      </c>
      <c r="O512" s="2">
        <f t="shared" si="23"/>
        <v>0.70825174415630143</v>
      </c>
    </row>
    <row r="513" spans="1:15" x14ac:dyDescent="0.3">
      <c r="A513" t="s">
        <v>531</v>
      </c>
      <c r="B513" s="1">
        <v>45005</v>
      </c>
      <c r="C513" s="1">
        <v>45495</v>
      </c>
      <c r="D513">
        <v>23859.94</v>
      </c>
      <c r="E513" s="2">
        <f>(Table2[[#This Row],[revenue]]-Table2[[#This Row],[budget]])/Table2[[#This Row],[budget]]</f>
        <v>14.729968725822445</v>
      </c>
      <c r="F513" t="s">
        <v>23</v>
      </c>
      <c r="G513" t="s">
        <v>15</v>
      </c>
      <c r="H513" t="s">
        <v>13</v>
      </c>
      <c r="I513">
        <v>0.48</v>
      </c>
      <c r="J513">
        <v>375316.11</v>
      </c>
      <c r="K513">
        <f>Table2[[#This Row],[revenue]]/Table2[[#This Row],[budget]]</f>
        <v>15.729968725822445</v>
      </c>
      <c r="L513" s="2">
        <f t="shared" si="21"/>
        <v>238599.4</v>
      </c>
      <c r="M513" s="2">
        <f>(Table2[[#This Row],[Adjusted revenue]]-Table2[[#This Row],[budget]])/Table2[[#This Row],[budget]]</f>
        <v>9</v>
      </c>
      <c r="N513" t="str">
        <f t="shared" si="22"/>
        <v>OK</v>
      </c>
      <c r="O513" s="2">
        <f t="shared" si="23"/>
        <v>1</v>
      </c>
    </row>
    <row r="514" spans="1:15" x14ac:dyDescent="0.3">
      <c r="A514" t="s">
        <v>532</v>
      </c>
      <c r="B514" s="1">
        <v>45076</v>
      </c>
      <c r="C514" s="1">
        <v>45279</v>
      </c>
      <c r="D514">
        <v>29099.8</v>
      </c>
      <c r="E514" s="2">
        <f>(Table2[[#This Row],[revenue]]-Table2[[#This Row],[budget]])/Table2[[#This Row],[budget]]</f>
        <v>2.0656011381521524</v>
      </c>
      <c r="F514" t="s">
        <v>18</v>
      </c>
      <c r="G514" t="s">
        <v>12</v>
      </c>
      <c r="H514" t="s">
        <v>13</v>
      </c>
      <c r="I514">
        <v>0.89</v>
      </c>
      <c r="J514">
        <v>89208.38</v>
      </c>
      <c r="K514">
        <f>Table2[[#This Row],[revenue]]/Table2[[#This Row],[budget]]</f>
        <v>3.0656011381521524</v>
      </c>
      <c r="L514" s="2">
        <f t="shared" ref="L514:L577" si="24">MIN(MAX(J514, D514*0.5), D514*10)</f>
        <v>89208.38</v>
      </c>
      <c r="M514" s="2">
        <f>(Table2[[#This Row],[Adjusted revenue]]-Table2[[#This Row],[budget]])/Table2[[#This Row],[budget]]</f>
        <v>2.0656011381521524</v>
      </c>
      <c r="N514" t="str">
        <f t="shared" ref="N514:N577" si="25">IF(M514&lt;0.5,"Failed",IF(M514&gt;10,"Suspicious","OK"))</f>
        <v>OK</v>
      </c>
      <c r="O514" s="2">
        <f t="shared" ref="O514:O577" si="26">((M514 - (-0.5)) / (9 - (-0.5))) * (1 - (-1)) + (-1)</f>
        <v>-0.45987344459954682</v>
      </c>
    </row>
    <row r="515" spans="1:15" x14ac:dyDescent="0.3">
      <c r="A515" t="s">
        <v>533</v>
      </c>
      <c r="B515" s="1">
        <v>45028</v>
      </c>
      <c r="C515" s="1">
        <v>45310</v>
      </c>
      <c r="D515">
        <v>92494.15</v>
      </c>
      <c r="E515" s="2">
        <f>(Table2[[#This Row],[revenue]]-Table2[[#This Row],[budget]])/Table2[[#This Row],[budget]]</f>
        <v>7.3525661893211627</v>
      </c>
      <c r="F515" t="s">
        <v>18</v>
      </c>
      <c r="G515" t="s">
        <v>15</v>
      </c>
      <c r="H515" t="s">
        <v>13</v>
      </c>
      <c r="I515">
        <v>0.23</v>
      </c>
      <c r="J515">
        <v>772563.51</v>
      </c>
      <c r="K515">
        <f>Table2[[#This Row],[revenue]]/Table2[[#This Row],[budget]]</f>
        <v>8.3525661893211627</v>
      </c>
      <c r="L515" s="2">
        <f t="shared" si="24"/>
        <v>772563.51</v>
      </c>
      <c r="M515" s="2">
        <f>(Table2[[#This Row],[Adjusted revenue]]-Table2[[#This Row],[budget]])/Table2[[#This Row],[budget]]</f>
        <v>7.3525661893211627</v>
      </c>
      <c r="N515" t="str">
        <f t="shared" si="25"/>
        <v>OK</v>
      </c>
      <c r="O515" s="2">
        <f t="shared" si="26"/>
        <v>0.65317182933077111</v>
      </c>
    </row>
    <row r="516" spans="1:15" x14ac:dyDescent="0.3">
      <c r="A516" t="s">
        <v>534</v>
      </c>
      <c r="B516" s="1">
        <v>44982</v>
      </c>
      <c r="C516" s="1">
        <v>45363</v>
      </c>
      <c r="D516">
        <v>72412.240000000005</v>
      </c>
      <c r="E516" s="2">
        <f>(Table2[[#This Row],[revenue]]-Table2[[#This Row],[budget]])/Table2[[#This Row],[budget]]</f>
        <v>2.0604439249497042</v>
      </c>
      <c r="F516" t="s">
        <v>21</v>
      </c>
      <c r="G516" t="s">
        <v>15</v>
      </c>
      <c r="H516" t="s">
        <v>13</v>
      </c>
      <c r="I516">
        <v>0.12</v>
      </c>
      <c r="J516">
        <v>221613.6</v>
      </c>
      <c r="K516">
        <f>Table2[[#This Row],[revenue]]/Table2[[#This Row],[budget]]</f>
        <v>3.0604439249497046</v>
      </c>
      <c r="L516" s="2">
        <f t="shared" si="24"/>
        <v>221613.6</v>
      </c>
      <c r="M516" s="2">
        <f>(Table2[[#This Row],[Adjusted revenue]]-Table2[[#This Row],[budget]])/Table2[[#This Row],[budget]]</f>
        <v>2.0604439249497042</v>
      </c>
      <c r="N516" t="str">
        <f t="shared" si="25"/>
        <v>OK</v>
      </c>
      <c r="O516" s="2">
        <f t="shared" si="26"/>
        <v>-0.46095917369479911</v>
      </c>
    </row>
    <row r="517" spans="1:15" x14ac:dyDescent="0.3">
      <c r="A517" t="s">
        <v>535</v>
      </c>
      <c r="B517" s="1">
        <v>44815</v>
      </c>
      <c r="C517" s="1">
        <v>45242</v>
      </c>
      <c r="D517">
        <v>84482.9</v>
      </c>
      <c r="E517" s="2">
        <f>(Table2[[#This Row],[revenue]]-Table2[[#This Row],[budget]])/Table2[[#This Row],[budget]]</f>
        <v>2.1784975421061543</v>
      </c>
      <c r="F517" t="s">
        <v>21</v>
      </c>
      <c r="G517" t="s">
        <v>12</v>
      </c>
      <c r="H517" t="s">
        <v>16</v>
      </c>
      <c r="I517">
        <v>0.7</v>
      </c>
      <c r="J517">
        <v>268528.69</v>
      </c>
      <c r="K517">
        <f>Table2[[#This Row],[revenue]]/Table2[[#This Row],[budget]]</f>
        <v>3.1784975421061543</v>
      </c>
      <c r="L517" s="2">
        <f t="shared" si="24"/>
        <v>268528.69</v>
      </c>
      <c r="M517" s="2">
        <f>(Table2[[#This Row],[Adjusted revenue]]-Table2[[#This Row],[budget]])/Table2[[#This Row],[budget]]</f>
        <v>2.1784975421061543</v>
      </c>
      <c r="N517" t="str">
        <f t="shared" si="25"/>
        <v>OK</v>
      </c>
      <c r="O517" s="2">
        <f t="shared" si="26"/>
        <v>-0.43610578060923066</v>
      </c>
    </row>
    <row r="518" spans="1:15" x14ac:dyDescent="0.3">
      <c r="A518" t="s">
        <v>536</v>
      </c>
      <c r="B518" s="1">
        <v>45136</v>
      </c>
      <c r="C518" s="1">
        <v>45281</v>
      </c>
      <c r="D518">
        <v>46349.760000000002</v>
      </c>
      <c r="E518" s="2">
        <f>(Table2[[#This Row],[revenue]]-Table2[[#This Row],[budget]])/Table2[[#This Row],[budget]]</f>
        <v>7.6380382552142656</v>
      </c>
      <c r="F518" t="s">
        <v>11</v>
      </c>
      <c r="G518" t="s">
        <v>15</v>
      </c>
      <c r="H518" t="s">
        <v>25</v>
      </c>
      <c r="I518">
        <v>0.98</v>
      </c>
      <c r="J518">
        <v>400371</v>
      </c>
      <c r="K518">
        <f>Table2[[#This Row],[revenue]]/Table2[[#This Row],[budget]]</f>
        <v>8.6380382552142656</v>
      </c>
      <c r="L518" s="2">
        <f t="shared" si="24"/>
        <v>400371</v>
      </c>
      <c r="M518" s="2">
        <f>(Table2[[#This Row],[Adjusted revenue]]-Table2[[#This Row],[budget]])/Table2[[#This Row],[budget]]</f>
        <v>7.6380382552142656</v>
      </c>
      <c r="N518" t="str">
        <f t="shared" si="25"/>
        <v>OK</v>
      </c>
      <c r="O518" s="2">
        <f t="shared" si="26"/>
        <v>0.71327121162405582</v>
      </c>
    </row>
    <row r="519" spans="1:15" x14ac:dyDescent="0.3">
      <c r="A519" t="s">
        <v>537</v>
      </c>
      <c r="B519" s="1">
        <v>45045</v>
      </c>
      <c r="C519" s="1">
        <v>45427</v>
      </c>
      <c r="D519">
        <v>5574.74</v>
      </c>
      <c r="E519" s="2">
        <f>(Table2[[#This Row],[revenue]]-Table2[[#This Row],[budget]])/Table2[[#This Row],[budget]]</f>
        <v>152.19645041741859</v>
      </c>
      <c r="F519" t="s">
        <v>21</v>
      </c>
      <c r="G519" t="s">
        <v>12</v>
      </c>
      <c r="H519" t="s">
        <v>19</v>
      </c>
      <c r="I519">
        <v>0.2</v>
      </c>
      <c r="J519">
        <v>854030.38</v>
      </c>
      <c r="K519">
        <f>Table2[[#This Row],[revenue]]/Table2[[#This Row],[budget]]</f>
        <v>153.19645041741859</v>
      </c>
      <c r="L519" s="2">
        <f t="shared" si="24"/>
        <v>55747.399999999994</v>
      </c>
      <c r="M519" s="2">
        <f>(Table2[[#This Row],[Adjusted revenue]]-Table2[[#This Row],[budget]])/Table2[[#This Row],[budget]]</f>
        <v>9</v>
      </c>
      <c r="N519" t="str">
        <f t="shared" si="25"/>
        <v>OK</v>
      </c>
      <c r="O519" s="2">
        <f t="shared" si="26"/>
        <v>1</v>
      </c>
    </row>
    <row r="520" spans="1:15" x14ac:dyDescent="0.3">
      <c r="A520" t="s">
        <v>538</v>
      </c>
      <c r="B520" s="1">
        <v>45132</v>
      </c>
      <c r="C520" s="1">
        <v>45173</v>
      </c>
      <c r="D520">
        <v>71885.41</v>
      </c>
      <c r="E520" s="2">
        <f>(Table2[[#This Row],[revenue]]-Table2[[#This Row],[budget]])/Table2[[#This Row],[budget]]</f>
        <v>0.55645561456768478</v>
      </c>
      <c r="F520" t="s">
        <v>11</v>
      </c>
      <c r="G520" t="s">
        <v>12</v>
      </c>
      <c r="H520" t="s">
        <v>16</v>
      </c>
      <c r="I520">
        <v>0.4</v>
      </c>
      <c r="J520">
        <v>111886.45</v>
      </c>
      <c r="K520">
        <f>Table2[[#This Row],[revenue]]/Table2[[#This Row],[budget]]</f>
        <v>1.5564556145676847</v>
      </c>
      <c r="L520" s="2">
        <f t="shared" si="24"/>
        <v>111886.45</v>
      </c>
      <c r="M520" s="2">
        <f>(Table2[[#This Row],[Adjusted revenue]]-Table2[[#This Row],[budget]])/Table2[[#This Row],[budget]]</f>
        <v>0.55645561456768478</v>
      </c>
      <c r="N520" t="str">
        <f t="shared" si="25"/>
        <v>OK</v>
      </c>
      <c r="O520" s="2">
        <f t="shared" si="26"/>
        <v>-0.77758829166996102</v>
      </c>
    </row>
    <row r="521" spans="1:15" x14ac:dyDescent="0.3">
      <c r="A521" t="s">
        <v>539</v>
      </c>
      <c r="B521" s="1">
        <v>45104</v>
      </c>
      <c r="C521" s="1">
        <v>45313</v>
      </c>
      <c r="D521">
        <v>37473.839999999997</v>
      </c>
      <c r="E521" s="2">
        <f>(Table2[[#This Row],[revenue]]-Table2[[#This Row],[budget]])/Table2[[#This Row],[budget]]</f>
        <v>17.182215646968661</v>
      </c>
      <c r="F521" t="s">
        <v>11</v>
      </c>
      <c r="G521" t="s">
        <v>12</v>
      </c>
      <c r="H521" t="s">
        <v>19</v>
      </c>
      <c r="I521">
        <v>0.4</v>
      </c>
      <c r="J521">
        <v>681357.44</v>
      </c>
      <c r="K521">
        <f>Table2[[#This Row],[revenue]]/Table2[[#This Row],[budget]]</f>
        <v>18.182215646968658</v>
      </c>
      <c r="L521" s="2">
        <f t="shared" si="24"/>
        <v>374738.39999999997</v>
      </c>
      <c r="M521" s="2">
        <f>(Table2[[#This Row],[Adjusted revenue]]-Table2[[#This Row],[budget]])/Table2[[#This Row],[budget]]</f>
        <v>9</v>
      </c>
      <c r="N521" t="str">
        <f t="shared" si="25"/>
        <v>OK</v>
      </c>
      <c r="O521" s="2">
        <f t="shared" si="26"/>
        <v>1</v>
      </c>
    </row>
    <row r="522" spans="1:15" x14ac:dyDescent="0.3">
      <c r="A522" t="s">
        <v>540</v>
      </c>
      <c r="B522" s="1">
        <v>44927</v>
      </c>
      <c r="C522" s="1">
        <v>45443</v>
      </c>
      <c r="D522">
        <v>72744.5</v>
      </c>
      <c r="E522" s="2">
        <f>(Table2[[#This Row],[revenue]]-Table2[[#This Row],[budget]])/Table2[[#This Row],[budget]]</f>
        <v>5.6265174686746082</v>
      </c>
      <c r="F522" t="s">
        <v>18</v>
      </c>
      <c r="G522" t="s">
        <v>12</v>
      </c>
      <c r="H522" t="s">
        <v>13</v>
      </c>
      <c r="I522">
        <v>0.74</v>
      </c>
      <c r="J522">
        <v>482042.7</v>
      </c>
      <c r="K522">
        <f>Table2[[#This Row],[revenue]]/Table2[[#This Row],[budget]]</f>
        <v>6.6265174686746082</v>
      </c>
      <c r="L522" s="2">
        <f t="shared" si="24"/>
        <v>482042.7</v>
      </c>
      <c r="M522" s="2">
        <f>(Table2[[#This Row],[Adjusted revenue]]-Table2[[#This Row],[budget]])/Table2[[#This Row],[budget]]</f>
        <v>5.6265174686746082</v>
      </c>
      <c r="N522" t="str">
        <f t="shared" si="25"/>
        <v>OK</v>
      </c>
      <c r="O522" s="2">
        <f t="shared" si="26"/>
        <v>0.28979315129991745</v>
      </c>
    </row>
    <row r="523" spans="1:15" x14ac:dyDescent="0.3">
      <c r="A523" t="s">
        <v>541</v>
      </c>
      <c r="B523" s="1">
        <v>44881</v>
      </c>
      <c r="C523" s="1">
        <v>45343</v>
      </c>
      <c r="D523">
        <v>35636.25</v>
      </c>
      <c r="E523" s="2">
        <f>(Table2[[#This Row],[revenue]]-Table2[[#This Row],[budget]])/Table2[[#This Row],[budget]]</f>
        <v>6.5532916622820858</v>
      </c>
      <c r="F523" t="s">
        <v>18</v>
      </c>
      <c r="G523" t="s">
        <v>15</v>
      </c>
      <c r="H523" t="s">
        <v>19</v>
      </c>
      <c r="I523">
        <v>0.23</v>
      </c>
      <c r="J523">
        <v>269170.99</v>
      </c>
      <c r="K523">
        <f>Table2[[#This Row],[revenue]]/Table2[[#This Row],[budget]]</f>
        <v>7.5532916622820858</v>
      </c>
      <c r="L523" s="2">
        <f t="shared" si="24"/>
        <v>269170.99</v>
      </c>
      <c r="M523" s="2">
        <f>(Table2[[#This Row],[Adjusted revenue]]-Table2[[#This Row],[budget]])/Table2[[#This Row],[budget]]</f>
        <v>6.5532916622820858</v>
      </c>
      <c r="N523" t="str">
        <f t="shared" si="25"/>
        <v>OK</v>
      </c>
      <c r="O523" s="2">
        <f t="shared" si="26"/>
        <v>0.48490350784886016</v>
      </c>
    </row>
    <row r="524" spans="1:15" x14ac:dyDescent="0.3">
      <c r="A524" t="s">
        <v>542</v>
      </c>
      <c r="B524" s="1">
        <v>45039</v>
      </c>
      <c r="C524" s="1">
        <v>45229</v>
      </c>
      <c r="D524">
        <v>84406.19</v>
      </c>
      <c r="E524" s="2">
        <f>(Table2[[#This Row],[revenue]]-Table2[[#This Row],[budget]])/Table2[[#This Row],[budget]]</f>
        <v>7.7182396219992864</v>
      </c>
      <c r="F524" t="s">
        <v>11</v>
      </c>
      <c r="G524" t="s">
        <v>15</v>
      </c>
      <c r="H524" t="s">
        <v>19</v>
      </c>
      <c r="I524">
        <v>0.2</v>
      </c>
      <c r="J524">
        <v>735873.39</v>
      </c>
      <c r="K524">
        <f>Table2[[#This Row],[revenue]]/Table2[[#This Row],[budget]]</f>
        <v>8.7182396219992864</v>
      </c>
      <c r="L524" s="2">
        <f t="shared" si="24"/>
        <v>735873.39</v>
      </c>
      <c r="M524" s="2">
        <f>(Table2[[#This Row],[Adjusted revenue]]-Table2[[#This Row],[budget]])/Table2[[#This Row],[budget]]</f>
        <v>7.7182396219992864</v>
      </c>
      <c r="N524" t="str">
        <f t="shared" si="25"/>
        <v>OK</v>
      </c>
      <c r="O524" s="2">
        <f t="shared" si="26"/>
        <v>0.73015570989458656</v>
      </c>
    </row>
    <row r="525" spans="1:15" x14ac:dyDescent="0.3">
      <c r="A525" t="s">
        <v>543</v>
      </c>
      <c r="B525" s="1">
        <v>45031</v>
      </c>
      <c r="C525" s="1">
        <v>45186</v>
      </c>
      <c r="D525">
        <v>88977.21</v>
      </c>
      <c r="E525" s="2">
        <f>(Table2[[#This Row],[revenue]]-Table2[[#This Row],[budget]])/Table2[[#This Row],[budget]]</f>
        <v>3.454142808029157</v>
      </c>
      <c r="F525" t="s">
        <v>18</v>
      </c>
      <c r="G525" t="s">
        <v>12</v>
      </c>
      <c r="H525" t="s">
        <v>16</v>
      </c>
      <c r="I525">
        <v>0.13</v>
      </c>
      <c r="J525">
        <v>396317.2</v>
      </c>
      <c r="K525">
        <f>Table2[[#This Row],[revenue]]/Table2[[#This Row],[budget]]</f>
        <v>4.4541428080291565</v>
      </c>
      <c r="L525" s="2">
        <f t="shared" si="24"/>
        <v>396317.2</v>
      </c>
      <c r="M525" s="2">
        <f>(Table2[[#This Row],[Adjusted revenue]]-Table2[[#This Row],[budget]])/Table2[[#This Row],[budget]]</f>
        <v>3.454142808029157</v>
      </c>
      <c r="N525" t="str">
        <f t="shared" si="25"/>
        <v>OK</v>
      </c>
      <c r="O525" s="2">
        <f t="shared" si="26"/>
        <v>-0.16754888252017752</v>
      </c>
    </row>
    <row r="526" spans="1:15" x14ac:dyDescent="0.3">
      <c r="A526" t="s">
        <v>544</v>
      </c>
      <c r="B526" s="1">
        <v>44892</v>
      </c>
      <c r="C526" s="1">
        <v>45448</v>
      </c>
      <c r="D526">
        <v>41408.949999999997</v>
      </c>
      <c r="E526" s="2">
        <f>(Table2[[#This Row],[revenue]]-Table2[[#This Row],[budget]])/Table2[[#This Row],[budget]]</f>
        <v>2.8210072943168085</v>
      </c>
      <c r="F526" t="s">
        <v>11</v>
      </c>
      <c r="G526" t="s">
        <v>15</v>
      </c>
      <c r="H526" t="s">
        <v>16</v>
      </c>
      <c r="I526">
        <v>0.18</v>
      </c>
      <c r="J526">
        <v>158223.9</v>
      </c>
      <c r="K526">
        <f>Table2[[#This Row],[revenue]]/Table2[[#This Row],[budget]]</f>
        <v>3.8210072943168085</v>
      </c>
      <c r="L526" s="2">
        <f t="shared" si="24"/>
        <v>158223.9</v>
      </c>
      <c r="M526" s="2">
        <f>(Table2[[#This Row],[Adjusted revenue]]-Table2[[#This Row],[budget]])/Table2[[#This Row],[budget]]</f>
        <v>2.8210072943168085</v>
      </c>
      <c r="N526" t="str">
        <f t="shared" si="25"/>
        <v>OK</v>
      </c>
      <c r="O526" s="2">
        <f t="shared" si="26"/>
        <v>-0.30084056961751404</v>
      </c>
    </row>
    <row r="527" spans="1:15" x14ac:dyDescent="0.3">
      <c r="A527" t="s">
        <v>545</v>
      </c>
      <c r="B527" s="1">
        <v>45103</v>
      </c>
      <c r="C527" s="1">
        <v>45300</v>
      </c>
      <c r="D527">
        <v>9611.89</v>
      </c>
      <c r="E527" s="2">
        <f>(Table2[[#This Row],[revenue]]-Table2[[#This Row],[budget]])/Table2[[#This Row],[budget]]</f>
        <v>59.594458530008147</v>
      </c>
      <c r="F527" t="s">
        <v>11</v>
      </c>
      <c r="G527" t="s">
        <v>15</v>
      </c>
      <c r="H527" t="s">
        <v>13</v>
      </c>
      <c r="I527">
        <v>0.3</v>
      </c>
      <c r="J527">
        <v>582427.27</v>
      </c>
      <c r="K527">
        <f>Table2[[#This Row],[revenue]]/Table2[[#This Row],[budget]]</f>
        <v>60.594458530008154</v>
      </c>
      <c r="L527" s="2">
        <f t="shared" si="24"/>
        <v>96118.9</v>
      </c>
      <c r="M527" s="2">
        <f>(Table2[[#This Row],[Adjusted revenue]]-Table2[[#This Row],[budget]])/Table2[[#This Row],[budget]]</f>
        <v>9</v>
      </c>
      <c r="N527" t="str">
        <f t="shared" si="25"/>
        <v>OK</v>
      </c>
      <c r="O527" s="2">
        <f t="shared" si="26"/>
        <v>1</v>
      </c>
    </row>
    <row r="528" spans="1:15" x14ac:dyDescent="0.3">
      <c r="A528" t="s">
        <v>546</v>
      </c>
      <c r="B528" s="1">
        <v>45085</v>
      </c>
      <c r="C528" s="1">
        <v>45140</v>
      </c>
      <c r="D528">
        <v>67475.350000000006</v>
      </c>
      <c r="E528" s="2">
        <f>(Table2[[#This Row],[revenue]]-Table2[[#This Row],[budget]])/Table2[[#This Row],[budget]]</f>
        <v>-0.20628866689835632</v>
      </c>
      <c r="F528" t="s">
        <v>11</v>
      </c>
      <c r="G528" t="s">
        <v>12</v>
      </c>
      <c r="H528" t="s">
        <v>16</v>
      </c>
      <c r="I528">
        <v>0.22</v>
      </c>
      <c r="J528">
        <v>53555.95</v>
      </c>
      <c r="K528">
        <f>Table2[[#This Row],[revenue]]/Table2[[#This Row],[budget]]</f>
        <v>0.79371133310164366</v>
      </c>
      <c r="L528" s="2">
        <f t="shared" si="24"/>
        <v>53555.95</v>
      </c>
      <c r="M528" s="2">
        <f>(Table2[[#This Row],[Adjusted revenue]]-Table2[[#This Row],[budget]])/Table2[[#This Row],[budget]]</f>
        <v>-0.20628866689835632</v>
      </c>
      <c r="N528" t="str">
        <f t="shared" si="25"/>
        <v>Failed</v>
      </c>
      <c r="O528" s="2">
        <f t="shared" si="26"/>
        <v>-0.9381660351364961</v>
      </c>
    </row>
    <row r="529" spans="1:15" x14ac:dyDescent="0.3">
      <c r="A529" t="s">
        <v>547</v>
      </c>
      <c r="B529" s="1">
        <v>44872</v>
      </c>
      <c r="C529" s="1">
        <v>45486</v>
      </c>
      <c r="D529">
        <v>81254.509999999995</v>
      </c>
      <c r="E529" s="2">
        <f>(Table2[[#This Row],[revenue]]-Table2[[#This Row],[budget]])/Table2[[#This Row],[budget]]</f>
        <v>7.4381017127541593</v>
      </c>
      <c r="F529" t="s">
        <v>23</v>
      </c>
      <c r="G529" t="s">
        <v>12</v>
      </c>
      <c r="H529" t="s">
        <v>19</v>
      </c>
      <c r="I529">
        <v>0.94</v>
      </c>
      <c r="J529">
        <v>685633.82</v>
      </c>
      <c r="K529">
        <f>Table2[[#This Row],[revenue]]/Table2[[#This Row],[budget]]</f>
        <v>8.4381017127541593</v>
      </c>
      <c r="L529" s="2">
        <f t="shared" si="24"/>
        <v>685633.82</v>
      </c>
      <c r="M529" s="2">
        <f>(Table2[[#This Row],[Adjusted revenue]]-Table2[[#This Row],[budget]])/Table2[[#This Row],[budget]]</f>
        <v>7.4381017127541593</v>
      </c>
      <c r="N529" t="str">
        <f t="shared" si="25"/>
        <v>OK</v>
      </c>
      <c r="O529" s="2">
        <f t="shared" si="26"/>
        <v>0.67117930794824399</v>
      </c>
    </row>
    <row r="530" spans="1:15" x14ac:dyDescent="0.3">
      <c r="A530" t="s">
        <v>548</v>
      </c>
      <c r="B530" s="1">
        <v>44990</v>
      </c>
      <c r="C530" s="1">
        <v>45460</v>
      </c>
      <c r="D530">
        <v>83804.53</v>
      </c>
      <c r="E530" s="2">
        <f>(Table2[[#This Row],[revenue]]-Table2[[#This Row],[budget]])/Table2[[#This Row],[budget]]</f>
        <v>9.7697557637994024</v>
      </c>
      <c r="F530" t="s">
        <v>18</v>
      </c>
      <c r="G530" t="s">
        <v>15</v>
      </c>
      <c r="H530" t="s">
        <v>19</v>
      </c>
      <c r="I530">
        <v>0.36</v>
      </c>
      <c r="J530">
        <v>902554.32</v>
      </c>
      <c r="K530">
        <f>Table2[[#This Row],[revenue]]/Table2[[#This Row],[budget]]</f>
        <v>10.769755763799402</v>
      </c>
      <c r="L530" s="2">
        <f t="shared" si="24"/>
        <v>838045.3</v>
      </c>
      <c r="M530" s="2">
        <f>(Table2[[#This Row],[Adjusted revenue]]-Table2[[#This Row],[budget]])/Table2[[#This Row],[budget]]</f>
        <v>9</v>
      </c>
      <c r="N530" t="str">
        <f t="shared" si="25"/>
        <v>OK</v>
      </c>
      <c r="O530" s="2">
        <f t="shared" si="26"/>
        <v>1</v>
      </c>
    </row>
    <row r="531" spans="1:15" x14ac:dyDescent="0.3">
      <c r="A531" t="s">
        <v>549</v>
      </c>
      <c r="B531" s="1">
        <v>44822</v>
      </c>
      <c r="C531" s="1">
        <v>45152</v>
      </c>
      <c r="D531">
        <v>41307.730000000003</v>
      </c>
      <c r="E531" s="2">
        <f>(Table2[[#This Row],[revenue]]-Table2[[#This Row],[budget]])/Table2[[#This Row],[budget]]</f>
        <v>16.662907886732096</v>
      </c>
      <c r="F531" t="s">
        <v>18</v>
      </c>
      <c r="G531" t="s">
        <v>15</v>
      </c>
      <c r="H531" t="s">
        <v>25</v>
      </c>
      <c r="I531">
        <v>0.53</v>
      </c>
      <c r="J531">
        <v>729614.63</v>
      </c>
      <c r="K531">
        <f>Table2[[#This Row],[revenue]]/Table2[[#This Row],[budget]]</f>
        <v>17.662907886732096</v>
      </c>
      <c r="L531" s="2">
        <f t="shared" si="24"/>
        <v>413077.30000000005</v>
      </c>
      <c r="M531" s="2">
        <f>(Table2[[#This Row],[Adjusted revenue]]-Table2[[#This Row],[budget]])/Table2[[#This Row],[budget]]</f>
        <v>9</v>
      </c>
      <c r="N531" t="str">
        <f t="shared" si="25"/>
        <v>OK</v>
      </c>
      <c r="O531" s="2">
        <f t="shared" si="26"/>
        <v>1</v>
      </c>
    </row>
    <row r="532" spans="1:15" x14ac:dyDescent="0.3">
      <c r="A532" t="s">
        <v>550</v>
      </c>
      <c r="B532" s="1">
        <v>44927</v>
      </c>
      <c r="C532" s="1">
        <v>45189</v>
      </c>
      <c r="D532">
        <v>78803.16</v>
      </c>
      <c r="E532" s="2">
        <f>(Table2[[#This Row],[revenue]]-Table2[[#This Row],[budget]])/Table2[[#This Row],[budget]]</f>
        <v>6.1345460004395758</v>
      </c>
      <c r="F532" t="s">
        <v>11</v>
      </c>
      <c r="G532" t="s">
        <v>12</v>
      </c>
      <c r="H532" t="s">
        <v>13</v>
      </c>
      <c r="I532">
        <v>0.75</v>
      </c>
      <c r="J532">
        <v>562224.77</v>
      </c>
      <c r="K532">
        <f>Table2[[#This Row],[revenue]]/Table2[[#This Row],[budget]]</f>
        <v>7.1345460004395758</v>
      </c>
      <c r="L532" s="2">
        <f t="shared" si="24"/>
        <v>562224.77</v>
      </c>
      <c r="M532" s="2">
        <f>(Table2[[#This Row],[Adjusted revenue]]-Table2[[#This Row],[budget]])/Table2[[#This Row],[budget]]</f>
        <v>6.1345460004395758</v>
      </c>
      <c r="N532" t="str">
        <f t="shared" si="25"/>
        <v>OK</v>
      </c>
      <c r="O532" s="2">
        <f t="shared" si="26"/>
        <v>0.39674652640833163</v>
      </c>
    </row>
    <row r="533" spans="1:15" x14ac:dyDescent="0.3">
      <c r="A533" t="s">
        <v>551</v>
      </c>
      <c r="B533" s="1">
        <v>44818</v>
      </c>
      <c r="C533" s="1">
        <v>45162</v>
      </c>
      <c r="D533">
        <v>64551.199999999997</v>
      </c>
      <c r="E533" s="2">
        <f>(Table2[[#This Row],[revenue]]-Table2[[#This Row],[budget]])/Table2[[#This Row],[budget]]</f>
        <v>3.3448914969822408</v>
      </c>
      <c r="F533" t="s">
        <v>11</v>
      </c>
      <c r="G533" t="s">
        <v>15</v>
      </c>
      <c r="H533" t="s">
        <v>16</v>
      </c>
      <c r="I533">
        <v>0.12</v>
      </c>
      <c r="J533">
        <v>280467.96000000002</v>
      </c>
      <c r="K533">
        <f>Table2[[#This Row],[revenue]]/Table2[[#This Row],[budget]]</f>
        <v>4.3448914969822408</v>
      </c>
      <c r="L533" s="2">
        <f t="shared" si="24"/>
        <v>280467.96000000002</v>
      </c>
      <c r="M533" s="2">
        <f>(Table2[[#This Row],[Adjusted revenue]]-Table2[[#This Row],[budget]])/Table2[[#This Row],[budget]]</f>
        <v>3.3448914969822408</v>
      </c>
      <c r="N533" t="str">
        <f t="shared" si="25"/>
        <v>OK</v>
      </c>
      <c r="O533" s="2">
        <f t="shared" si="26"/>
        <v>-0.19054915853005461</v>
      </c>
    </row>
    <row r="534" spans="1:15" x14ac:dyDescent="0.3">
      <c r="A534" t="s">
        <v>552</v>
      </c>
      <c r="B534" s="1">
        <v>45106</v>
      </c>
      <c r="C534" s="1">
        <v>45429</v>
      </c>
      <c r="D534">
        <v>14126.24</v>
      </c>
      <c r="E534" s="2">
        <f>(Table2[[#This Row],[revenue]]-Table2[[#This Row],[budget]])/Table2[[#This Row],[budget]]</f>
        <v>36.5678793507685</v>
      </c>
      <c r="F534" t="s">
        <v>21</v>
      </c>
      <c r="G534" t="s">
        <v>12</v>
      </c>
      <c r="H534" t="s">
        <v>25</v>
      </c>
      <c r="I534">
        <v>0.82</v>
      </c>
      <c r="J534">
        <v>530692.88</v>
      </c>
      <c r="K534">
        <f>Table2[[#This Row],[revenue]]/Table2[[#This Row],[budget]]</f>
        <v>37.5678793507685</v>
      </c>
      <c r="L534" s="2">
        <f t="shared" si="24"/>
        <v>141262.39999999999</v>
      </c>
      <c r="M534" s="2">
        <f>(Table2[[#This Row],[Adjusted revenue]]-Table2[[#This Row],[budget]])/Table2[[#This Row],[budget]]</f>
        <v>9</v>
      </c>
      <c r="N534" t="str">
        <f t="shared" si="25"/>
        <v>OK</v>
      </c>
      <c r="O534" s="2">
        <f t="shared" si="26"/>
        <v>1</v>
      </c>
    </row>
    <row r="535" spans="1:15" x14ac:dyDescent="0.3">
      <c r="A535" t="s">
        <v>553</v>
      </c>
      <c r="B535" s="1">
        <v>44978</v>
      </c>
      <c r="C535" s="1">
        <v>45452</v>
      </c>
      <c r="D535">
        <v>35614.300000000003</v>
      </c>
      <c r="E535" s="2">
        <f>(Table2[[#This Row],[revenue]]-Table2[[#This Row],[budget]])/Table2[[#This Row],[budget]]</f>
        <v>17.325524297824185</v>
      </c>
      <c r="F535" t="s">
        <v>23</v>
      </c>
      <c r="G535" t="s">
        <v>15</v>
      </c>
      <c r="H535" t="s">
        <v>13</v>
      </c>
      <c r="I535">
        <v>0.19</v>
      </c>
      <c r="J535">
        <v>652650.72</v>
      </c>
      <c r="K535">
        <f>Table2[[#This Row],[revenue]]/Table2[[#This Row],[budget]]</f>
        <v>18.325524297824185</v>
      </c>
      <c r="L535" s="2">
        <f t="shared" si="24"/>
        <v>356143</v>
      </c>
      <c r="M535" s="2">
        <f>(Table2[[#This Row],[Adjusted revenue]]-Table2[[#This Row],[budget]])/Table2[[#This Row],[budget]]</f>
        <v>9</v>
      </c>
      <c r="N535" t="str">
        <f t="shared" si="25"/>
        <v>OK</v>
      </c>
      <c r="O535" s="2">
        <f t="shared" si="26"/>
        <v>1</v>
      </c>
    </row>
    <row r="536" spans="1:15" x14ac:dyDescent="0.3">
      <c r="A536" t="s">
        <v>554</v>
      </c>
      <c r="B536" s="1">
        <v>45024</v>
      </c>
      <c r="C536" s="1">
        <v>45174</v>
      </c>
      <c r="D536">
        <v>42616.800000000003</v>
      </c>
      <c r="E536" s="2">
        <f>(Table2[[#This Row],[revenue]]-Table2[[#This Row],[budget]])/Table2[[#This Row],[budget]]</f>
        <v>11.033497353156502</v>
      </c>
      <c r="F536" t="s">
        <v>11</v>
      </c>
      <c r="G536" t="s">
        <v>12</v>
      </c>
      <c r="H536" t="s">
        <v>13</v>
      </c>
      <c r="I536">
        <v>0.48</v>
      </c>
      <c r="J536">
        <v>512829.15</v>
      </c>
      <c r="K536">
        <f>Table2[[#This Row],[revenue]]/Table2[[#This Row],[budget]]</f>
        <v>12.033497353156502</v>
      </c>
      <c r="L536" s="2">
        <f t="shared" si="24"/>
        <v>426168</v>
      </c>
      <c r="M536" s="2">
        <f>(Table2[[#This Row],[Adjusted revenue]]-Table2[[#This Row],[budget]])/Table2[[#This Row],[budget]]</f>
        <v>9</v>
      </c>
      <c r="N536" t="str">
        <f t="shared" si="25"/>
        <v>OK</v>
      </c>
      <c r="O536" s="2">
        <f t="shared" si="26"/>
        <v>1</v>
      </c>
    </row>
    <row r="537" spans="1:15" x14ac:dyDescent="0.3">
      <c r="A537" t="s">
        <v>555</v>
      </c>
      <c r="B537" s="1">
        <v>44825</v>
      </c>
      <c r="C537" s="1">
        <v>45391</v>
      </c>
      <c r="D537">
        <v>59207.21</v>
      </c>
      <c r="E537" s="2">
        <f>(Table2[[#This Row],[revenue]]-Table2[[#This Row],[budget]])/Table2[[#This Row],[budget]]</f>
        <v>14.443601041156983</v>
      </c>
      <c r="F537" t="s">
        <v>23</v>
      </c>
      <c r="G537" t="s">
        <v>12</v>
      </c>
      <c r="H537" t="s">
        <v>19</v>
      </c>
      <c r="I537">
        <v>0.48</v>
      </c>
      <c r="J537">
        <v>914372.53</v>
      </c>
      <c r="K537">
        <f>Table2[[#This Row],[revenue]]/Table2[[#This Row],[budget]]</f>
        <v>15.443601041156981</v>
      </c>
      <c r="L537" s="2">
        <f t="shared" si="24"/>
        <v>592072.1</v>
      </c>
      <c r="M537" s="2">
        <f>(Table2[[#This Row],[Adjusted revenue]]-Table2[[#This Row],[budget]])/Table2[[#This Row],[budget]]</f>
        <v>9</v>
      </c>
      <c r="N537" t="str">
        <f t="shared" si="25"/>
        <v>OK</v>
      </c>
      <c r="O537" s="2">
        <f t="shared" si="26"/>
        <v>1</v>
      </c>
    </row>
    <row r="538" spans="1:15" x14ac:dyDescent="0.3">
      <c r="A538" t="s">
        <v>556</v>
      </c>
      <c r="B538" s="1">
        <v>45070</v>
      </c>
      <c r="C538" s="1">
        <v>45287</v>
      </c>
      <c r="D538">
        <v>76911.16</v>
      </c>
      <c r="E538" s="2">
        <f>(Table2[[#This Row],[revenue]]-Table2[[#This Row],[budget]])/Table2[[#This Row],[budget]]</f>
        <v>6.3481563663842797</v>
      </c>
      <c r="F538" t="s">
        <v>21</v>
      </c>
      <c r="G538" t="s">
        <v>12</v>
      </c>
      <c r="H538" t="s">
        <v>13</v>
      </c>
      <c r="I538">
        <v>0.51</v>
      </c>
      <c r="J538">
        <v>565155.23</v>
      </c>
      <c r="K538">
        <f>Table2[[#This Row],[revenue]]/Table2[[#This Row],[budget]]</f>
        <v>7.3481563663842797</v>
      </c>
      <c r="L538" s="2">
        <f t="shared" si="24"/>
        <v>565155.23</v>
      </c>
      <c r="M538" s="2">
        <f>(Table2[[#This Row],[Adjusted revenue]]-Table2[[#This Row],[budget]])/Table2[[#This Row],[budget]]</f>
        <v>6.3481563663842797</v>
      </c>
      <c r="N538" t="str">
        <f t="shared" si="25"/>
        <v>OK</v>
      </c>
      <c r="O538" s="2">
        <f t="shared" si="26"/>
        <v>0.44171712976511146</v>
      </c>
    </row>
    <row r="539" spans="1:15" x14ac:dyDescent="0.3">
      <c r="A539" t="s">
        <v>557</v>
      </c>
      <c r="B539" s="1">
        <v>44952</v>
      </c>
      <c r="C539" s="1">
        <v>45433</v>
      </c>
      <c r="D539">
        <v>10395.39</v>
      </c>
      <c r="E539" s="2">
        <f>(Table2[[#This Row],[revenue]]-Table2[[#This Row],[budget]])/Table2[[#This Row],[budget]]</f>
        <v>91.6904021878929</v>
      </c>
      <c r="F539" t="s">
        <v>23</v>
      </c>
      <c r="G539" t="s">
        <v>15</v>
      </c>
      <c r="H539" t="s">
        <v>13</v>
      </c>
      <c r="I539">
        <v>0.95</v>
      </c>
      <c r="J539">
        <v>963552.88</v>
      </c>
      <c r="K539">
        <f>Table2[[#This Row],[revenue]]/Table2[[#This Row],[budget]]</f>
        <v>92.690402187892914</v>
      </c>
      <c r="L539" s="2">
        <f t="shared" si="24"/>
        <v>103953.9</v>
      </c>
      <c r="M539" s="2">
        <f>(Table2[[#This Row],[Adjusted revenue]]-Table2[[#This Row],[budget]])/Table2[[#This Row],[budget]]</f>
        <v>9</v>
      </c>
      <c r="N539" t="str">
        <f t="shared" si="25"/>
        <v>OK</v>
      </c>
      <c r="O539" s="2">
        <f t="shared" si="26"/>
        <v>1</v>
      </c>
    </row>
    <row r="540" spans="1:15" x14ac:dyDescent="0.3">
      <c r="A540" t="s">
        <v>558</v>
      </c>
      <c r="B540" s="1">
        <v>44888</v>
      </c>
      <c r="C540" s="1">
        <v>45253</v>
      </c>
      <c r="D540">
        <v>78873.149999999994</v>
      </c>
      <c r="E540" s="2">
        <f>(Table2[[#This Row],[revenue]]-Table2[[#This Row],[budget]])/Table2[[#This Row],[budget]]</f>
        <v>2.6450323082062783</v>
      </c>
      <c r="F540" t="s">
        <v>21</v>
      </c>
      <c r="G540" t="s">
        <v>15</v>
      </c>
      <c r="H540" t="s">
        <v>16</v>
      </c>
      <c r="I540">
        <v>0.6</v>
      </c>
      <c r="J540">
        <v>287495.18</v>
      </c>
      <c r="K540">
        <f>Table2[[#This Row],[revenue]]/Table2[[#This Row],[budget]]</f>
        <v>3.6450323082062783</v>
      </c>
      <c r="L540" s="2">
        <f t="shared" si="24"/>
        <v>287495.18</v>
      </c>
      <c r="M540" s="2">
        <f>(Table2[[#This Row],[Adjusted revenue]]-Table2[[#This Row],[budget]])/Table2[[#This Row],[budget]]</f>
        <v>2.6450323082062783</v>
      </c>
      <c r="N540" t="str">
        <f t="shared" si="25"/>
        <v>OK</v>
      </c>
      <c r="O540" s="2">
        <f t="shared" si="26"/>
        <v>-0.33788793511446769</v>
      </c>
    </row>
    <row r="541" spans="1:15" x14ac:dyDescent="0.3">
      <c r="A541" t="s">
        <v>559</v>
      </c>
      <c r="B541" s="1">
        <v>45043</v>
      </c>
      <c r="C541" s="1">
        <v>45313</v>
      </c>
      <c r="D541">
        <v>18458.169999999998</v>
      </c>
      <c r="E541" s="2">
        <f>(Table2[[#This Row],[revenue]]-Table2[[#This Row],[budget]])/Table2[[#This Row],[budget]]</f>
        <v>27.173004149382091</v>
      </c>
      <c r="F541" t="s">
        <v>11</v>
      </c>
      <c r="G541" t="s">
        <v>12</v>
      </c>
      <c r="H541" t="s">
        <v>16</v>
      </c>
      <c r="I541">
        <v>0.88</v>
      </c>
      <c r="J541">
        <v>520022.1</v>
      </c>
      <c r="K541">
        <f>Table2[[#This Row],[revenue]]/Table2[[#This Row],[budget]]</f>
        <v>28.173004149382091</v>
      </c>
      <c r="L541" s="2">
        <f t="shared" si="24"/>
        <v>184581.69999999998</v>
      </c>
      <c r="M541" s="2">
        <f>(Table2[[#This Row],[Adjusted revenue]]-Table2[[#This Row],[budget]])/Table2[[#This Row],[budget]]</f>
        <v>9</v>
      </c>
      <c r="N541" t="str">
        <f t="shared" si="25"/>
        <v>OK</v>
      </c>
      <c r="O541" s="2">
        <f t="shared" si="26"/>
        <v>1</v>
      </c>
    </row>
    <row r="542" spans="1:15" x14ac:dyDescent="0.3">
      <c r="A542" t="s">
        <v>560</v>
      </c>
      <c r="B542" s="1">
        <v>45101</v>
      </c>
      <c r="C542" s="1">
        <v>45232</v>
      </c>
      <c r="D542">
        <v>37360.800000000003</v>
      </c>
      <c r="E542" s="2">
        <f>(Table2[[#This Row],[revenue]]-Table2[[#This Row],[budget]])/Table2[[#This Row],[budget]]</f>
        <v>25.214707393845952</v>
      </c>
      <c r="F542" t="s">
        <v>11</v>
      </c>
      <c r="G542" t="s">
        <v>12</v>
      </c>
      <c r="H542" t="s">
        <v>13</v>
      </c>
      <c r="I542">
        <v>0.82</v>
      </c>
      <c r="J542">
        <v>979402.44</v>
      </c>
      <c r="K542">
        <f>Table2[[#This Row],[revenue]]/Table2[[#This Row],[budget]]</f>
        <v>26.214707393845952</v>
      </c>
      <c r="L542" s="2">
        <f t="shared" si="24"/>
        <v>373608</v>
      </c>
      <c r="M542" s="2">
        <f>(Table2[[#This Row],[Adjusted revenue]]-Table2[[#This Row],[budget]])/Table2[[#This Row],[budget]]</f>
        <v>9</v>
      </c>
      <c r="N542" t="str">
        <f t="shared" si="25"/>
        <v>OK</v>
      </c>
      <c r="O542" s="2">
        <f t="shared" si="26"/>
        <v>1</v>
      </c>
    </row>
    <row r="543" spans="1:15" x14ac:dyDescent="0.3">
      <c r="A543" t="s">
        <v>561</v>
      </c>
      <c r="B543" s="1">
        <v>45019</v>
      </c>
      <c r="C543" s="1">
        <v>45462</v>
      </c>
      <c r="D543">
        <v>94502.9</v>
      </c>
      <c r="E543" s="2">
        <f>(Table2[[#This Row],[revenue]]-Table2[[#This Row],[budget]])/Table2[[#This Row],[budget]]</f>
        <v>7.715402596110807</v>
      </c>
      <c r="F543" t="s">
        <v>18</v>
      </c>
      <c r="G543" t="s">
        <v>15</v>
      </c>
      <c r="H543" t="s">
        <v>25</v>
      </c>
      <c r="I543">
        <v>0.2</v>
      </c>
      <c r="J543">
        <v>823630.82</v>
      </c>
      <c r="K543">
        <f>Table2[[#This Row],[revenue]]/Table2[[#This Row],[budget]]</f>
        <v>8.7154025961108079</v>
      </c>
      <c r="L543" s="2">
        <f t="shared" si="24"/>
        <v>823630.82</v>
      </c>
      <c r="M543" s="2">
        <f>(Table2[[#This Row],[Adjusted revenue]]-Table2[[#This Row],[budget]])/Table2[[#This Row],[budget]]</f>
        <v>7.715402596110807</v>
      </c>
      <c r="N543" t="str">
        <f t="shared" si="25"/>
        <v>OK</v>
      </c>
      <c r="O543" s="2">
        <f t="shared" si="26"/>
        <v>0.7295584412864855</v>
      </c>
    </row>
    <row r="544" spans="1:15" x14ac:dyDescent="0.3">
      <c r="A544" t="s">
        <v>562</v>
      </c>
      <c r="B544" s="1">
        <v>44875</v>
      </c>
      <c r="C544" s="1">
        <v>45474</v>
      </c>
      <c r="D544">
        <v>90021.62</v>
      </c>
      <c r="E544" s="2">
        <f>(Table2[[#This Row],[revenue]]-Table2[[#This Row],[budget]])/Table2[[#This Row],[budget]]</f>
        <v>4.0502920298479408</v>
      </c>
      <c r="F544" t="s">
        <v>23</v>
      </c>
      <c r="G544" t="s">
        <v>12</v>
      </c>
      <c r="H544" t="s">
        <v>25</v>
      </c>
      <c r="I544">
        <v>0.43</v>
      </c>
      <c r="J544">
        <v>454635.47</v>
      </c>
      <c r="K544">
        <f>Table2[[#This Row],[revenue]]/Table2[[#This Row],[budget]]</f>
        <v>5.0502920298479408</v>
      </c>
      <c r="L544" s="2">
        <f t="shared" si="24"/>
        <v>454635.47</v>
      </c>
      <c r="M544" s="2">
        <f>(Table2[[#This Row],[Adjusted revenue]]-Table2[[#This Row],[budget]])/Table2[[#This Row],[budget]]</f>
        <v>4.0502920298479408</v>
      </c>
      <c r="N544" t="str">
        <f t="shared" si="25"/>
        <v>OK</v>
      </c>
      <c r="O544" s="2">
        <f t="shared" si="26"/>
        <v>-4.2043783189907202E-2</v>
      </c>
    </row>
    <row r="545" spans="1:15" x14ac:dyDescent="0.3">
      <c r="A545" t="s">
        <v>563</v>
      </c>
      <c r="B545" s="1">
        <v>45137</v>
      </c>
      <c r="C545" s="1">
        <v>45274</v>
      </c>
      <c r="D545">
        <v>5777.28</v>
      </c>
      <c r="E545" s="2">
        <f>(Table2[[#This Row],[revenue]]-Table2[[#This Row],[budget]])/Table2[[#This Row],[budget]]</f>
        <v>71.967143707765587</v>
      </c>
      <c r="F545" t="s">
        <v>11</v>
      </c>
      <c r="G545" t="s">
        <v>15</v>
      </c>
      <c r="H545" t="s">
        <v>16</v>
      </c>
      <c r="I545">
        <v>0.27</v>
      </c>
      <c r="J545">
        <v>421551.62</v>
      </c>
      <c r="K545">
        <f>Table2[[#This Row],[revenue]]/Table2[[#This Row],[budget]]</f>
        <v>72.967143707765601</v>
      </c>
      <c r="L545" s="2">
        <f t="shared" si="24"/>
        <v>57772.799999999996</v>
      </c>
      <c r="M545" s="2">
        <f>(Table2[[#This Row],[Adjusted revenue]]-Table2[[#This Row],[budget]])/Table2[[#This Row],[budget]]</f>
        <v>9</v>
      </c>
      <c r="N545" t="str">
        <f t="shared" si="25"/>
        <v>OK</v>
      </c>
      <c r="O545" s="2">
        <f t="shared" si="26"/>
        <v>1</v>
      </c>
    </row>
    <row r="546" spans="1:15" x14ac:dyDescent="0.3">
      <c r="A546" t="s">
        <v>564</v>
      </c>
      <c r="B546" s="1">
        <v>44934</v>
      </c>
      <c r="C546" s="1">
        <v>45479</v>
      </c>
      <c r="D546">
        <v>62734.3</v>
      </c>
      <c r="E546" s="2">
        <f>(Table2[[#This Row],[revenue]]-Table2[[#This Row],[budget]])/Table2[[#This Row],[budget]]</f>
        <v>13.434522741147983</v>
      </c>
      <c r="F546" t="s">
        <v>21</v>
      </c>
      <c r="G546" t="s">
        <v>12</v>
      </c>
      <c r="H546" t="s">
        <v>16</v>
      </c>
      <c r="I546">
        <v>0.59</v>
      </c>
      <c r="J546">
        <v>905539.68</v>
      </c>
      <c r="K546">
        <f>Table2[[#This Row],[revenue]]/Table2[[#This Row],[budget]]</f>
        <v>14.434522741147985</v>
      </c>
      <c r="L546" s="2">
        <f t="shared" si="24"/>
        <v>627343</v>
      </c>
      <c r="M546" s="2">
        <f>(Table2[[#This Row],[Adjusted revenue]]-Table2[[#This Row],[budget]])/Table2[[#This Row],[budget]]</f>
        <v>8.9999999999999982</v>
      </c>
      <c r="N546" t="str">
        <f t="shared" si="25"/>
        <v>OK</v>
      </c>
      <c r="O546" s="2">
        <f t="shared" si="26"/>
        <v>0.99999999999999956</v>
      </c>
    </row>
    <row r="547" spans="1:15" x14ac:dyDescent="0.3">
      <c r="A547" t="s">
        <v>565</v>
      </c>
      <c r="B547" s="1">
        <v>44776</v>
      </c>
      <c r="C547" s="1">
        <v>45289</v>
      </c>
      <c r="D547">
        <v>61172.36</v>
      </c>
      <c r="E547" s="2">
        <f>(Table2[[#This Row],[revenue]]-Table2[[#This Row],[budget]])/Table2[[#This Row],[budget]]</f>
        <v>3.5393906659805179</v>
      </c>
      <c r="F547" t="s">
        <v>18</v>
      </c>
      <c r="G547" t="s">
        <v>15</v>
      </c>
      <c r="H547" t="s">
        <v>25</v>
      </c>
      <c r="I547">
        <v>0.13</v>
      </c>
      <c r="J547">
        <v>277685.24</v>
      </c>
      <c r="K547">
        <f>Table2[[#This Row],[revenue]]/Table2[[#This Row],[budget]]</f>
        <v>4.5393906659805179</v>
      </c>
      <c r="L547" s="2">
        <f t="shared" si="24"/>
        <v>277685.24</v>
      </c>
      <c r="M547" s="2">
        <f>(Table2[[#This Row],[Adjusted revenue]]-Table2[[#This Row],[budget]])/Table2[[#This Row],[budget]]</f>
        <v>3.5393906659805179</v>
      </c>
      <c r="N547" t="str">
        <f t="shared" si="25"/>
        <v>OK</v>
      </c>
      <c r="O547" s="2">
        <f t="shared" si="26"/>
        <v>-0.14960196505673307</v>
      </c>
    </row>
    <row r="548" spans="1:15" x14ac:dyDescent="0.3">
      <c r="A548" t="s">
        <v>566</v>
      </c>
      <c r="B548" s="1">
        <v>44936</v>
      </c>
      <c r="C548" s="1">
        <v>45149</v>
      </c>
      <c r="D548">
        <v>27219.52</v>
      </c>
      <c r="E548" s="2">
        <f>(Table2[[#This Row],[revenue]]-Table2[[#This Row],[budget]])/Table2[[#This Row],[budget]]</f>
        <v>30.864911651638234</v>
      </c>
      <c r="F548" t="s">
        <v>18</v>
      </c>
      <c r="G548" t="s">
        <v>12</v>
      </c>
      <c r="H548" t="s">
        <v>13</v>
      </c>
      <c r="I548">
        <v>0.6</v>
      </c>
      <c r="J548">
        <v>867347.6</v>
      </c>
      <c r="K548">
        <f>Table2[[#This Row],[revenue]]/Table2[[#This Row],[budget]]</f>
        <v>31.864911651638234</v>
      </c>
      <c r="L548" s="2">
        <f t="shared" si="24"/>
        <v>272195.20000000001</v>
      </c>
      <c r="M548" s="2">
        <f>(Table2[[#This Row],[Adjusted revenue]]-Table2[[#This Row],[budget]])/Table2[[#This Row],[budget]]</f>
        <v>9</v>
      </c>
      <c r="N548" t="str">
        <f t="shared" si="25"/>
        <v>OK</v>
      </c>
      <c r="O548" s="2">
        <f t="shared" si="26"/>
        <v>1</v>
      </c>
    </row>
    <row r="549" spans="1:15" x14ac:dyDescent="0.3">
      <c r="A549" t="s">
        <v>567</v>
      </c>
      <c r="B549" s="1">
        <v>44824</v>
      </c>
      <c r="C549" s="1">
        <v>45398</v>
      </c>
      <c r="D549">
        <v>66351.490000000005</v>
      </c>
      <c r="E549" s="2">
        <f>(Table2[[#This Row],[revenue]]-Table2[[#This Row],[budget]])/Table2[[#This Row],[budget]]</f>
        <v>2.7857428672664319</v>
      </c>
      <c r="F549" t="s">
        <v>23</v>
      </c>
      <c r="G549" t="s">
        <v>15</v>
      </c>
      <c r="H549" t="s">
        <v>25</v>
      </c>
      <c r="I549">
        <v>0.5</v>
      </c>
      <c r="J549">
        <v>251189.68</v>
      </c>
      <c r="K549">
        <f>Table2[[#This Row],[revenue]]/Table2[[#This Row],[budget]]</f>
        <v>3.7857428672664319</v>
      </c>
      <c r="L549" s="2">
        <f t="shared" si="24"/>
        <v>251189.68</v>
      </c>
      <c r="M549" s="2">
        <f>(Table2[[#This Row],[Adjusted revenue]]-Table2[[#This Row],[budget]])/Table2[[#This Row],[budget]]</f>
        <v>2.7857428672664319</v>
      </c>
      <c r="N549" t="str">
        <f t="shared" si="25"/>
        <v>OK</v>
      </c>
      <c r="O549" s="2">
        <f t="shared" si="26"/>
        <v>-0.30826465952285642</v>
      </c>
    </row>
    <row r="550" spans="1:15" x14ac:dyDescent="0.3">
      <c r="A550" t="s">
        <v>568</v>
      </c>
      <c r="B550" s="1">
        <v>44929</v>
      </c>
      <c r="C550" s="1">
        <v>45275</v>
      </c>
      <c r="D550">
        <v>20786.400000000001</v>
      </c>
      <c r="E550" s="2">
        <f>(Table2[[#This Row],[revenue]]-Table2[[#This Row],[budget]])/Table2[[#This Row],[budget]]</f>
        <v>11.20264884732325</v>
      </c>
      <c r="F550" t="s">
        <v>18</v>
      </c>
      <c r="G550" t="s">
        <v>15</v>
      </c>
      <c r="H550" t="s">
        <v>19</v>
      </c>
      <c r="I550">
        <v>0.53</v>
      </c>
      <c r="J550">
        <v>253649.14</v>
      </c>
      <c r="K550">
        <f>Table2[[#This Row],[revenue]]/Table2[[#This Row],[budget]]</f>
        <v>12.20264884732325</v>
      </c>
      <c r="L550" s="2">
        <f t="shared" si="24"/>
        <v>207864</v>
      </c>
      <c r="M550" s="2">
        <f>(Table2[[#This Row],[Adjusted revenue]]-Table2[[#This Row],[budget]])/Table2[[#This Row],[budget]]</f>
        <v>9</v>
      </c>
      <c r="N550" t="str">
        <f t="shared" si="25"/>
        <v>OK</v>
      </c>
      <c r="O550" s="2">
        <f t="shared" si="26"/>
        <v>1</v>
      </c>
    </row>
    <row r="551" spans="1:15" x14ac:dyDescent="0.3">
      <c r="A551" t="s">
        <v>569</v>
      </c>
      <c r="B551" s="1">
        <v>44983</v>
      </c>
      <c r="C551" s="1">
        <v>45225</v>
      </c>
      <c r="D551">
        <v>32177.54</v>
      </c>
      <c r="E551" s="2">
        <f>(Table2[[#This Row],[revenue]]-Table2[[#This Row],[budget]])/Table2[[#This Row],[budget]]</f>
        <v>13.440538338232196</v>
      </c>
      <c r="F551" t="s">
        <v>21</v>
      </c>
      <c r="G551" t="s">
        <v>12</v>
      </c>
      <c r="H551" t="s">
        <v>13</v>
      </c>
      <c r="I551">
        <v>0.5</v>
      </c>
      <c r="J551">
        <v>464661</v>
      </c>
      <c r="K551">
        <f>Table2[[#This Row],[revenue]]/Table2[[#This Row],[budget]]</f>
        <v>14.440538338232194</v>
      </c>
      <c r="L551" s="2">
        <f t="shared" si="24"/>
        <v>321775.40000000002</v>
      </c>
      <c r="M551" s="2">
        <f>(Table2[[#This Row],[Adjusted revenue]]-Table2[[#This Row],[budget]])/Table2[[#This Row],[budget]]</f>
        <v>9.0000000000000018</v>
      </c>
      <c r="N551" t="str">
        <f t="shared" si="25"/>
        <v>OK</v>
      </c>
      <c r="O551" s="2">
        <f t="shared" si="26"/>
        <v>1.0000000000000004</v>
      </c>
    </row>
    <row r="552" spans="1:15" x14ac:dyDescent="0.3">
      <c r="A552" t="s">
        <v>570</v>
      </c>
      <c r="B552" s="1">
        <v>44812</v>
      </c>
      <c r="C552" s="1">
        <v>45226</v>
      </c>
      <c r="D552">
        <v>90484.19</v>
      </c>
      <c r="E552" s="2">
        <f>(Table2[[#This Row],[revenue]]-Table2[[#This Row],[budget]])/Table2[[#This Row],[budget]]</f>
        <v>9.8584590302460562</v>
      </c>
      <c r="F552" t="s">
        <v>18</v>
      </c>
      <c r="G552" t="s">
        <v>15</v>
      </c>
      <c r="H552" t="s">
        <v>16</v>
      </c>
      <c r="I552">
        <v>0.54</v>
      </c>
      <c r="J552">
        <v>982518.87</v>
      </c>
      <c r="K552">
        <f>Table2[[#This Row],[revenue]]/Table2[[#This Row],[budget]]</f>
        <v>10.858459030246056</v>
      </c>
      <c r="L552" s="2">
        <f t="shared" si="24"/>
        <v>904841.9</v>
      </c>
      <c r="M552" s="2">
        <f>(Table2[[#This Row],[Adjusted revenue]]-Table2[[#This Row],[budget]])/Table2[[#This Row],[budget]]</f>
        <v>9</v>
      </c>
      <c r="N552" t="str">
        <f t="shared" si="25"/>
        <v>OK</v>
      </c>
      <c r="O552" s="2">
        <f t="shared" si="26"/>
        <v>1</v>
      </c>
    </row>
    <row r="553" spans="1:15" x14ac:dyDescent="0.3">
      <c r="A553" t="s">
        <v>571</v>
      </c>
      <c r="B553" s="1">
        <v>45004</v>
      </c>
      <c r="C553" s="1">
        <v>45320</v>
      </c>
      <c r="D553">
        <v>71007.37</v>
      </c>
      <c r="E553" s="2">
        <f>(Table2[[#This Row],[revenue]]-Table2[[#This Row],[budget]])/Table2[[#This Row],[budget]]</f>
        <v>9.9475924823014861</v>
      </c>
      <c r="F553" t="s">
        <v>11</v>
      </c>
      <c r="G553" t="s">
        <v>15</v>
      </c>
      <c r="H553" t="s">
        <v>19</v>
      </c>
      <c r="I553">
        <v>0.92</v>
      </c>
      <c r="J553">
        <v>777359.75</v>
      </c>
      <c r="K553">
        <f>Table2[[#This Row],[revenue]]/Table2[[#This Row],[budget]]</f>
        <v>10.947592482301486</v>
      </c>
      <c r="L553" s="2">
        <f t="shared" si="24"/>
        <v>710073.7</v>
      </c>
      <c r="M553" s="2">
        <f>(Table2[[#This Row],[Adjusted revenue]]-Table2[[#This Row],[budget]])/Table2[[#This Row],[budget]]</f>
        <v>9</v>
      </c>
      <c r="N553" t="str">
        <f t="shared" si="25"/>
        <v>OK</v>
      </c>
      <c r="O553" s="2">
        <f t="shared" si="26"/>
        <v>1</v>
      </c>
    </row>
    <row r="554" spans="1:15" x14ac:dyDescent="0.3">
      <c r="A554" t="s">
        <v>572</v>
      </c>
      <c r="B554" s="1">
        <v>44782</v>
      </c>
      <c r="C554" s="1">
        <v>45388</v>
      </c>
      <c r="D554">
        <v>65209.95</v>
      </c>
      <c r="E554" s="2">
        <f>(Table2[[#This Row],[revenue]]-Table2[[#This Row],[budget]])/Table2[[#This Row],[budget]]</f>
        <v>0.83795571074659625</v>
      </c>
      <c r="F554" t="s">
        <v>11</v>
      </c>
      <c r="G554" t="s">
        <v>12</v>
      </c>
      <c r="H554" t="s">
        <v>13</v>
      </c>
      <c r="I554">
        <v>0.48</v>
      </c>
      <c r="J554">
        <v>119853</v>
      </c>
      <c r="K554">
        <f>Table2[[#This Row],[revenue]]/Table2[[#This Row],[budget]]</f>
        <v>1.8379557107465962</v>
      </c>
      <c r="L554" s="2">
        <f t="shared" si="24"/>
        <v>119853</v>
      </c>
      <c r="M554" s="2">
        <f>(Table2[[#This Row],[Adjusted revenue]]-Table2[[#This Row],[budget]])/Table2[[#This Row],[budget]]</f>
        <v>0.83795571074659625</v>
      </c>
      <c r="N554" t="str">
        <f t="shared" si="25"/>
        <v>OK</v>
      </c>
      <c r="O554" s="2">
        <f t="shared" si="26"/>
        <v>-0.71832511352703232</v>
      </c>
    </row>
    <row r="555" spans="1:15" x14ac:dyDescent="0.3">
      <c r="A555" t="s">
        <v>573</v>
      </c>
      <c r="B555" s="1">
        <v>45045</v>
      </c>
      <c r="C555" s="1">
        <v>45335</v>
      </c>
      <c r="D555">
        <v>54554.48</v>
      </c>
      <c r="E555" s="2">
        <f>(Table2[[#This Row],[revenue]]-Table2[[#This Row],[budget]])/Table2[[#This Row],[budget]]</f>
        <v>3.0827299609491279</v>
      </c>
      <c r="F555" t="s">
        <v>18</v>
      </c>
      <c r="G555" t="s">
        <v>12</v>
      </c>
      <c r="H555" t="s">
        <v>16</v>
      </c>
      <c r="I555">
        <v>0.89</v>
      </c>
      <c r="J555">
        <v>222731.21</v>
      </c>
      <c r="K555">
        <f>Table2[[#This Row],[revenue]]/Table2[[#This Row],[budget]]</f>
        <v>4.0827299609491279</v>
      </c>
      <c r="L555" s="2">
        <f t="shared" si="24"/>
        <v>222731.21</v>
      </c>
      <c r="M555" s="2">
        <f>(Table2[[#This Row],[Adjusted revenue]]-Table2[[#This Row],[budget]])/Table2[[#This Row],[budget]]</f>
        <v>3.0827299609491279</v>
      </c>
      <c r="N555" t="str">
        <f t="shared" si="25"/>
        <v>OK</v>
      </c>
      <c r="O555" s="2">
        <f t="shared" si="26"/>
        <v>-0.24574106085281522</v>
      </c>
    </row>
    <row r="556" spans="1:15" x14ac:dyDescent="0.3">
      <c r="A556" t="s">
        <v>574</v>
      </c>
      <c r="B556" s="1">
        <v>44933</v>
      </c>
      <c r="C556" s="1">
        <v>45158</v>
      </c>
      <c r="D556">
        <v>18530.72</v>
      </c>
      <c r="E556" s="2">
        <f>(Table2[[#This Row],[revenue]]-Table2[[#This Row],[budget]])/Table2[[#This Row],[budget]]</f>
        <v>16.038393543262213</v>
      </c>
      <c r="F556" t="s">
        <v>23</v>
      </c>
      <c r="G556" t="s">
        <v>15</v>
      </c>
      <c r="H556" t="s">
        <v>16</v>
      </c>
      <c r="I556">
        <v>0.79</v>
      </c>
      <c r="J556">
        <v>315733.7</v>
      </c>
      <c r="K556">
        <f>Table2[[#This Row],[revenue]]/Table2[[#This Row],[budget]]</f>
        <v>17.038393543262217</v>
      </c>
      <c r="L556" s="2">
        <f t="shared" si="24"/>
        <v>185307.2</v>
      </c>
      <c r="M556" s="2">
        <f>(Table2[[#This Row],[Adjusted revenue]]-Table2[[#This Row],[budget]])/Table2[[#This Row],[budget]]</f>
        <v>9</v>
      </c>
      <c r="N556" t="str">
        <f t="shared" si="25"/>
        <v>OK</v>
      </c>
      <c r="O556" s="2">
        <f t="shared" si="26"/>
        <v>1</v>
      </c>
    </row>
    <row r="557" spans="1:15" x14ac:dyDescent="0.3">
      <c r="A557" t="s">
        <v>575</v>
      </c>
      <c r="B557" s="1">
        <v>44788</v>
      </c>
      <c r="C557" s="1">
        <v>45169</v>
      </c>
      <c r="D557">
        <v>56508.18</v>
      </c>
      <c r="E557" s="2">
        <f>(Table2[[#This Row],[revenue]]-Table2[[#This Row],[budget]])/Table2[[#This Row],[budget]]</f>
        <v>13.858386874254311</v>
      </c>
      <c r="F557" t="s">
        <v>21</v>
      </c>
      <c r="G557" t="s">
        <v>12</v>
      </c>
      <c r="H557" t="s">
        <v>19</v>
      </c>
      <c r="I557">
        <v>0.71</v>
      </c>
      <c r="J557">
        <v>839620.4</v>
      </c>
      <c r="K557">
        <f>Table2[[#This Row],[revenue]]/Table2[[#This Row],[budget]]</f>
        <v>14.858386874254311</v>
      </c>
      <c r="L557" s="2">
        <f t="shared" si="24"/>
        <v>565081.80000000005</v>
      </c>
      <c r="M557" s="2">
        <f>(Table2[[#This Row],[Adjusted revenue]]-Table2[[#This Row],[budget]])/Table2[[#This Row],[budget]]</f>
        <v>9.0000000000000018</v>
      </c>
      <c r="N557" t="str">
        <f t="shared" si="25"/>
        <v>OK</v>
      </c>
      <c r="O557" s="2">
        <f t="shared" si="26"/>
        <v>1.0000000000000004</v>
      </c>
    </row>
    <row r="558" spans="1:15" x14ac:dyDescent="0.3">
      <c r="A558" t="s">
        <v>576</v>
      </c>
      <c r="B558" s="1">
        <v>44781</v>
      </c>
      <c r="C558" s="1">
        <v>45432</v>
      </c>
      <c r="D558">
        <v>23692.97</v>
      </c>
      <c r="E558" s="2">
        <f>(Table2[[#This Row],[revenue]]-Table2[[#This Row],[budget]])/Table2[[#This Row],[budget]]</f>
        <v>28.076182935275739</v>
      </c>
      <c r="F558" t="s">
        <v>21</v>
      </c>
      <c r="G558" t="s">
        <v>12</v>
      </c>
      <c r="H558" t="s">
        <v>13</v>
      </c>
      <c r="I558">
        <v>0.77</v>
      </c>
      <c r="J558">
        <v>688901.13</v>
      </c>
      <c r="K558">
        <f>Table2[[#This Row],[revenue]]/Table2[[#This Row],[budget]]</f>
        <v>29.076182935275735</v>
      </c>
      <c r="L558" s="2">
        <f t="shared" si="24"/>
        <v>236929.7</v>
      </c>
      <c r="M558" s="2">
        <f>(Table2[[#This Row],[Adjusted revenue]]-Table2[[#This Row],[budget]])/Table2[[#This Row],[budget]]</f>
        <v>9</v>
      </c>
      <c r="N558" t="str">
        <f t="shared" si="25"/>
        <v>OK</v>
      </c>
      <c r="O558" s="2">
        <f t="shared" si="26"/>
        <v>1</v>
      </c>
    </row>
    <row r="559" spans="1:15" x14ac:dyDescent="0.3">
      <c r="A559" t="s">
        <v>577</v>
      </c>
      <c r="B559" s="1">
        <v>44890</v>
      </c>
      <c r="C559" s="1">
        <v>45403</v>
      </c>
      <c r="D559">
        <v>74431.67</v>
      </c>
      <c r="E559" s="2">
        <f>(Table2[[#This Row],[revenue]]-Table2[[#This Row],[budget]])/Table2[[#This Row],[budget]]</f>
        <v>-0.71813973809804343</v>
      </c>
      <c r="F559" t="s">
        <v>11</v>
      </c>
      <c r="G559" t="s">
        <v>12</v>
      </c>
      <c r="H559" t="s">
        <v>16</v>
      </c>
      <c r="I559">
        <v>0.52</v>
      </c>
      <c r="J559">
        <v>20979.33</v>
      </c>
      <c r="K559">
        <f>Table2[[#This Row],[revenue]]/Table2[[#This Row],[budget]]</f>
        <v>0.28186026190195657</v>
      </c>
      <c r="L559" s="2">
        <f t="shared" si="24"/>
        <v>37215.834999999999</v>
      </c>
      <c r="M559" s="2">
        <f>(Table2[[#This Row],[Adjusted revenue]]-Table2[[#This Row],[budget]])/Table2[[#This Row],[budget]]</f>
        <v>-0.5</v>
      </c>
      <c r="N559" t="str">
        <f t="shared" si="25"/>
        <v>Failed</v>
      </c>
      <c r="O559" s="2">
        <f t="shared" si="26"/>
        <v>-1</v>
      </c>
    </row>
    <row r="560" spans="1:15" x14ac:dyDescent="0.3">
      <c r="A560" t="s">
        <v>578</v>
      </c>
      <c r="B560" s="1">
        <v>45002</v>
      </c>
      <c r="C560" s="1">
        <v>45265</v>
      </c>
      <c r="D560">
        <v>6793.37</v>
      </c>
      <c r="E560" s="2">
        <f>(Table2[[#This Row],[revenue]]-Table2[[#This Row],[budget]])/Table2[[#This Row],[budget]]</f>
        <v>57.400206377688839</v>
      </c>
      <c r="F560" t="s">
        <v>11</v>
      </c>
      <c r="G560" t="s">
        <v>15</v>
      </c>
      <c r="H560" t="s">
        <v>19</v>
      </c>
      <c r="I560">
        <v>0.72</v>
      </c>
      <c r="J560">
        <v>396734.21</v>
      </c>
      <c r="K560">
        <f>Table2[[#This Row],[revenue]]/Table2[[#This Row],[budget]]</f>
        <v>58.400206377688839</v>
      </c>
      <c r="L560" s="2">
        <f t="shared" si="24"/>
        <v>67933.7</v>
      </c>
      <c r="M560" s="2">
        <f>(Table2[[#This Row],[Adjusted revenue]]-Table2[[#This Row],[budget]])/Table2[[#This Row],[budget]]</f>
        <v>9</v>
      </c>
      <c r="N560" t="str">
        <f t="shared" si="25"/>
        <v>OK</v>
      </c>
      <c r="O560" s="2">
        <f t="shared" si="26"/>
        <v>1</v>
      </c>
    </row>
    <row r="561" spans="1:15" x14ac:dyDescent="0.3">
      <c r="A561" t="s">
        <v>579</v>
      </c>
      <c r="B561" s="1">
        <v>45015</v>
      </c>
      <c r="C561" s="1">
        <v>45334</v>
      </c>
      <c r="D561">
        <v>69644.399999999994</v>
      </c>
      <c r="E561" s="2">
        <f>(Table2[[#This Row],[revenue]]-Table2[[#This Row],[budget]])/Table2[[#This Row],[budget]]</f>
        <v>5.1246576896347733</v>
      </c>
      <c r="F561" t="s">
        <v>18</v>
      </c>
      <c r="G561" t="s">
        <v>12</v>
      </c>
      <c r="H561" t="s">
        <v>25</v>
      </c>
      <c r="I561">
        <v>0.2</v>
      </c>
      <c r="J561">
        <v>426548.11</v>
      </c>
      <c r="K561">
        <f>Table2[[#This Row],[revenue]]/Table2[[#This Row],[budget]]</f>
        <v>6.1246576896347733</v>
      </c>
      <c r="L561" s="2">
        <f t="shared" si="24"/>
        <v>426548.11</v>
      </c>
      <c r="M561" s="2">
        <f>(Table2[[#This Row],[Adjusted revenue]]-Table2[[#This Row],[budget]])/Table2[[#This Row],[budget]]</f>
        <v>5.1246576896347733</v>
      </c>
      <c r="N561" t="str">
        <f t="shared" si="25"/>
        <v>OK</v>
      </c>
      <c r="O561" s="2">
        <f t="shared" si="26"/>
        <v>0.18413846097574171</v>
      </c>
    </row>
    <row r="562" spans="1:15" x14ac:dyDescent="0.3">
      <c r="A562" t="s">
        <v>580</v>
      </c>
      <c r="B562" s="1">
        <v>45069</v>
      </c>
      <c r="C562" s="1">
        <v>45459</v>
      </c>
      <c r="D562">
        <v>66054.48</v>
      </c>
      <c r="E562" s="2">
        <f>(Table2[[#This Row],[revenue]]-Table2[[#This Row],[budget]])/Table2[[#This Row],[budget]]</f>
        <v>12.106674974960065</v>
      </c>
      <c r="F562" t="s">
        <v>11</v>
      </c>
      <c r="G562" t="s">
        <v>12</v>
      </c>
      <c r="H562" t="s">
        <v>19</v>
      </c>
      <c r="I562">
        <v>0.31</v>
      </c>
      <c r="J562">
        <v>865754.6</v>
      </c>
      <c r="K562">
        <f>Table2[[#This Row],[revenue]]/Table2[[#This Row],[budget]]</f>
        <v>13.106674974960063</v>
      </c>
      <c r="L562" s="2">
        <f t="shared" si="24"/>
        <v>660544.79999999993</v>
      </c>
      <c r="M562" s="2">
        <f>(Table2[[#This Row],[Adjusted revenue]]-Table2[[#This Row],[budget]])/Table2[[#This Row],[budget]]</f>
        <v>9</v>
      </c>
      <c r="N562" t="str">
        <f t="shared" si="25"/>
        <v>OK</v>
      </c>
      <c r="O562" s="2">
        <f t="shared" si="26"/>
        <v>1</v>
      </c>
    </row>
    <row r="563" spans="1:15" x14ac:dyDescent="0.3">
      <c r="A563" t="s">
        <v>581</v>
      </c>
      <c r="B563" s="1">
        <v>44860</v>
      </c>
      <c r="C563" s="1">
        <v>45285</v>
      </c>
      <c r="D563">
        <v>68408.100000000006</v>
      </c>
      <c r="E563" s="2">
        <f>(Table2[[#This Row],[revenue]]-Table2[[#This Row],[budget]])/Table2[[#This Row],[budget]]</f>
        <v>1.238368117225884</v>
      </c>
      <c r="F563" t="s">
        <v>21</v>
      </c>
      <c r="G563" t="s">
        <v>12</v>
      </c>
      <c r="H563" t="s">
        <v>25</v>
      </c>
      <c r="I563">
        <v>0.11</v>
      </c>
      <c r="J563">
        <v>153122.51</v>
      </c>
      <c r="K563">
        <f>Table2[[#This Row],[revenue]]/Table2[[#This Row],[budget]]</f>
        <v>2.238368117225884</v>
      </c>
      <c r="L563" s="2">
        <f t="shared" si="24"/>
        <v>153122.51</v>
      </c>
      <c r="M563" s="2">
        <f>(Table2[[#This Row],[Adjusted revenue]]-Table2[[#This Row],[budget]])/Table2[[#This Row],[budget]]</f>
        <v>1.238368117225884</v>
      </c>
      <c r="N563" t="str">
        <f t="shared" si="25"/>
        <v>OK</v>
      </c>
      <c r="O563" s="2">
        <f t="shared" si="26"/>
        <v>-0.6340277647945507</v>
      </c>
    </row>
    <row r="564" spans="1:15" x14ac:dyDescent="0.3">
      <c r="A564" t="s">
        <v>582</v>
      </c>
      <c r="B564" s="1">
        <v>44799</v>
      </c>
      <c r="C564" s="1">
        <v>45405</v>
      </c>
      <c r="D564">
        <v>44314.41</v>
      </c>
      <c r="E564" s="2">
        <f>(Table2[[#This Row],[revenue]]-Table2[[#This Row],[budget]])/Table2[[#This Row],[budget]]</f>
        <v>9.4161413860638099</v>
      </c>
      <c r="F564" t="s">
        <v>18</v>
      </c>
      <c r="G564" t="s">
        <v>12</v>
      </c>
      <c r="H564" t="s">
        <v>13</v>
      </c>
      <c r="I564">
        <v>0.53</v>
      </c>
      <c r="J564">
        <v>461585.16</v>
      </c>
      <c r="K564">
        <f>Table2[[#This Row],[revenue]]/Table2[[#This Row],[budget]]</f>
        <v>10.41614138606381</v>
      </c>
      <c r="L564" s="2">
        <f t="shared" si="24"/>
        <v>443144.10000000003</v>
      </c>
      <c r="M564" s="2">
        <f>(Table2[[#This Row],[Adjusted revenue]]-Table2[[#This Row],[budget]])/Table2[[#This Row],[budget]]</f>
        <v>9</v>
      </c>
      <c r="N564" t="str">
        <f t="shared" si="25"/>
        <v>OK</v>
      </c>
      <c r="O564" s="2">
        <f t="shared" si="26"/>
        <v>1</v>
      </c>
    </row>
    <row r="565" spans="1:15" x14ac:dyDescent="0.3">
      <c r="A565" t="s">
        <v>583</v>
      </c>
      <c r="B565" s="1">
        <v>44878</v>
      </c>
      <c r="C565" s="1">
        <v>45497</v>
      </c>
      <c r="D565">
        <v>31427.3</v>
      </c>
      <c r="E565" s="2">
        <f>(Table2[[#This Row],[revenue]]-Table2[[#This Row],[budget]])/Table2[[#This Row],[budget]]</f>
        <v>4.5088302208589353</v>
      </c>
      <c r="F565" t="s">
        <v>23</v>
      </c>
      <c r="G565" t="s">
        <v>15</v>
      </c>
      <c r="H565" t="s">
        <v>16</v>
      </c>
      <c r="I565">
        <v>0.39</v>
      </c>
      <c r="J565">
        <v>173127.66</v>
      </c>
      <c r="K565">
        <f>Table2[[#This Row],[revenue]]/Table2[[#This Row],[budget]]</f>
        <v>5.5088302208589353</v>
      </c>
      <c r="L565" s="2">
        <f t="shared" si="24"/>
        <v>173127.66</v>
      </c>
      <c r="M565" s="2">
        <f>(Table2[[#This Row],[Adjusted revenue]]-Table2[[#This Row],[budget]])/Table2[[#This Row],[budget]]</f>
        <v>4.5088302208589353</v>
      </c>
      <c r="N565" t="str">
        <f t="shared" si="25"/>
        <v>OK</v>
      </c>
      <c r="O565" s="2">
        <f t="shared" si="26"/>
        <v>5.4490572812407434E-2</v>
      </c>
    </row>
    <row r="566" spans="1:15" x14ac:dyDescent="0.3">
      <c r="A566" t="s">
        <v>584</v>
      </c>
      <c r="B566" s="1">
        <v>44798</v>
      </c>
      <c r="C566" s="1">
        <v>45299</v>
      </c>
      <c r="D566">
        <v>80418.44</v>
      </c>
      <c r="E566" s="2">
        <f>(Table2[[#This Row],[revenue]]-Table2[[#This Row],[budget]])/Table2[[#This Row],[budget]]</f>
        <v>4.9214893996948961</v>
      </c>
      <c r="F566" t="s">
        <v>21</v>
      </c>
      <c r="G566" t="s">
        <v>12</v>
      </c>
      <c r="H566" t="s">
        <v>16</v>
      </c>
      <c r="I566">
        <v>0.91</v>
      </c>
      <c r="J566">
        <v>476196.94</v>
      </c>
      <c r="K566">
        <f>Table2[[#This Row],[revenue]]/Table2[[#This Row],[budget]]</f>
        <v>5.9214893996948961</v>
      </c>
      <c r="L566" s="2">
        <f t="shared" si="24"/>
        <v>476196.94</v>
      </c>
      <c r="M566" s="2">
        <f>(Table2[[#This Row],[Adjusted revenue]]-Table2[[#This Row],[budget]])/Table2[[#This Row],[budget]]</f>
        <v>4.9214893996948961</v>
      </c>
      <c r="N566" t="str">
        <f t="shared" si="25"/>
        <v>OK</v>
      </c>
      <c r="O566" s="2">
        <f t="shared" si="26"/>
        <v>0.14136618940945178</v>
      </c>
    </row>
    <row r="567" spans="1:15" x14ac:dyDescent="0.3">
      <c r="A567" t="s">
        <v>585</v>
      </c>
      <c r="B567" s="1">
        <v>44827</v>
      </c>
      <c r="C567" s="1">
        <v>45273</v>
      </c>
      <c r="D567">
        <v>20633.509999999998</v>
      </c>
      <c r="E567" s="2">
        <f>(Table2[[#This Row],[revenue]]-Table2[[#This Row],[budget]])/Table2[[#This Row],[budget]]</f>
        <v>18.388499581506007</v>
      </c>
      <c r="F567" t="s">
        <v>21</v>
      </c>
      <c r="G567" t="s">
        <v>15</v>
      </c>
      <c r="H567" t="s">
        <v>13</v>
      </c>
      <c r="I567">
        <v>0.51</v>
      </c>
      <c r="J567">
        <v>400052.8</v>
      </c>
      <c r="K567">
        <f>Table2[[#This Row],[revenue]]/Table2[[#This Row],[budget]]</f>
        <v>19.388499581506007</v>
      </c>
      <c r="L567" s="2">
        <f t="shared" si="24"/>
        <v>206335.09999999998</v>
      </c>
      <c r="M567" s="2">
        <f>(Table2[[#This Row],[Adjusted revenue]]-Table2[[#This Row],[budget]])/Table2[[#This Row],[budget]]</f>
        <v>9</v>
      </c>
      <c r="N567" t="str">
        <f t="shared" si="25"/>
        <v>OK</v>
      </c>
      <c r="O567" s="2">
        <f t="shared" si="26"/>
        <v>1</v>
      </c>
    </row>
    <row r="568" spans="1:15" x14ac:dyDescent="0.3">
      <c r="A568" t="s">
        <v>586</v>
      </c>
      <c r="B568" s="1">
        <v>44883</v>
      </c>
      <c r="C568" s="1">
        <v>45431</v>
      </c>
      <c r="D568">
        <v>2792.69</v>
      </c>
      <c r="E568" s="2">
        <f>(Table2[[#This Row],[revenue]]-Table2[[#This Row],[budget]])/Table2[[#This Row],[budget]]</f>
        <v>179.22754405250851</v>
      </c>
      <c r="F568" t="s">
        <v>21</v>
      </c>
      <c r="G568" t="s">
        <v>15</v>
      </c>
      <c r="H568" t="s">
        <v>25</v>
      </c>
      <c r="I568">
        <v>0.43</v>
      </c>
      <c r="J568">
        <v>503319.66</v>
      </c>
      <c r="K568">
        <f>Table2[[#This Row],[revenue]]/Table2[[#This Row],[budget]]</f>
        <v>180.22754405250851</v>
      </c>
      <c r="L568" s="2">
        <f t="shared" si="24"/>
        <v>27926.9</v>
      </c>
      <c r="M568" s="2">
        <f>(Table2[[#This Row],[Adjusted revenue]]-Table2[[#This Row],[budget]])/Table2[[#This Row],[budget]]</f>
        <v>9</v>
      </c>
      <c r="N568" t="str">
        <f t="shared" si="25"/>
        <v>OK</v>
      </c>
      <c r="O568" s="2">
        <f t="shared" si="26"/>
        <v>1</v>
      </c>
    </row>
    <row r="569" spans="1:15" x14ac:dyDescent="0.3">
      <c r="A569" t="s">
        <v>587</v>
      </c>
      <c r="B569" s="1">
        <v>44928</v>
      </c>
      <c r="C569" s="1">
        <v>45229</v>
      </c>
      <c r="D569">
        <v>8053.59</v>
      </c>
      <c r="E569" s="2">
        <f>(Table2[[#This Row],[revenue]]-Table2[[#This Row],[budget]])/Table2[[#This Row],[budget]]</f>
        <v>96.025258300956466</v>
      </c>
      <c r="F569" t="s">
        <v>11</v>
      </c>
      <c r="G569" t="s">
        <v>12</v>
      </c>
      <c r="H569" t="s">
        <v>13</v>
      </c>
      <c r="I569">
        <v>0.46</v>
      </c>
      <c r="J569">
        <v>781401.65</v>
      </c>
      <c r="K569">
        <f>Table2[[#This Row],[revenue]]/Table2[[#This Row],[budget]]</f>
        <v>97.025258300956466</v>
      </c>
      <c r="L569" s="2">
        <f t="shared" si="24"/>
        <v>80535.899999999994</v>
      </c>
      <c r="M569" s="2">
        <f>(Table2[[#This Row],[Adjusted revenue]]-Table2[[#This Row],[budget]])/Table2[[#This Row],[budget]]</f>
        <v>9</v>
      </c>
      <c r="N569" t="str">
        <f t="shared" si="25"/>
        <v>OK</v>
      </c>
      <c r="O569" s="2">
        <f t="shared" si="26"/>
        <v>1</v>
      </c>
    </row>
    <row r="570" spans="1:15" x14ac:dyDescent="0.3">
      <c r="A570" t="s">
        <v>588</v>
      </c>
      <c r="B570" s="1">
        <v>45002</v>
      </c>
      <c r="C570" s="1">
        <v>45240</v>
      </c>
      <c r="D570">
        <v>62167.9</v>
      </c>
      <c r="E570" s="2">
        <f>(Table2[[#This Row],[revenue]]-Table2[[#This Row],[budget]])/Table2[[#This Row],[budget]]</f>
        <v>5.7538414519390226</v>
      </c>
      <c r="F570" t="s">
        <v>11</v>
      </c>
      <c r="G570" t="s">
        <v>15</v>
      </c>
      <c r="H570" t="s">
        <v>19</v>
      </c>
      <c r="I570">
        <v>0.85</v>
      </c>
      <c r="J570">
        <v>419872.14</v>
      </c>
      <c r="K570">
        <f>Table2[[#This Row],[revenue]]/Table2[[#This Row],[budget]]</f>
        <v>6.7538414519390235</v>
      </c>
      <c r="L570" s="2">
        <f t="shared" si="24"/>
        <v>419872.14</v>
      </c>
      <c r="M570" s="2">
        <f>(Table2[[#This Row],[Adjusted revenue]]-Table2[[#This Row],[budget]])/Table2[[#This Row],[budget]]</f>
        <v>5.7538414519390226</v>
      </c>
      <c r="N570" t="str">
        <f t="shared" si="25"/>
        <v>OK</v>
      </c>
      <c r="O570" s="2">
        <f t="shared" si="26"/>
        <v>0.31659820040821529</v>
      </c>
    </row>
    <row r="571" spans="1:15" x14ac:dyDescent="0.3">
      <c r="A571" t="s">
        <v>589</v>
      </c>
      <c r="B571" s="1">
        <v>45075</v>
      </c>
      <c r="C571" s="1">
        <v>45276</v>
      </c>
      <c r="D571">
        <v>63741.760000000002</v>
      </c>
      <c r="E571" s="2">
        <f>(Table2[[#This Row],[revenue]]-Table2[[#This Row],[budget]])/Table2[[#This Row],[budget]]</f>
        <v>1.2179563287866539</v>
      </c>
      <c r="F571" t="s">
        <v>23</v>
      </c>
      <c r="G571" t="s">
        <v>15</v>
      </c>
      <c r="H571" t="s">
        <v>16</v>
      </c>
      <c r="I571">
        <v>0.1</v>
      </c>
      <c r="J571">
        <v>141376.44</v>
      </c>
      <c r="K571">
        <f>Table2[[#This Row],[revenue]]/Table2[[#This Row],[budget]]</f>
        <v>2.2179563287866539</v>
      </c>
      <c r="L571" s="2">
        <f t="shared" si="24"/>
        <v>141376.44</v>
      </c>
      <c r="M571" s="2">
        <f>(Table2[[#This Row],[Adjusted revenue]]-Table2[[#This Row],[budget]])/Table2[[#This Row],[budget]]</f>
        <v>1.2179563287866539</v>
      </c>
      <c r="N571" t="str">
        <f t="shared" si="25"/>
        <v>OK</v>
      </c>
      <c r="O571" s="2">
        <f t="shared" si="26"/>
        <v>-0.63832498341333599</v>
      </c>
    </row>
    <row r="572" spans="1:15" x14ac:dyDescent="0.3">
      <c r="A572" t="s">
        <v>590</v>
      </c>
      <c r="B572" s="1">
        <v>44825</v>
      </c>
      <c r="C572" s="1">
        <v>45461</v>
      </c>
      <c r="D572">
        <v>49202.14</v>
      </c>
      <c r="E572" s="2">
        <f>(Table2[[#This Row],[revenue]]-Table2[[#This Row],[budget]])/Table2[[#This Row],[budget]]</f>
        <v>10.467382109802541</v>
      </c>
      <c r="F572" t="s">
        <v>11</v>
      </c>
      <c r="G572" t="s">
        <v>12</v>
      </c>
      <c r="H572" t="s">
        <v>16</v>
      </c>
      <c r="I572">
        <v>0.9</v>
      </c>
      <c r="J572">
        <v>564219.74</v>
      </c>
      <c r="K572">
        <f>Table2[[#This Row],[revenue]]/Table2[[#This Row],[budget]]</f>
        <v>11.467382109802541</v>
      </c>
      <c r="L572" s="2">
        <f t="shared" si="24"/>
        <v>492021.4</v>
      </c>
      <c r="M572" s="2">
        <f>(Table2[[#This Row],[Adjusted revenue]]-Table2[[#This Row],[budget]])/Table2[[#This Row],[budget]]</f>
        <v>9</v>
      </c>
      <c r="N572" t="str">
        <f t="shared" si="25"/>
        <v>OK</v>
      </c>
      <c r="O572" s="2">
        <f t="shared" si="26"/>
        <v>1</v>
      </c>
    </row>
    <row r="573" spans="1:15" x14ac:dyDescent="0.3">
      <c r="A573" t="s">
        <v>591</v>
      </c>
      <c r="B573" s="1">
        <v>45025</v>
      </c>
      <c r="C573" s="1">
        <v>45248</v>
      </c>
      <c r="D573">
        <v>44567.53</v>
      </c>
      <c r="E573" s="2">
        <f>(Table2[[#This Row],[revenue]]-Table2[[#This Row],[budget]])/Table2[[#This Row],[budget]]</f>
        <v>3.7512727315155225</v>
      </c>
      <c r="F573" t="s">
        <v>18</v>
      </c>
      <c r="G573" t="s">
        <v>12</v>
      </c>
      <c r="H573" t="s">
        <v>25</v>
      </c>
      <c r="I573">
        <v>0.7</v>
      </c>
      <c r="J573">
        <v>211752.49</v>
      </c>
      <c r="K573">
        <f>Table2[[#This Row],[revenue]]/Table2[[#This Row],[budget]]</f>
        <v>4.7512727315155221</v>
      </c>
      <c r="L573" s="2">
        <f t="shared" si="24"/>
        <v>211752.49</v>
      </c>
      <c r="M573" s="2">
        <f>(Table2[[#This Row],[Adjusted revenue]]-Table2[[#This Row],[budget]])/Table2[[#This Row],[budget]]</f>
        <v>3.7512727315155225</v>
      </c>
      <c r="N573" t="str">
        <f t="shared" si="25"/>
        <v>OK</v>
      </c>
      <c r="O573" s="2">
        <f t="shared" si="26"/>
        <v>-0.10499521441778481</v>
      </c>
    </row>
    <row r="574" spans="1:15" x14ac:dyDescent="0.3">
      <c r="A574" t="s">
        <v>592</v>
      </c>
      <c r="B574" s="1">
        <v>45032</v>
      </c>
      <c r="C574" s="1">
        <v>45178</v>
      </c>
      <c r="D574">
        <v>89826.92</v>
      </c>
      <c r="E574" s="2">
        <f>(Table2[[#This Row],[revenue]]-Table2[[#This Row],[budget]])/Table2[[#This Row],[budget]]</f>
        <v>6.94451807988073</v>
      </c>
      <c r="F574" t="s">
        <v>21</v>
      </c>
      <c r="G574" t="s">
        <v>12</v>
      </c>
      <c r="H574" t="s">
        <v>16</v>
      </c>
      <c r="I574">
        <v>0.52</v>
      </c>
      <c r="J574">
        <v>713631.59</v>
      </c>
      <c r="K574">
        <f>Table2[[#This Row],[revenue]]/Table2[[#This Row],[budget]]</f>
        <v>7.94451807988073</v>
      </c>
      <c r="L574" s="2">
        <f t="shared" si="24"/>
        <v>713631.59</v>
      </c>
      <c r="M574" s="2">
        <f>(Table2[[#This Row],[Adjusted revenue]]-Table2[[#This Row],[budget]])/Table2[[#This Row],[budget]]</f>
        <v>6.94451807988073</v>
      </c>
      <c r="N574" t="str">
        <f t="shared" si="25"/>
        <v>OK</v>
      </c>
      <c r="O574" s="2">
        <f t="shared" si="26"/>
        <v>0.56726696418541689</v>
      </c>
    </row>
    <row r="575" spans="1:15" x14ac:dyDescent="0.3">
      <c r="A575" t="s">
        <v>593</v>
      </c>
      <c r="B575" s="1">
        <v>45028</v>
      </c>
      <c r="C575" s="1">
        <v>45381</v>
      </c>
      <c r="D575">
        <v>86447.45</v>
      </c>
      <c r="E575" s="2">
        <f>(Table2[[#This Row],[revenue]]-Table2[[#This Row],[budget]])/Table2[[#This Row],[budget]]</f>
        <v>7.8582733209597286</v>
      </c>
      <c r="F575" t="s">
        <v>21</v>
      </c>
      <c r="G575" t="s">
        <v>15</v>
      </c>
      <c r="H575" t="s">
        <v>25</v>
      </c>
      <c r="I575">
        <v>0.65</v>
      </c>
      <c r="J575">
        <v>765775.14</v>
      </c>
      <c r="K575">
        <f>Table2[[#This Row],[revenue]]/Table2[[#This Row],[budget]]</f>
        <v>8.8582733209597286</v>
      </c>
      <c r="L575" s="2">
        <f t="shared" si="24"/>
        <v>765775.14</v>
      </c>
      <c r="M575" s="2">
        <f>(Table2[[#This Row],[Adjusted revenue]]-Table2[[#This Row],[budget]])/Table2[[#This Row],[budget]]</f>
        <v>7.8582733209597286</v>
      </c>
      <c r="N575" t="str">
        <f t="shared" si="25"/>
        <v>OK</v>
      </c>
      <c r="O575" s="2">
        <f t="shared" si="26"/>
        <v>0.75963648862310085</v>
      </c>
    </row>
    <row r="576" spans="1:15" x14ac:dyDescent="0.3">
      <c r="A576" t="s">
        <v>594</v>
      </c>
      <c r="B576" s="1">
        <v>44776</v>
      </c>
      <c r="C576" s="1">
        <v>45380</v>
      </c>
      <c r="D576">
        <v>11421.4</v>
      </c>
      <c r="E576" s="2">
        <f>(Table2[[#This Row],[revenue]]-Table2[[#This Row],[budget]])/Table2[[#This Row],[budget]]</f>
        <v>22.210756124468105</v>
      </c>
      <c r="F576" t="s">
        <v>23</v>
      </c>
      <c r="G576" t="s">
        <v>12</v>
      </c>
      <c r="H576" t="s">
        <v>25</v>
      </c>
      <c r="I576">
        <v>0.4</v>
      </c>
      <c r="J576">
        <v>265099.33</v>
      </c>
      <c r="K576">
        <f>Table2[[#This Row],[revenue]]/Table2[[#This Row],[budget]]</f>
        <v>23.210756124468105</v>
      </c>
      <c r="L576" s="2">
        <f t="shared" si="24"/>
        <v>114214</v>
      </c>
      <c r="M576" s="2">
        <f>(Table2[[#This Row],[Adjusted revenue]]-Table2[[#This Row],[budget]])/Table2[[#This Row],[budget]]</f>
        <v>9</v>
      </c>
      <c r="N576" t="str">
        <f t="shared" si="25"/>
        <v>OK</v>
      </c>
      <c r="O576" s="2">
        <f t="shared" si="26"/>
        <v>1</v>
      </c>
    </row>
    <row r="577" spans="1:15" x14ac:dyDescent="0.3">
      <c r="A577" t="s">
        <v>595</v>
      </c>
      <c r="B577" s="1">
        <v>45120</v>
      </c>
      <c r="C577" s="1">
        <v>45456</v>
      </c>
      <c r="D577">
        <v>68334.64</v>
      </c>
      <c r="E577" s="2">
        <f>(Table2[[#This Row],[revenue]]-Table2[[#This Row],[budget]])/Table2[[#This Row],[budget]]</f>
        <v>1.4813154792357139</v>
      </c>
      <c r="F577" t="s">
        <v>23</v>
      </c>
      <c r="G577" t="s">
        <v>15</v>
      </c>
      <c r="H577" t="s">
        <v>16</v>
      </c>
      <c r="I577">
        <v>0.97</v>
      </c>
      <c r="J577">
        <v>169559.8</v>
      </c>
      <c r="K577">
        <f>Table2[[#This Row],[revenue]]/Table2[[#This Row],[budget]]</f>
        <v>2.4813154792357142</v>
      </c>
      <c r="L577" s="2">
        <f t="shared" si="24"/>
        <v>169559.8</v>
      </c>
      <c r="M577" s="2">
        <f>(Table2[[#This Row],[Adjusted revenue]]-Table2[[#This Row],[budget]])/Table2[[#This Row],[budget]]</f>
        <v>1.4813154792357139</v>
      </c>
      <c r="N577" t="str">
        <f t="shared" si="25"/>
        <v>OK</v>
      </c>
      <c r="O577" s="2">
        <f t="shared" si="26"/>
        <v>-0.58288095173984966</v>
      </c>
    </row>
    <row r="578" spans="1:15" x14ac:dyDescent="0.3">
      <c r="A578" t="s">
        <v>596</v>
      </c>
      <c r="B578" s="1">
        <v>45029</v>
      </c>
      <c r="C578" s="1">
        <v>45470</v>
      </c>
      <c r="D578">
        <v>21878.6</v>
      </c>
      <c r="E578" s="2">
        <f>(Table2[[#This Row],[revenue]]-Table2[[#This Row],[budget]])/Table2[[#This Row],[budget]]</f>
        <v>20.245573757004564</v>
      </c>
      <c r="F578" t="s">
        <v>18</v>
      </c>
      <c r="G578" t="s">
        <v>12</v>
      </c>
      <c r="H578" t="s">
        <v>19</v>
      </c>
      <c r="I578">
        <v>0.8</v>
      </c>
      <c r="J578">
        <v>464823.41</v>
      </c>
      <c r="K578">
        <f>Table2[[#This Row],[revenue]]/Table2[[#This Row],[budget]]</f>
        <v>21.245573757004561</v>
      </c>
      <c r="L578" s="2">
        <f t="shared" ref="L578:L641" si="27">MIN(MAX(J578, D578*0.5), D578*10)</f>
        <v>218786</v>
      </c>
      <c r="M578" s="2">
        <f>(Table2[[#This Row],[Adjusted revenue]]-Table2[[#This Row],[budget]])/Table2[[#This Row],[budget]]</f>
        <v>9</v>
      </c>
      <c r="N578" t="str">
        <f t="shared" ref="N578:N641" si="28">IF(M578&lt;0.5,"Failed",IF(M578&gt;10,"Suspicious","OK"))</f>
        <v>OK</v>
      </c>
      <c r="O578" s="2">
        <f t="shared" ref="O578:O641" si="29">((M578 - (-0.5)) / (9 - (-0.5))) * (1 - (-1)) + (-1)</f>
        <v>1</v>
      </c>
    </row>
    <row r="579" spans="1:15" x14ac:dyDescent="0.3">
      <c r="A579" t="s">
        <v>597</v>
      </c>
      <c r="B579" s="1">
        <v>44988</v>
      </c>
      <c r="C579" s="1">
        <v>45440</v>
      </c>
      <c r="D579">
        <v>12949.94</v>
      </c>
      <c r="E579" s="2">
        <f>(Table2[[#This Row],[revenue]]-Table2[[#This Row],[budget]])/Table2[[#This Row],[budget]]</f>
        <v>37.216851969970513</v>
      </c>
      <c r="F579" t="s">
        <v>23</v>
      </c>
      <c r="G579" t="s">
        <v>12</v>
      </c>
      <c r="H579" t="s">
        <v>25</v>
      </c>
      <c r="I579">
        <v>0.77</v>
      </c>
      <c r="J579">
        <v>494905.94</v>
      </c>
      <c r="K579">
        <f>Table2[[#This Row],[revenue]]/Table2[[#This Row],[budget]]</f>
        <v>38.216851969970513</v>
      </c>
      <c r="L579" s="2">
        <f t="shared" si="27"/>
        <v>129499.40000000001</v>
      </c>
      <c r="M579" s="2">
        <f>(Table2[[#This Row],[Adjusted revenue]]-Table2[[#This Row],[budget]])/Table2[[#This Row],[budget]]</f>
        <v>9</v>
      </c>
      <c r="N579" t="str">
        <f t="shared" si="28"/>
        <v>OK</v>
      </c>
      <c r="O579" s="2">
        <f t="shared" si="29"/>
        <v>1</v>
      </c>
    </row>
    <row r="580" spans="1:15" x14ac:dyDescent="0.3">
      <c r="A580" t="s">
        <v>598</v>
      </c>
      <c r="B580" s="1">
        <v>44825</v>
      </c>
      <c r="C580" s="1">
        <v>45486</v>
      </c>
      <c r="D580">
        <v>9569.17</v>
      </c>
      <c r="E580" s="2">
        <f>(Table2[[#This Row],[revenue]]-Table2[[#This Row],[budget]])/Table2[[#This Row],[budget]]</f>
        <v>58.700996011148298</v>
      </c>
      <c r="F580" t="s">
        <v>21</v>
      </c>
      <c r="G580" t="s">
        <v>12</v>
      </c>
      <c r="H580" t="s">
        <v>16</v>
      </c>
      <c r="I580">
        <v>0.55000000000000004</v>
      </c>
      <c r="J580">
        <v>571288.98</v>
      </c>
      <c r="K580">
        <f>Table2[[#This Row],[revenue]]/Table2[[#This Row],[budget]]</f>
        <v>59.700996011148298</v>
      </c>
      <c r="L580" s="2">
        <f t="shared" si="27"/>
        <v>95691.7</v>
      </c>
      <c r="M580" s="2">
        <f>(Table2[[#This Row],[Adjusted revenue]]-Table2[[#This Row],[budget]])/Table2[[#This Row],[budget]]</f>
        <v>9</v>
      </c>
      <c r="N580" t="str">
        <f t="shared" si="28"/>
        <v>OK</v>
      </c>
      <c r="O580" s="2">
        <f t="shared" si="29"/>
        <v>1</v>
      </c>
    </row>
    <row r="581" spans="1:15" x14ac:dyDescent="0.3">
      <c r="A581" t="s">
        <v>599</v>
      </c>
      <c r="B581" s="1">
        <v>44961</v>
      </c>
      <c r="C581" s="1">
        <v>45489</v>
      </c>
      <c r="D581">
        <v>88518.7</v>
      </c>
      <c r="E581" s="2">
        <f>(Table2[[#This Row],[revenue]]-Table2[[#This Row],[budget]])/Table2[[#This Row],[budget]]</f>
        <v>1.0080902679320869</v>
      </c>
      <c r="F581" t="s">
        <v>11</v>
      </c>
      <c r="G581" t="s">
        <v>12</v>
      </c>
      <c r="H581" t="s">
        <v>16</v>
      </c>
      <c r="I581">
        <v>0.57999999999999996</v>
      </c>
      <c r="J581">
        <v>177753.54</v>
      </c>
      <c r="K581">
        <f>Table2[[#This Row],[revenue]]/Table2[[#This Row],[budget]]</f>
        <v>2.0080902679320869</v>
      </c>
      <c r="L581" s="2">
        <f t="shared" si="27"/>
        <v>177753.54</v>
      </c>
      <c r="M581" s="2">
        <f>(Table2[[#This Row],[Adjusted revenue]]-Table2[[#This Row],[budget]])/Table2[[#This Row],[budget]]</f>
        <v>1.0080902679320869</v>
      </c>
      <c r="N581" t="str">
        <f t="shared" si="28"/>
        <v>OK</v>
      </c>
      <c r="O581" s="2">
        <f t="shared" si="29"/>
        <v>-0.68250731201429748</v>
      </c>
    </row>
    <row r="582" spans="1:15" x14ac:dyDescent="0.3">
      <c r="A582" t="s">
        <v>600</v>
      </c>
      <c r="B582" s="1">
        <v>44986</v>
      </c>
      <c r="C582" s="1">
        <v>45268</v>
      </c>
      <c r="D582">
        <v>25282.77</v>
      </c>
      <c r="E582" s="2">
        <f>(Table2[[#This Row],[revenue]]-Table2[[#This Row],[budget]])/Table2[[#This Row],[budget]]</f>
        <v>15.457567347248739</v>
      </c>
      <c r="F582" t="s">
        <v>18</v>
      </c>
      <c r="G582" t="s">
        <v>12</v>
      </c>
      <c r="H582" t="s">
        <v>16</v>
      </c>
      <c r="I582">
        <v>0.61</v>
      </c>
      <c r="J582">
        <v>416092.89</v>
      </c>
      <c r="K582">
        <f>Table2[[#This Row],[revenue]]/Table2[[#This Row],[budget]]</f>
        <v>16.457567347248741</v>
      </c>
      <c r="L582" s="2">
        <f t="shared" si="27"/>
        <v>252827.7</v>
      </c>
      <c r="M582" s="2">
        <f>(Table2[[#This Row],[Adjusted revenue]]-Table2[[#This Row],[budget]])/Table2[[#This Row],[budget]]</f>
        <v>9</v>
      </c>
      <c r="N582" t="str">
        <f t="shared" si="28"/>
        <v>OK</v>
      </c>
      <c r="O582" s="2">
        <f t="shared" si="29"/>
        <v>1</v>
      </c>
    </row>
    <row r="583" spans="1:15" x14ac:dyDescent="0.3">
      <c r="A583" t="s">
        <v>601</v>
      </c>
      <c r="B583" s="1">
        <v>44823</v>
      </c>
      <c r="C583" s="1">
        <v>45206</v>
      </c>
      <c r="D583">
        <v>17151.7</v>
      </c>
      <c r="E583" s="2">
        <f>(Table2[[#This Row],[revenue]]-Table2[[#This Row],[budget]])/Table2[[#This Row],[budget]]</f>
        <v>29.297075508550169</v>
      </c>
      <c r="F583" t="s">
        <v>21</v>
      </c>
      <c r="G583" t="s">
        <v>12</v>
      </c>
      <c r="H583" t="s">
        <v>25</v>
      </c>
      <c r="I583">
        <v>0.8</v>
      </c>
      <c r="J583">
        <v>519646.35</v>
      </c>
      <c r="K583">
        <f>Table2[[#This Row],[revenue]]/Table2[[#This Row],[budget]]</f>
        <v>30.297075508550169</v>
      </c>
      <c r="L583" s="2">
        <f t="shared" si="27"/>
        <v>171517</v>
      </c>
      <c r="M583" s="2">
        <f>(Table2[[#This Row],[Adjusted revenue]]-Table2[[#This Row],[budget]])/Table2[[#This Row],[budget]]</f>
        <v>8.9999999999999982</v>
      </c>
      <c r="N583" t="str">
        <f t="shared" si="28"/>
        <v>OK</v>
      </c>
      <c r="O583" s="2">
        <f t="shared" si="29"/>
        <v>0.99999999999999956</v>
      </c>
    </row>
    <row r="584" spans="1:15" x14ac:dyDescent="0.3">
      <c r="A584" t="s">
        <v>602</v>
      </c>
      <c r="B584" s="1">
        <v>44843</v>
      </c>
      <c r="C584" s="1">
        <v>45476</v>
      </c>
      <c r="D584">
        <v>53821.3</v>
      </c>
      <c r="E584" s="2">
        <f>(Table2[[#This Row],[revenue]]-Table2[[#This Row],[budget]])/Table2[[#This Row],[budget]]</f>
        <v>8.3799848758762785</v>
      </c>
      <c r="F584" t="s">
        <v>21</v>
      </c>
      <c r="G584" t="s">
        <v>15</v>
      </c>
      <c r="H584" t="s">
        <v>13</v>
      </c>
      <c r="I584">
        <v>0.64</v>
      </c>
      <c r="J584">
        <v>504842.98</v>
      </c>
      <c r="K584">
        <f>Table2[[#This Row],[revenue]]/Table2[[#This Row],[budget]]</f>
        <v>9.3799848758762785</v>
      </c>
      <c r="L584" s="2">
        <f t="shared" si="27"/>
        <v>504842.98</v>
      </c>
      <c r="M584" s="2">
        <f>(Table2[[#This Row],[Adjusted revenue]]-Table2[[#This Row],[budget]])/Table2[[#This Row],[budget]]</f>
        <v>8.3799848758762785</v>
      </c>
      <c r="N584" t="str">
        <f t="shared" si="28"/>
        <v>OK</v>
      </c>
      <c r="O584" s="2">
        <f t="shared" si="29"/>
        <v>0.86947050018447958</v>
      </c>
    </row>
    <row r="585" spans="1:15" x14ac:dyDescent="0.3">
      <c r="A585" t="s">
        <v>603</v>
      </c>
      <c r="B585" s="1">
        <v>45097</v>
      </c>
      <c r="C585" s="1">
        <v>45390</v>
      </c>
      <c r="D585">
        <v>57242</v>
      </c>
      <c r="E585" s="2">
        <f>(Table2[[#This Row],[revenue]]-Table2[[#This Row],[budget]])/Table2[[#This Row],[budget]]</f>
        <v>4.3038062960763073</v>
      </c>
      <c r="F585" t="s">
        <v>18</v>
      </c>
      <c r="G585" t="s">
        <v>12</v>
      </c>
      <c r="H585" t="s">
        <v>25</v>
      </c>
      <c r="I585">
        <v>0.39</v>
      </c>
      <c r="J585">
        <v>303600.48</v>
      </c>
      <c r="K585">
        <f>Table2[[#This Row],[revenue]]/Table2[[#This Row],[budget]]</f>
        <v>5.3038062960763073</v>
      </c>
      <c r="L585" s="2">
        <f t="shared" si="27"/>
        <v>303600.48</v>
      </c>
      <c r="M585" s="2">
        <f>(Table2[[#This Row],[Adjusted revenue]]-Table2[[#This Row],[budget]])/Table2[[#This Row],[budget]]</f>
        <v>4.3038062960763073</v>
      </c>
      <c r="N585" t="str">
        <f t="shared" si="28"/>
        <v>OK</v>
      </c>
      <c r="O585" s="2">
        <f t="shared" si="29"/>
        <v>1.1327641279222478E-2</v>
      </c>
    </row>
    <row r="586" spans="1:15" x14ac:dyDescent="0.3">
      <c r="A586" t="s">
        <v>604</v>
      </c>
      <c r="B586" s="1">
        <v>44989</v>
      </c>
      <c r="C586" s="1">
        <v>45159</v>
      </c>
      <c r="D586">
        <v>60540.160000000003</v>
      </c>
      <c r="E586" s="2">
        <f>(Table2[[#This Row],[revenue]]-Table2[[#This Row],[budget]])/Table2[[#This Row],[budget]]</f>
        <v>5.0114338977630712</v>
      </c>
      <c r="F586" t="s">
        <v>23</v>
      </c>
      <c r="G586" t="s">
        <v>12</v>
      </c>
      <c r="H586" t="s">
        <v>19</v>
      </c>
      <c r="I586">
        <v>0.77</v>
      </c>
      <c r="J586">
        <v>363933.17</v>
      </c>
      <c r="K586">
        <f>Table2[[#This Row],[revenue]]/Table2[[#This Row],[budget]]</f>
        <v>6.0114338977630712</v>
      </c>
      <c r="L586" s="2">
        <f t="shared" si="27"/>
        <v>363933.17</v>
      </c>
      <c r="M586" s="2">
        <f>(Table2[[#This Row],[Adjusted revenue]]-Table2[[#This Row],[budget]])/Table2[[#This Row],[budget]]</f>
        <v>5.0114338977630712</v>
      </c>
      <c r="N586" t="str">
        <f t="shared" si="28"/>
        <v>OK</v>
      </c>
      <c r="O586" s="2">
        <f t="shared" si="29"/>
        <v>0.16030187321327816</v>
      </c>
    </row>
    <row r="587" spans="1:15" x14ac:dyDescent="0.3">
      <c r="A587" t="s">
        <v>605</v>
      </c>
      <c r="B587" s="1">
        <v>45017</v>
      </c>
      <c r="C587" s="1">
        <v>45348</v>
      </c>
      <c r="D587">
        <v>58942.77</v>
      </c>
      <c r="E587" s="2">
        <f>(Table2[[#This Row],[revenue]]-Table2[[#This Row],[budget]])/Table2[[#This Row],[budget]]</f>
        <v>-0.63348855169175111</v>
      </c>
      <c r="F587" t="s">
        <v>21</v>
      </c>
      <c r="G587" t="s">
        <v>12</v>
      </c>
      <c r="H587" t="s">
        <v>16</v>
      </c>
      <c r="I587">
        <v>0.36</v>
      </c>
      <c r="J587">
        <v>21603.200000000001</v>
      </c>
      <c r="K587">
        <f>Table2[[#This Row],[revenue]]/Table2[[#This Row],[budget]]</f>
        <v>0.36651144830824889</v>
      </c>
      <c r="L587" s="2">
        <f t="shared" si="27"/>
        <v>29471.384999999998</v>
      </c>
      <c r="M587" s="2">
        <f>(Table2[[#This Row],[Adjusted revenue]]-Table2[[#This Row],[budget]])/Table2[[#This Row],[budget]]</f>
        <v>-0.5</v>
      </c>
      <c r="N587" t="str">
        <f t="shared" si="28"/>
        <v>Failed</v>
      </c>
      <c r="O587" s="2">
        <f t="shared" si="29"/>
        <v>-1</v>
      </c>
    </row>
    <row r="588" spans="1:15" x14ac:dyDescent="0.3">
      <c r="A588" t="s">
        <v>606</v>
      </c>
      <c r="B588" s="1">
        <v>44976</v>
      </c>
      <c r="C588" s="1">
        <v>45416</v>
      </c>
      <c r="D588">
        <v>29071.82</v>
      </c>
      <c r="E588" s="2">
        <f>(Table2[[#This Row],[revenue]]-Table2[[#This Row],[budget]])/Table2[[#This Row],[budget]]</f>
        <v>6.9215718176570986</v>
      </c>
      <c r="F588" t="s">
        <v>18</v>
      </c>
      <c r="G588" t="s">
        <v>12</v>
      </c>
      <c r="H588" t="s">
        <v>25</v>
      </c>
      <c r="I588">
        <v>0.76</v>
      </c>
      <c r="J588">
        <v>230294.51</v>
      </c>
      <c r="K588">
        <f>Table2[[#This Row],[revenue]]/Table2[[#This Row],[budget]]</f>
        <v>7.9215718176570995</v>
      </c>
      <c r="L588" s="2">
        <f t="shared" si="27"/>
        <v>230294.51</v>
      </c>
      <c r="M588" s="2">
        <f>(Table2[[#This Row],[Adjusted revenue]]-Table2[[#This Row],[budget]])/Table2[[#This Row],[budget]]</f>
        <v>6.9215718176570986</v>
      </c>
      <c r="N588" t="str">
        <f t="shared" si="28"/>
        <v>OK</v>
      </c>
      <c r="O588" s="2">
        <f t="shared" si="29"/>
        <v>0.56243617213833663</v>
      </c>
    </row>
    <row r="589" spans="1:15" x14ac:dyDescent="0.3">
      <c r="A589" t="s">
        <v>607</v>
      </c>
      <c r="B589" s="1">
        <v>44869</v>
      </c>
      <c r="C589" s="1">
        <v>45217</v>
      </c>
      <c r="D589">
        <v>5676.22</v>
      </c>
      <c r="E589" s="2">
        <f>(Table2[[#This Row],[revenue]]-Table2[[#This Row],[budget]])/Table2[[#This Row],[budget]]</f>
        <v>29.6056918160325</v>
      </c>
      <c r="F589" t="s">
        <v>18</v>
      </c>
      <c r="G589" t="s">
        <v>15</v>
      </c>
      <c r="H589" t="s">
        <v>13</v>
      </c>
      <c r="I589">
        <v>0.2</v>
      </c>
      <c r="J589">
        <v>173724.64</v>
      </c>
      <c r="K589">
        <f>Table2[[#This Row],[revenue]]/Table2[[#This Row],[budget]]</f>
        <v>30.6056918160325</v>
      </c>
      <c r="L589" s="2">
        <f t="shared" si="27"/>
        <v>56762.200000000004</v>
      </c>
      <c r="M589" s="2">
        <f>(Table2[[#This Row],[Adjusted revenue]]-Table2[[#This Row],[budget]])/Table2[[#This Row],[budget]]</f>
        <v>9</v>
      </c>
      <c r="N589" t="str">
        <f t="shared" si="28"/>
        <v>OK</v>
      </c>
      <c r="O589" s="2">
        <f t="shared" si="29"/>
        <v>1</v>
      </c>
    </row>
    <row r="590" spans="1:15" x14ac:dyDescent="0.3">
      <c r="A590" t="s">
        <v>608</v>
      </c>
      <c r="B590" s="1">
        <v>44999</v>
      </c>
      <c r="C590" s="1">
        <v>45411</v>
      </c>
      <c r="D590">
        <v>73071.429999999993</v>
      </c>
      <c r="E590" s="2">
        <f>(Table2[[#This Row],[revenue]]-Table2[[#This Row],[budget]])/Table2[[#This Row],[budget]]</f>
        <v>5.7822022916480496</v>
      </c>
      <c r="F590" t="s">
        <v>11</v>
      </c>
      <c r="G590" t="s">
        <v>12</v>
      </c>
      <c r="H590" t="s">
        <v>13</v>
      </c>
      <c r="I590">
        <v>0.71</v>
      </c>
      <c r="J590">
        <v>495585.22</v>
      </c>
      <c r="K590">
        <f>Table2[[#This Row],[revenue]]/Table2[[#This Row],[budget]]</f>
        <v>6.7822022916480496</v>
      </c>
      <c r="L590" s="2">
        <f t="shared" si="27"/>
        <v>495585.22</v>
      </c>
      <c r="M590" s="2">
        <f>(Table2[[#This Row],[Adjusted revenue]]-Table2[[#This Row],[budget]])/Table2[[#This Row],[budget]]</f>
        <v>5.7822022916480496</v>
      </c>
      <c r="N590" t="str">
        <f t="shared" si="28"/>
        <v>OK</v>
      </c>
      <c r="O590" s="2">
        <f t="shared" si="29"/>
        <v>0.32256890350485246</v>
      </c>
    </row>
    <row r="591" spans="1:15" x14ac:dyDescent="0.3">
      <c r="A591" t="s">
        <v>609</v>
      </c>
      <c r="B591" s="1">
        <v>44892</v>
      </c>
      <c r="C591" s="1">
        <v>45169</v>
      </c>
      <c r="D591">
        <v>82353.710000000006</v>
      </c>
      <c r="E591" s="2">
        <f>(Table2[[#This Row],[revenue]]-Table2[[#This Row],[budget]])/Table2[[#This Row],[budget]]</f>
        <v>4.5957114743221634</v>
      </c>
      <c r="F591" t="s">
        <v>18</v>
      </c>
      <c r="G591" t="s">
        <v>15</v>
      </c>
      <c r="H591" t="s">
        <v>19</v>
      </c>
      <c r="I591">
        <v>0.12</v>
      </c>
      <c r="J591">
        <v>460827.6</v>
      </c>
      <c r="K591">
        <f>Table2[[#This Row],[revenue]]/Table2[[#This Row],[budget]]</f>
        <v>5.5957114743221643</v>
      </c>
      <c r="L591" s="2">
        <f t="shared" si="27"/>
        <v>460827.6</v>
      </c>
      <c r="M591" s="2">
        <f>(Table2[[#This Row],[Adjusted revenue]]-Table2[[#This Row],[budget]])/Table2[[#This Row],[budget]]</f>
        <v>4.5957114743221634</v>
      </c>
      <c r="N591" t="str">
        <f t="shared" si="28"/>
        <v>OK</v>
      </c>
      <c r="O591" s="2">
        <f t="shared" si="29"/>
        <v>7.2781363015192335E-2</v>
      </c>
    </row>
    <row r="592" spans="1:15" x14ac:dyDescent="0.3">
      <c r="A592" t="s">
        <v>610</v>
      </c>
      <c r="B592" s="1">
        <v>45031</v>
      </c>
      <c r="C592" s="1">
        <v>45472</v>
      </c>
      <c r="D592">
        <v>98712.39</v>
      </c>
      <c r="E592" s="2">
        <f>(Table2[[#This Row],[revenue]]-Table2[[#This Row],[budget]])/Table2[[#This Row],[budget]]</f>
        <v>6.6573919444154877</v>
      </c>
      <c r="F592" t="s">
        <v>11</v>
      </c>
      <c r="G592" t="s">
        <v>15</v>
      </c>
      <c r="H592" t="s">
        <v>13</v>
      </c>
      <c r="I592">
        <v>0.42</v>
      </c>
      <c r="J592">
        <v>755879.46</v>
      </c>
      <c r="K592">
        <f>Table2[[#This Row],[revenue]]/Table2[[#This Row],[budget]]</f>
        <v>7.6573919444154877</v>
      </c>
      <c r="L592" s="2">
        <f t="shared" si="27"/>
        <v>755879.46</v>
      </c>
      <c r="M592" s="2">
        <f>(Table2[[#This Row],[Adjusted revenue]]-Table2[[#This Row],[budget]])/Table2[[#This Row],[budget]]</f>
        <v>6.6573919444154877</v>
      </c>
      <c r="N592" t="str">
        <f t="shared" si="28"/>
        <v>OK</v>
      </c>
      <c r="O592" s="2">
        <f t="shared" si="29"/>
        <v>0.50681935671904998</v>
      </c>
    </row>
    <row r="593" spans="1:15" x14ac:dyDescent="0.3">
      <c r="A593" t="s">
        <v>611</v>
      </c>
      <c r="B593" s="1">
        <v>44878</v>
      </c>
      <c r="C593" s="1">
        <v>45503</v>
      </c>
      <c r="D593">
        <v>10934.43</v>
      </c>
      <c r="E593" s="2">
        <f>(Table2[[#This Row],[revenue]]-Table2[[#This Row],[budget]])/Table2[[#This Row],[budget]]</f>
        <v>80.609302908336318</v>
      </c>
      <c r="F593" t="s">
        <v>21</v>
      </c>
      <c r="G593" t="s">
        <v>15</v>
      </c>
      <c r="H593" t="s">
        <v>16</v>
      </c>
      <c r="I593">
        <v>0.66</v>
      </c>
      <c r="J593">
        <v>892351.21</v>
      </c>
      <c r="K593">
        <f>Table2[[#This Row],[revenue]]/Table2[[#This Row],[budget]]</f>
        <v>81.609302908336318</v>
      </c>
      <c r="L593" s="2">
        <f t="shared" si="27"/>
        <v>109344.3</v>
      </c>
      <c r="M593" s="2">
        <f>(Table2[[#This Row],[Adjusted revenue]]-Table2[[#This Row],[budget]])/Table2[[#This Row],[budget]]</f>
        <v>9</v>
      </c>
      <c r="N593" t="str">
        <f t="shared" si="28"/>
        <v>OK</v>
      </c>
      <c r="O593" s="2">
        <f t="shared" si="29"/>
        <v>1</v>
      </c>
    </row>
    <row r="594" spans="1:15" x14ac:dyDescent="0.3">
      <c r="A594" t="s">
        <v>612</v>
      </c>
      <c r="B594" s="1">
        <v>45121</v>
      </c>
      <c r="C594" s="1">
        <v>45421</v>
      </c>
      <c r="D594">
        <v>17049.14</v>
      </c>
      <c r="E594" s="2">
        <f>(Table2[[#This Row],[revenue]]-Table2[[#This Row],[budget]])/Table2[[#This Row],[budget]]</f>
        <v>32.538987303758432</v>
      </c>
      <c r="F594" t="s">
        <v>18</v>
      </c>
      <c r="G594" t="s">
        <v>12</v>
      </c>
      <c r="H594" t="s">
        <v>25</v>
      </c>
      <c r="I594">
        <v>0.49</v>
      </c>
      <c r="J594">
        <v>571810.89</v>
      </c>
      <c r="K594">
        <f>Table2[[#This Row],[revenue]]/Table2[[#This Row],[budget]]</f>
        <v>33.538987303758432</v>
      </c>
      <c r="L594" s="2">
        <f t="shared" si="27"/>
        <v>170491.4</v>
      </c>
      <c r="M594" s="2">
        <f>(Table2[[#This Row],[Adjusted revenue]]-Table2[[#This Row],[budget]])/Table2[[#This Row],[budget]]</f>
        <v>9</v>
      </c>
      <c r="N594" t="str">
        <f t="shared" si="28"/>
        <v>OK</v>
      </c>
      <c r="O594" s="2">
        <f t="shared" si="29"/>
        <v>1</v>
      </c>
    </row>
    <row r="595" spans="1:15" x14ac:dyDescent="0.3">
      <c r="A595" t="s">
        <v>613</v>
      </c>
      <c r="B595" s="1">
        <v>45015</v>
      </c>
      <c r="C595" s="1">
        <v>45462</v>
      </c>
      <c r="D595">
        <v>85238.23</v>
      </c>
      <c r="E595" s="2">
        <f>(Table2[[#This Row],[revenue]]-Table2[[#This Row],[budget]])/Table2[[#This Row],[budget]]</f>
        <v>5.9894155474603368</v>
      </c>
      <c r="F595" t="s">
        <v>23</v>
      </c>
      <c r="G595" t="s">
        <v>15</v>
      </c>
      <c r="H595" t="s">
        <v>19</v>
      </c>
      <c r="I595">
        <v>0.92</v>
      </c>
      <c r="J595">
        <v>595765.41</v>
      </c>
      <c r="K595">
        <f>Table2[[#This Row],[revenue]]/Table2[[#This Row],[budget]]</f>
        <v>6.9894155474603359</v>
      </c>
      <c r="L595" s="2">
        <f t="shared" si="27"/>
        <v>595765.41</v>
      </c>
      <c r="M595" s="2">
        <f>(Table2[[#This Row],[Adjusted revenue]]-Table2[[#This Row],[budget]])/Table2[[#This Row],[budget]]</f>
        <v>5.9894155474603368</v>
      </c>
      <c r="N595" t="str">
        <f t="shared" si="28"/>
        <v>OK</v>
      </c>
      <c r="O595" s="2">
        <f t="shared" si="29"/>
        <v>0.36619274683375513</v>
      </c>
    </row>
    <row r="596" spans="1:15" x14ac:dyDescent="0.3">
      <c r="A596" t="s">
        <v>614</v>
      </c>
      <c r="B596" s="1">
        <v>44878</v>
      </c>
      <c r="C596" s="1">
        <v>45257</v>
      </c>
      <c r="D596">
        <v>55709.15</v>
      </c>
      <c r="E596" s="2">
        <f>(Table2[[#This Row],[revenue]]-Table2[[#This Row],[budget]])/Table2[[#This Row],[budget]]</f>
        <v>11.236597758177965</v>
      </c>
      <c r="F596" t="s">
        <v>23</v>
      </c>
      <c r="G596" t="s">
        <v>12</v>
      </c>
      <c r="H596" t="s">
        <v>16</v>
      </c>
      <c r="I596">
        <v>0.73</v>
      </c>
      <c r="J596">
        <v>681690.46</v>
      </c>
      <c r="K596">
        <f>Table2[[#This Row],[revenue]]/Table2[[#This Row],[budget]]</f>
        <v>12.236597758177965</v>
      </c>
      <c r="L596" s="2">
        <f t="shared" si="27"/>
        <v>557091.5</v>
      </c>
      <c r="M596" s="2">
        <f>(Table2[[#This Row],[Adjusted revenue]]-Table2[[#This Row],[budget]])/Table2[[#This Row],[budget]]</f>
        <v>9</v>
      </c>
      <c r="N596" t="str">
        <f t="shared" si="28"/>
        <v>OK</v>
      </c>
      <c r="O596" s="2">
        <f t="shared" si="29"/>
        <v>1</v>
      </c>
    </row>
    <row r="597" spans="1:15" x14ac:dyDescent="0.3">
      <c r="A597" t="s">
        <v>615</v>
      </c>
      <c r="B597" s="1">
        <v>45016</v>
      </c>
      <c r="C597" s="1">
        <v>45225</v>
      </c>
      <c r="D597">
        <v>39804.32</v>
      </c>
      <c r="E597" s="2">
        <f>(Table2[[#This Row],[revenue]]-Table2[[#This Row],[budget]])/Table2[[#This Row],[budget]]</f>
        <v>12.126521191669648</v>
      </c>
      <c r="F597" t="s">
        <v>21</v>
      </c>
      <c r="G597" t="s">
        <v>15</v>
      </c>
      <c r="H597" t="s">
        <v>25</v>
      </c>
      <c r="I597">
        <v>0.52</v>
      </c>
      <c r="J597">
        <v>522492.25</v>
      </c>
      <c r="K597">
        <f>Table2[[#This Row],[revenue]]/Table2[[#This Row],[budget]]</f>
        <v>13.126521191669648</v>
      </c>
      <c r="L597" s="2">
        <f t="shared" si="27"/>
        <v>398043.2</v>
      </c>
      <c r="M597" s="2">
        <f>(Table2[[#This Row],[Adjusted revenue]]-Table2[[#This Row],[budget]])/Table2[[#This Row],[budget]]</f>
        <v>9</v>
      </c>
      <c r="N597" t="str">
        <f t="shared" si="28"/>
        <v>OK</v>
      </c>
      <c r="O597" s="2">
        <f t="shared" si="29"/>
        <v>1</v>
      </c>
    </row>
    <row r="598" spans="1:15" x14ac:dyDescent="0.3">
      <c r="A598" t="s">
        <v>616</v>
      </c>
      <c r="B598" s="1">
        <v>44978</v>
      </c>
      <c r="C598" s="1">
        <v>45216</v>
      </c>
      <c r="D598">
        <v>92196.9</v>
      </c>
      <c r="E598" s="2">
        <f>(Table2[[#This Row],[revenue]]-Table2[[#This Row],[budget]])/Table2[[#This Row],[budget]]</f>
        <v>3.32354309092822</v>
      </c>
      <c r="F598" t="s">
        <v>11</v>
      </c>
      <c r="G598" t="s">
        <v>12</v>
      </c>
      <c r="H598" t="s">
        <v>16</v>
      </c>
      <c r="I598">
        <v>0.87</v>
      </c>
      <c r="J598">
        <v>398617.27</v>
      </c>
      <c r="K598">
        <f>Table2[[#This Row],[revenue]]/Table2[[#This Row],[budget]]</f>
        <v>4.3235430909282204</v>
      </c>
      <c r="L598" s="2">
        <f t="shared" si="27"/>
        <v>398617.27</v>
      </c>
      <c r="M598" s="2">
        <f>(Table2[[#This Row],[Adjusted revenue]]-Table2[[#This Row],[budget]])/Table2[[#This Row],[budget]]</f>
        <v>3.32354309092822</v>
      </c>
      <c r="N598" t="str">
        <f t="shared" si="28"/>
        <v>OK</v>
      </c>
      <c r="O598" s="2">
        <f t="shared" si="29"/>
        <v>-0.19504355980458532</v>
      </c>
    </row>
    <row r="599" spans="1:15" x14ac:dyDescent="0.3">
      <c r="A599" t="s">
        <v>617</v>
      </c>
      <c r="B599" s="1">
        <v>45102</v>
      </c>
      <c r="C599" s="1">
        <v>45182</v>
      </c>
      <c r="D599">
        <v>73821.98</v>
      </c>
      <c r="E599" s="2">
        <f>(Table2[[#This Row],[revenue]]-Table2[[#This Row],[budget]])/Table2[[#This Row],[budget]]</f>
        <v>1.3442626437275185</v>
      </c>
      <c r="F599" t="s">
        <v>11</v>
      </c>
      <c r="G599" t="s">
        <v>15</v>
      </c>
      <c r="H599" t="s">
        <v>16</v>
      </c>
      <c r="I599">
        <v>0.35</v>
      </c>
      <c r="J599">
        <v>173058.11</v>
      </c>
      <c r="K599">
        <f>Table2[[#This Row],[revenue]]/Table2[[#This Row],[budget]]</f>
        <v>2.3442626437275185</v>
      </c>
      <c r="L599" s="2">
        <f t="shared" si="27"/>
        <v>173058.11</v>
      </c>
      <c r="M599" s="2">
        <f>(Table2[[#This Row],[Adjusted revenue]]-Table2[[#This Row],[budget]])/Table2[[#This Row],[budget]]</f>
        <v>1.3442626437275185</v>
      </c>
      <c r="N599" t="str">
        <f t="shared" si="28"/>
        <v>OK</v>
      </c>
      <c r="O599" s="2">
        <f t="shared" si="29"/>
        <v>-0.61173418026789084</v>
      </c>
    </row>
    <row r="600" spans="1:15" x14ac:dyDescent="0.3">
      <c r="A600" t="s">
        <v>618</v>
      </c>
      <c r="B600" s="1">
        <v>44870</v>
      </c>
      <c r="C600" s="1">
        <v>45151</v>
      </c>
      <c r="D600">
        <v>57144.480000000003</v>
      </c>
      <c r="E600" s="2">
        <f>(Table2[[#This Row],[revenue]]-Table2[[#This Row],[budget]])/Table2[[#This Row],[budget]]</f>
        <v>8.0330217371826649</v>
      </c>
      <c r="F600" t="s">
        <v>21</v>
      </c>
      <c r="G600" t="s">
        <v>15</v>
      </c>
      <c r="H600" t="s">
        <v>25</v>
      </c>
      <c r="I600">
        <v>0.9</v>
      </c>
      <c r="J600">
        <v>516187.33</v>
      </c>
      <c r="K600">
        <f>Table2[[#This Row],[revenue]]/Table2[[#This Row],[budget]]</f>
        <v>9.0330217371826631</v>
      </c>
      <c r="L600" s="2">
        <f t="shared" si="27"/>
        <v>516187.33</v>
      </c>
      <c r="M600" s="2">
        <f>(Table2[[#This Row],[Adjusted revenue]]-Table2[[#This Row],[budget]])/Table2[[#This Row],[budget]]</f>
        <v>8.0330217371826649</v>
      </c>
      <c r="N600" t="str">
        <f t="shared" si="28"/>
        <v>OK</v>
      </c>
      <c r="O600" s="2">
        <f t="shared" si="29"/>
        <v>0.79642562888056112</v>
      </c>
    </row>
    <row r="601" spans="1:15" x14ac:dyDescent="0.3">
      <c r="A601" t="s">
        <v>619</v>
      </c>
      <c r="B601" s="1">
        <v>44784</v>
      </c>
      <c r="C601" s="1">
        <v>45322</v>
      </c>
      <c r="D601">
        <v>24300.83</v>
      </c>
      <c r="E601" s="2">
        <f>(Table2[[#This Row],[revenue]]-Table2[[#This Row],[budget]])/Table2[[#This Row],[budget]]</f>
        <v>30.463547952888849</v>
      </c>
      <c r="F601" t="s">
        <v>18</v>
      </c>
      <c r="G601" t="s">
        <v>12</v>
      </c>
      <c r="H601" t="s">
        <v>25</v>
      </c>
      <c r="I601">
        <v>0.64</v>
      </c>
      <c r="J601">
        <v>764590.33</v>
      </c>
      <c r="K601">
        <f>Table2[[#This Row],[revenue]]/Table2[[#This Row],[budget]]</f>
        <v>31.463547952888849</v>
      </c>
      <c r="L601" s="2">
        <f t="shared" si="27"/>
        <v>243008.30000000002</v>
      </c>
      <c r="M601" s="2">
        <f>(Table2[[#This Row],[Adjusted revenue]]-Table2[[#This Row],[budget]])/Table2[[#This Row],[budget]]</f>
        <v>9</v>
      </c>
      <c r="N601" t="str">
        <f t="shared" si="28"/>
        <v>OK</v>
      </c>
      <c r="O601" s="2">
        <f t="shared" si="29"/>
        <v>1</v>
      </c>
    </row>
    <row r="602" spans="1:15" x14ac:dyDescent="0.3">
      <c r="A602" t="s">
        <v>620</v>
      </c>
      <c r="B602" s="1">
        <v>44891</v>
      </c>
      <c r="C602" s="1">
        <v>45146</v>
      </c>
      <c r="D602">
        <v>94697.82</v>
      </c>
      <c r="E602" s="2">
        <f>(Table2[[#This Row],[revenue]]-Table2[[#This Row],[budget]])/Table2[[#This Row],[budget]]</f>
        <v>2.6737893227109133</v>
      </c>
      <c r="F602" t="s">
        <v>18</v>
      </c>
      <c r="G602" t="s">
        <v>15</v>
      </c>
      <c r="H602" t="s">
        <v>19</v>
      </c>
      <c r="I602">
        <v>0.78</v>
      </c>
      <c r="J602">
        <v>347899.84</v>
      </c>
      <c r="K602">
        <f>Table2[[#This Row],[revenue]]/Table2[[#This Row],[budget]]</f>
        <v>3.6737893227109133</v>
      </c>
      <c r="L602" s="2">
        <f t="shared" si="27"/>
        <v>347899.84</v>
      </c>
      <c r="M602" s="2">
        <f>(Table2[[#This Row],[Adjusted revenue]]-Table2[[#This Row],[budget]])/Table2[[#This Row],[budget]]</f>
        <v>2.6737893227109133</v>
      </c>
      <c r="N602" t="str">
        <f t="shared" si="28"/>
        <v>OK</v>
      </c>
      <c r="O602" s="2">
        <f t="shared" si="29"/>
        <v>-0.33183382679770246</v>
      </c>
    </row>
    <row r="603" spans="1:15" x14ac:dyDescent="0.3">
      <c r="A603" t="s">
        <v>621</v>
      </c>
      <c r="B603" s="1">
        <v>45091</v>
      </c>
      <c r="C603" s="1">
        <v>45389</v>
      </c>
      <c r="D603">
        <v>97456.14</v>
      </c>
      <c r="E603" s="2">
        <f>(Table2[[#This Row],[revenue]]-Table2[[#This Row],[budget]])/Table2[[#This Row],[budget]]</f>
        <v>1.6293352065862652</v>
      </c>
      <c r="F603" t="s">
        <v>23</v>
      </c>
      <c r="G603" t="s">
        <v>12</v>
      </c>
      <c r="H603" t="s">
        <v>13</v>
      </c>
      <c r="I603">
        <v>0.63</v>
      </c>
      <c r="J603">
        <v>256244.86</v>
      </c>
      <c r="K603">
        <f>Table2[[#This Row],[revenue]]/Table2[[#This Row],[budget]]</f>
        <v>2.6293352065862652</v>
      </c>
      <c r="L603" s="2">
        <f t="shared" si="27"/>
        <v>256244.86</v>
      </c>
      <c r="M603" s="2">
        <f>(Table2[[#This Row],[Adjusted revenue]]-Table2[[#This Row],[budget]])/Table2[[#This Row],[budget]]</f>
        <v>1.6293352065862652</v>
      </c>
      <c r="N603" t="str">
        <f t="shared" si="28"/>
        <v>OK</v>
      </c>
      <c r="O603" s="2">
        <f t="shared" si="29"/>
        <v>-0.55171890387657574</v>
      </c>
    </row>
    <row r="604" spans="1:15" x14ac:dyDescent="0.3">
      <c r="A604" t="s">
        <v>622</v>
      </c>
      <c r="B604" s="1">
        <v>44806</v>
      </c>
      <c r="C604" s="1">
        <v>45404</v>
      </c>
      <c r="D604">
        <v>87665.600000000006</v>
      </c>
      <c r="E604" s="2">
        <f>(Table2[[#This Row],[revenue]]-Table2[[#This Row],[budget]])/Table2[[#This Row],[budget]]</f>
        <v>-0.88299401361537488</v>
      </c>
      <c r="F604" t="s">
        <v>18</v>
      </c>
      <c r="G604" t="s">
        <v>12</v>
      </c>
      <c r="H604" t="s">
        <v>16</v>
      </c>
      <c r="I604">
        <v>0.56000000000000005</v>
      </c>
      <c r="J604">
        <v>10257.4</v>
      </c>
      <c r="K604">
        <f>Table2[[#This Row],[revenue]]/Table2[[#This Row],[budget]]</f>
        <v>0.1170059863846252</v>
      </c>
      <c r="L604" s="2">
        <f t="shared" si="27"/>
        <v>43832.800000000003</v>
      </c>
      <c r="M604" s="2">
        <f>(Table2[[#This Row],[Adjusted revenue]]-Table2[[#This Row],[budget]])/Table2[[#This Row],[budget]]</f>
        <v>-0.5</v>
      </c>
      <c r="N604" t="str">
        <f t="shared" si="28"/>
        <v>Failed</v>
      </c>
      <c r="O604" s="2">
        <f t="shared" si="29"/>
        <v>-1</v>
      </c>
    </row>
    <row r="605" spans="1:15" x14ac:dyDescent="0.3">
      <c r="A605" t="s">
        <v>623</v>
      </c>
      <c r="B605" s="1">
        <v>45001</v>
      </c>
      <c r="C605" s="1">
        <v>45289</v>
      </c>
      <c r="D605">
        <v>86652.2</v>
      </c>
      <c r="E605" s="2">
        <f>(Table2[[#This Row],[revenue]]-Table2[[#This Row],[budget]])/Table2[[#This Row],[budget]]</f>
        <v>2.0154634273567207</v>
      </c>
      <c r="F605" t="s">
        <v>23</v>
      </c>
      <c r="G605" t="s">
        <v>15</v>
      </c>
      <c r="H605" t="s">
        <v>16</v>
      </c>
      <c r="I605">
        <v>0.56000000000000005</v>
      </c>
      <c r="J605">
        <v>261296.54</v>
      </c>
      <c r="K605">
        <f>Table2[[#This Row],[revenue]]/Table2[[#This Row],[budget]]</f>
        <v>3.0154634273567207</v>
      </c>
      <c r="L605" s="2">
        <f t="shared" si="27"/>
        <v>261296.54</v>
      </c>
      <c r="M605" s="2">
        <f>(Table2[[#This Row],[Adjusted revenue]]-Table2[[#This Row],[budget]])/Table2[[#This Row],[budget]]</f>
        <v>2.0154634273567207</v>
      </c>
      <c r="N605" t="str">
        <f t="shared" si="28"/>
        <v>OK</v>
      </c>
      <c r="O605" s="2">
        <f t="shared" si="29"/>
        <v>-0.47042875213542723</v>
      </c>
    </row>
    <row r="606" spans="1:15" x14ac:dyDescent="0.3">
      <c r="A606" t="s">
        <v>624</v>
      </c>
      <c r="B606" s="1">
        <v>44892</v>
      </c>
      <c r="C606" s="1">
        <v>45160</v>
      </c>
      <c r="D606">
        <v>69094.64</v>
      </c>
      <c r="E606" s="2">
        <f>(Table2[[#This Row],[revenue]]-Table2[[#This Row],[budget]])/Table2[[#This Row],[budget]]</f>
        <v>9.2656321821779528</v>
      </c>
      <c r="F606" t="s">
        <v>11</v>
      </c>
      <c r="G606" t="s">
        <v>12</v>
      </c>
      <c r="H606" t="s">
        <v>25</v>
      </c>
      <c r="I606">
        <v>0.49</v>
      </c>
      <c r="J606">
        <v>709300.16</v>
      </c>
      <c r="K606">
        <f>Table2[[#This Row],[revenue]]/Table2[[#This Row],[budget]]</f>
        <v>10.265632182177953</v>
      </c>
      <c r="L606" s="2">
        <f t="shared" si="27"/>
        <v>690946.4</v>
      </c>
      <c r="M606" s="2">
        <f>(Table2[[#This Row],[Adjusted revenue]]-Table2[[#This Row],[budget]])/Table2[[#This Row],[budget]]</f>
        <v>9</v>
      </c>
      <c r="N606" t="str">
        <f t="shared" si="28"/>
        <v>OK</v>
      </c>
      <c r="O606" s="2">
        <f t="shared" si="29"/>
        <v>1</v>
      </c>
    </row>
    <row r="607" spans="1:15" x14ac:dyDescent="0.3">
      <c r="A607" t="s">
        <v>625</v>
      </c>
      <c r="B607" s="1">
        <v>44794</v>
      </c>
      <c r="C607" s="1">
        <v>45482</v>
      </c>
      <c r="D607">
        <v>97758.67</v>
      </c>
      <c r="E607" s="2">
        <f>(Table2[[#This Row],[revenue]]-Table2[[#This Row],[budget]])/Table2[[#This Row],[budget]]</f>
        <v>5.3879706014822011</v>
      </c>
      <c r="F607" t="s">
        <v>18</v>
      </c>
      <c r="G607" t="s">
        <v>15</v>
      </c>
      <c r="H607" t="s">
        <v>25</v>
      </c>
      <c r="I607">
        <v>0.82</v>
      </c>
      <c r="J607">
        <v>624479.51</v>
      </c>
      <c r="K607">
        <f>Table2[[#This Row],[revenue]]/Table2[[#This Row],[budget]]</f>
        <v>6.3879706014822011</v>
      </c>
      <c r="L607" s="2">
        <f t="shared" si="27"/>
        <v>624479.51</v>
      </c>
      <c r="M607" s="2">
        <f>(Table2[[#This Row],[Adjusted revenue]]-Table2[[#This Row],[budget]])/Table2[[#This Row],[budget]]</f>
        <v>5.3879706014822011</v>
      </c>
      <c r="N607" t="str">
        <f t="shared" si="28"/>
        <v>OK</v>
      </c>
      <c r="O607" s="2">
        <f t="shared" si="29"/>
        <v>0.23957275820677926</v>
      </c>
    </row>
    <row r="608" spans="1:15" x14ac:dyDescent="0.3">
      <c r="A608" t="s">
        <v>626</v>
      </c>
      <c r="B608" s="1">
        <v>44899</v>
      </c>
      <c r="C608" s="1">
        <v>45398</v>
      </c>
      <c r="D608">
        <v>83834.2</v>
      </c>
      <c r="E608" s="2">
        <f>(Table2[[#This Row],[revenue]]-Table2[[#This Row],[budget]])/Table2[[#This Row],[budget]]</f>
        <v>9.6915099088438854</v>
      </c>
      <c r="F608" t="s">
        <v>21</v>
      </c>
      <c r="G608" t="s">
        <v>12</v>
      </c>
      <c r="H608" t="s">
        <v>13</v>
      </c>
      <c r="I608">
        <v>0.31</v>
      </c>
      <c r="J608">
        <v>896314.18</v>
      </c>
      <c r="K608">
        <f>Table2[[#This Row],[revenue]]/Table2[[#This Row],[budget]]</f>
        <v>10.691509908843885</v>
      </c>
      <c r="L608" s="2">
        <f t="shared" si="27"/>
        <v>838342</v>
      </c>
      <c r="M608" s="2">
        <f>(Table2[[#This Row],[Adjusted revenue]]-Table2[[#This Row],[budget]])/Table2[[#This Row],[budget]]</f>
        <v>9</v>
      </c>
      <c r="N608" t="str">
        <f t="shared" si="28"/>
        <v>OK</v>
      </c>
      <c r="O608" s="2">
        <f t="shared" si="29"/>
        <v>1</v>
      </c>
    </row>
    <row r="609" spans="1:15" x14ac:dyDescent="0.3">
      <c r="A609" t="s">
        <v>627</v>
      </c>
      <c r="B609" s="1">
        <v>45078</v>
      </c>
      <c r="C609" s="1">
        <v>45476</v>
      </c>
      <c r="D609">
        <v>14858.38</v>
      </c>
      <c r="E609" s="2">
        <f>(Table2[[#This Row],[revenue]]-Table2[[#This Row],[budget]])/Table2[[#This Row],[budget]]</f>
        <v>20.398336157777631</v>
      </c>
      <c r="F609" t="s">
        <v>11</v>
      </c>
      <c r="G609" t="s">
        <v>12</v>
      </c>
      <c r="H609" t="s">
        <v>16</v>
      </c>
      <c r="I609">
        <v>0.56999999999999995</v>
      </c>
      <c r="J609">
        <v>317944.61</v>
      </c>
      <c r="K609">
        <f>Table2[[#This Row],[revenue]]/Table2[[#This Row],[budget]]</f>
        <v>21.398336157777631</v>
      </c>
      <c r="L609" s="2">
        <f t="shared" si="27"/>
        <v>148583.79999999999</v>
      </c>
      <c r="M609" s="2">
        <f>(Table2[[#This Row],[Adjusted revenue]]-Table2[[#This Row],[budget]])/Table2[[#This Row],[budget]]</f>
        <v>9</v>
      </c>
      <c r="N609" t="str">
        <f t="shared" si="28"/>
        <v>OK</v>
      </c>
      <c r="O609" s="2">
        <f t="shared" si="29"/>
        <v>1</v>
      </c>
    </row>
    <row r="610" spans="1:15" x14ac:dyDescent="0.3">
      <c r="A610" t="s">
        <v>628</v>
      </c>
      <c r="B610" s="1">
        <v>45057</v>
      </c>
      <c r="C610" s="1">
        <v>45427</v>
      </c>
      <c r="D610">
        <v>57198.5</v>
      </c>
      <c r="E610" s="2">
        <f>(Table2[[#This Row],[revenue]]-Table2[[#This Row],[budget]])/Table2[[#This Row],[budget]]</f>
        <v>15.05467101410002</v>
      </c>
      <c r="F610" t="s">
        <v>11</v>
      </c>
      <c r="G610" t="s">
        <v>15</v>
      </c>
      <c r="H610" t="s">
        <v>25</v>
      </c>
      <c r="I610">
        <v>0.38</v>
      </c>
      <c r="J610">
        <v>918303.1</v>
      </c>
      <c r="K610">
        <f>Table2[[#This Row],[revenue]]/Table2[[#This Row],[budget]]</f>
        <v>16.05467101410002</v>
      </c>
      <c r="L610" s="2">
        <f t="shared" si="27"/>
        <v>571985</v>
      </c>
      <c r="M610" s="2">
        <f>(Table2[[#This Row],[Adjusted revenue]]-Table2[[#This Row],[budget]])/Table2[[#This Row],[budget]]</f>
        <v>9</v>
      </c>
      <c r="N610" t="str">
        <f t="shared" si="28"/>
        <v>OK</v>
      </c>
      <c r="O610" s="2">
        <f t="shared" si="29"/>
        <v>1</v>
      </c>
    </row>
    <row r="611" spans="1:15" x14ac:dyDescent="0.3">
      <c r="A611" t="s">
        <v>629</v>
      </c>
      <c r="B611" s="1">
        <v>44787</v>
      </c>
      <c r="C611" s="1">
        <v>45503</v>
      </c>
      <c r="D611">
        <v>94357.67</v>
      </c>
      <c r="E611" s="2">
        <f>(Table2[[#This Row],[revenue]]-Table2[[#This Row],[budget]])/Table2[[#This Row],[budget]]</f>
        <v>9.4725085941609191</v>
      </c>
      <c r="F611" t="s">
        <v>11</v>
      </c>
      <c r="G611" t="s">
        <v>15</v>
      </c>
      <c r="H611" t="s">
        <v>13</v>
      </c>
      <c r="I611">
        <v>0.14000000000000001</v>
      </c>
      <c r="J611">
        <v>988161.51</v>
      </c>
      <c r="K611">
        <f>Table2[[#This Row],[revenue]]/Table2[[#This Row],[budget]]</f>
        <v>10.472508594160921</v>
      </c>
      <c r="L611" s="2">
        <f t="shared" si="27"/>
        <v>943576.7</v>
      </c>
      <c r="M611" s="2">
        <f>(Table2[[#This Row],[Adjusted revenue]]-Table2[[#This Row],[budget]])/Table2[[#This Row],[budget]]</f>
        <v>9</v>
      </c>
      <c r="N611" t="str">
        <f t="shared" si="28"/>
        <v>OK</v>
      </c>
      <c r="O611" s="2">
        <f t="shared" si="29"/>
        <v>1</v>
      </c>
    </row>
    <row r="612" spans="1:15" x14ac:dyDescent="0.3">
      <c r="A612" t="s">
        <v>630</v>
      </c>
      <c r="B612" s="1">
        <v>45022</v>
      </c>
      <c r="C612" s="1">
        <v>45362</v>
      </c>
      <c r="D612">
        <v>19142.150000000001</v>
      </c>
      <c r="E612" s="2">
        <f>(Table2[[#This Row],[revenue]]-Table2[[#This Row],[budget]])/Table2[[#This Row],[budget]]</f>
        <v>30.220377543797323</v>
      </c>
      <c r="F612" t="s">
        <v>18</v>
      </c>
      <c r="G612" t="s">
        <v>15</v>
      </c>
      <c r="H612" t="s">
        <v>25</v>
      </c>
      <c r="I612">
        <v>0.18</v>
      </c>
      <c r="J612">
        <v>597625.15</v>
      </c>
      <c r="K612">
        <f>Table2[[#This Row],[revenue]]/Table2[[#This Row],[budget]]</f>
        <v>31.220377543797326</v>
      </c>
      <c r="L612" s="2">
        <f t="shared" si="27"/>
        <v>191421.5</v>
      </c>
      <c r="M612" s="2">
        <f>(Table2[[#This Row],[Adjusted revenue]]-Table2[[#This Row],[budget]])/Table2[[#This Row],[budget]]</f>
        <v>9</v>
      </c>
      <c r="N612" t="str">
        <f t="shared" si="28"/>
        <v>OK</v>
      </c>
      <c r="O612" s="2">
        <f t="shared" si="29"/>
        <v>1</v>
      </c>
    </row>
    <row r="613" spans="1:15" x14ac:dyDescent="0.3">
      <c r="A613" t="s">
        <v>631</v>
      </c>
      <c r="B613" s="1">
        <v>45121</v>
      </c>
      <c r="C613" s="1">
        <v>45504</v>
      </c>
      <c r="D613">
        <v>32039.7</v>
      </c>
      <c r="E613" s="2">
        <f>(Table2[[#This Row],[revenue]]-Table2[[#This Row],[budget]])/Table2[[#This Row],[budget]]</f>
        <v>9.4256057328876359</v>
      </c>
      <c r="F613" t="s">
        <v>23</v>
      </c>
      <c r="G613" t="s">
        <v>12</v>
      </c>
      <c r="H613" t="s">
        <v>25</v>
      </c>
      <c r="I613">
        <v>0.97</v>
      </c>
      <c r="J613">
        <v>334033.28000000003</v>
      </c>
      <c r="K613">
        <f>Table2[[#This Row],[revenue]]/Table2[[#This Row],[budget]]</f>
        <v>10.425605732887638</v>
      </c>
      <c r="L613" s="2">
        <f t="shared" si="27"/>
        <v>320397</v>
      </c>
      <c r="M613" s="2">
        <f>(Table2[[#This Row],[Adjusted revenue]]-Table2[[#This Row],[budget]])/Table2[[#This Row],[budget]]</f>
        <v>9</v>
      </c>
      <c r="N613" t="str">
        <f t="shared" si="28"/>
        <v>OK</v>
      </c>
      <c r="O613" s="2">
        <f t="shared" si="29"/>
        <v>1</v>
      </c>
    </row>
    <row r="614" spans="1:15" x14ac:dyDescent="0.3">
      <c r="A614" t="s">
        <v>632</v>
      </c>
      <c r="B614" s="1">
        <v>45125</v>
      </c>
      <c r="C614" s="1">
        <v>45419</v>
      </c>
      <c r="D614">
        <v>82834.559999999998</v>
      </c>
      <c r="E614" s="2">
        <f>(Table2[[#This Row],[revenue]]-Table2[[#This Row],[budget]])/Table2[[#This Row],[budget]]</f>
        <v>6.1557020403078146</v>
      </c>
      <c r="F614" t="s">
        <v>11</v>
      </c>
      <c r="G614" t="s">
        <v>15</v>
      </c>
      <c r="H614" t="s">
        <v>19</v>
      </c>
      <c r="I614">
        <v>0.18</v>
      </c>
      <c r="J614">
        <v>592739.43000000005</v>
      </c>
      <c r="K614">
        <f>Table2[[#This Row],[revenue]]/Table2[[#This Row],[budget]]</f>
        <v>7.1557020403078146</v>
      </c>
      <c r="L614" s="2">
        <f t="shared" si="27"/>
        <v>592739.43000000005</v>
      </c>
      <c r="M614" s="2">
        <f>(Table2[[#This Row],[Adjusted revenue]]-Table2[[#This Row],[budget]])/Table2[[#This Row],[budget]]</f>
        <v>6.1557020403078146</v>
      </c>
      <c r="N614" t="str">
        <f t="shared" si="28"/>
        <v>OK</v>
      </c>
      <c r="O614" s="2">
        <f t="shared" si="29"/>
        <v>0.40120042953848722</v>
      </c>
    </row>
    <row r="615" spans="1:15" x14ac:dyDescent="0.3">
      <c r="A615" t="s">
        <v>633</v>
      </c>
      <c r="B615" s="1">
        <v>44995</v>
      </c>
      <c r="C615" s="1">
        <v>45465</v>
      </c>
      <c r="D615">
        <v>86489.51</v>
      </c>
      <c r="E615" s="2">
        <f>(Table2[[#This Row],[revenue]]-Table2[[#This Row],[budget]])/Table2[[#This Row],[budget]]</f>
        <v>8.4296623948962139</v>
      </c>
      <c r="F615" t="s">
        <v>21</v>
      </c>
      <c r="G615" t="s">
        <v>15</v>
      </c>
      <c r="H615" t="s">
        <v>19</v>
      </c>
      <c r="I615">
        <v>0.76</v>
      </c>
      <c r="J615">
        <v>815566.88</v>
      </c>
      <c r="K615">
        <f>Table2[[#This Row],[revenue]]/Table2[[#This Row],[budget]]</f>
        <v>9.4296623948962139</v>
      </c>
      <c r="L615" s="2">
        <f t="shared" si="27"/>
        <v>815566.88</v>
      </c>
      <c r="M615" s="2">
        <f>(Table2[[#This Row],[Adjusted revenue]]-Table2[[#This Row],[budget]])/Table2[[#This Row],[budget]]</f>
        <v>8.4296623948962139</v>
      </c>
      <c r="N615" t="str">
        <f t="shared" si="28"/>
        <v>OK</v>
      </c>
      <c r="O615" s="2">
        <f t="shared" si="29"/>
        <v>0.87992892524130828</v>
      </c>
    </row>
    <row r="616" spans="1:15" x14ac:dyDescent="0.3">
      <c r="A616" t="s">
        <v>634</v>
      </c>
      <c r="B616" s="1">
        <v>44824</v>
      </c>
      <c r="C616" s="1">
        <v>45285</v>
      </c>
      <c r="D616">
        <v>67375.899999999994</v>
      </c>
      <c r="E616" s="2">
        <f>(Table2[[#This Row],[revenue]]-Table2[[#This Row],[budget]])/Table2[[#This Row],[budget]]</f>
        <v>6.6246318045473247</v>
      </c>
      <c r="F616" t="s">
        <v>21</v>
      </c>
      <c r="G616" t="s">
        <v>12</v>
      </c>
      <c r="H616" t="s">
        <v>25</v>
      </c>
      <c r="I616">
        <v>0.77</v>
      </c>
      <c r="J616">
        <v>513716.43</v>
      </c>
      <c r="K616">
        <f>Table2[[#This Row],[revenue]]/Table2[[#This Row],[budget]]</f>
        <v>7.6246318045473238</v>
      </c>
      <c r="L616" s="2">
        <f t="shared" si="27"/>
        <v>513716.43</v>
      </c>
      <c r="M616" s="2">
        <f>(Table2[[#This Row],[Adjusted revenue]]-Table2[[#This Row],[budget]])/Table2[[#This Row],[budget]]</f>
        <v>6.6246318045473247</v>
      </c>
      <c r="N616" t="str">
        <f t="shared" si="28"/>
        <v>OK</v>
      </c>
      <c r="O616" s="2">
        <f t="shared" si="29"/>
        <v>0.49992248516785787</v>
      </c>
    </row>
    <row r="617" spans="1:15" x14ac:dyDescent="0.3">
      <c r="A617" t="s">
        <v>635</v>
      </c>
      <c r="B617" s="1">
        <v>45056</v>
      </c>
      <c r="C617" s="1">
        <v>45269</v>
      </c>
      <c r="D617">
        <v>17355.98</v>
      </c>
      <c r="E617" s="2">
        <f>(Table2[[#This Row],[revenue]]-Table2[[#This Row],[budget]])/Table2[[#This Row],[budget]]</f>
        <v>-0.44134874550443126</v>
      </c>
      <c r="F617" t="s">
        <v>23</v>
      </c>
      <c r="G617" t="s">
        <v>12</v>
      </c>
      <c r="H617" t="s">
        <v>25</v>
      </c>
      <c r="I617">
        <v>0.48</v>
      </c>
      <c r="J617">
        <v>9695.94</v>
      </c>
      <c r="K617">
        <f>Table2[[#This Row],[revenue]]/Table2[[#This Row],[budget]]</f>
        <v>0.55865125449556874</v>
      </c>
      <c r="L617" s="2">
        <f t="shared" si="27"/>
        <v>9695.94</v>
      </c>
      <c r="M617" s="2">
        <f>(Table2[[#This Row],[Adjusted revenue]]-Table2[[#This Row],[budget]])/Table2[[#This Row],[budget]]</f>
        <v>-0.44134874550443126</v>
      </c>
      <c r="N617" t="str">
        <f t="shared" si="28"/>
        <v>Failed</v>
      </c>
      <c r="O617" s="2">
        <f t="shared" si="29"/>
        <v>-0.98765236747461715</v>
      </c>
    </row>
    <row r="618" spans="1:15" x14ac:dyDescent="0.3">
      <c r="A618" t="s">
        <v>636</v>
      </c>
      <c r="B618" s="1">
        <v>44874</v>
      </c>
      <c r="C618" s="1">
        <v>45140</v>
      </c>
      <c r="D618">
        <v>22675.22</v>
      </c>
      <c r="E618" s="2">
        <f>(Table2[[#This Row],[revenue]]-Table2[[#This Row],[budget]])/Table2[[#This Row],[budget]]</f>
        <v>16.769217233614487</v>
      </c>
      <c r="F618" t="s">
        <v>21</v>
      </c>
      <c r="G618" t="s">
        <v>12</v>
      </c>
      <c r="H618" t="s">
        <v>25</v>
      </c>
      <c r="I618">
        <v>0.78</v>
      </c>
      <c r="J618">
        <v>402920.91</v>
      </c>
      <c r="K618">
        <f>Table2[[#This Row],[revenue]]/Table2[[#This Row],[budget]]</f>
        <v>17.769217233614491</v>
      </c>
      <c r="L618" s="2">
        <f t="shared" si="27"/>
        <v>226752.2</v>
      </c>
      <c r="M618" s="2">
        <f>(Table2[[#This Row],[Adjusted revenue]]-Table2[[#This Row],[budget]])/Table2[[#This Row],[budget]]</f>
        <v>9</v>
      </c>
      <c r="N618" t="str">
        <f t="shared" si="28"/>
        <v>OK</v>
      </c>
      <c r="O618" s="2">
        <f t="shared" si="29"/>
        <v>1</v>
      </c>
    </row>
    <row r="619" spans="1:15" x14ac:dyDescent="0.3">
      <c r="A619" t="s">
        <v>637</v>
      </c>
      <c r="B619" s="1">
        <v>44923</v>
      </c>
      <c r="C619" s="1">
        <v>45201</v>
      </c>
      <c r="D619">
        <v>68727.53</v>
      </c>
      <c r="E619" s="2">
        <f>(Table2[[#This Row],[revenue]]-Table2[[#This Row],[budget]])/Table2[[#This Row],[budget]]</f>
        <v>2.8768986751015202</v>
      </c>
      <c r="F619" t="s">
        <v>21</v>
      </c>
      <c r="G619" t="s">
        <v>12</v>
      </c>
      <c r="H619" t="s">
        <v>25</v>
      </c>
      <c r="I619">
        <v>0.12</v>
      </c>
      <c r="J619">
        <v>266449.67</v>
      </c>
      <c r="K619">
        <f>Table2[[#This Row],[revenue]]/Table2[[#This Row],[budget]]</f>
        <v>3.8768986751015202</v>
      </c>
      <c r="L619" s="2">
        <f t="shared" si="27"/>
        <v>266449.67</v>
      </c>
      <c r="M619" s="2">
        <f>(Table2[[#This Row],[Adjusted revenue]]-Table2[[#This Row],[budget]])/Table2[[#This Row],[budget]]</f>
        <v>2.8768986751015202</v>
      </c>
      <c r="N619" t="str">
        <f t="shared" si="28"/>
        <v>OK</v>
      </c>
      <c r="O619" s="2">
        <f t="shared" si="29"/>
        <v>-0.28907396313652212</v>
      </c>
    </row>
    <row r="620" spans="1:15" x14ac:dyDescent="0.3">
      <c r="A620" t="s">
        <v>638</v>
      </c>
      <c r="B620" s="1">
        <v>44807</v>
      </c>
      <c r="C620" s="1">
        <v>45297</v>
      </c>
      <c r="D620">
        <v>65864.61</v>
      </c>
      <c r="E620" s="2">
        <f>(Table2[[#This Row],[revenue]]-Table2[[#This Row],[budget]])/Table2[[#This Row],[budget]]</f>
        <v>14.172304519832426</v>
      </c>
      <c r="F620" t="s">
        <v>23</v>
      </c>
      <c r="G620" t="s">
        <v>12</v>
      </c>
      <c r="H620" t="s">
        <v>16</v>
      </c>
      <c r="I620">
        <v>0.19</v>
      </c>
      <c r="J620">
        <v>999317.92</v>
      </c>
      <c r="K620">
        <f>Table2[[#This Row],[revenue]]/Table2[[#This Row],[budget]]</f>
        <v>15.172304519832426</v>
      </c>
      <c r="L620" s="2">
        <f t="shared" si="27"/>
        <v>658646.1</v>
      </c>
      <c r="M620" s="2">
        <f>(Table2[[#This Row],[Adjusted revenue]]-Table2[[#This Row],[budget]])/Table2[[#This Row],[budget]]</f>
        <v>9</v>
      </c>
      <c r="N620" t="str">
        <f t="shared" si="28"/>
        <v>OK</v>
      </c>
      <c r="O620" s="2">
        <f t="shared" si="29"/>
        <v>1</v>
      </c>
    </row>
    <row r="621" spans="1:15" x14ac:dyDescent="0.3">
      <c r="A621" t="s">
        <v>639</v>
      </c>
      <c r="B621" s="1">
        <v>44903</v>
      </c>
      <c r="C621" s="1">
        <v>45411</v>
      </c>
      <c r="D621">
        <v>20823.669999999998</v>
      </c>
      <c r="E621" s="2">
        <f>(Table2[[#This Row],[revenue]]-Table2[[#This Row],[budget]])/Table2[[#This Row],[budget]]</f>
        <v>30.13786522740708</v>
      </c>
      <c r="F621" t="s">
        <v>11</v>
      </c>
      <c r="G621" t="s">
        <v>15</v>
      </c>
      <c r="H621" t="s">
        <v>19</v>
      </c>
      <c r="I621">
        <v>0.38</v>
      </c>
      <c r="J621">
        <v>648404.63</v>
      </c>
      <c r="K621">
        <f>Table2[[#This Row],[revenue]]/Table2[[#This Row],[budget]]</f>
        <v>31.137865227407083</v>
      </c>
      <c r="L621" s="2">
        <f t="shared" si="27"/>
        <v>208236.69999999998</v>
      </c>
      <c r="M621" s="2">
        <f>(Table2[[#This Row],[Adjusted revenue]]-Table2[[#This Row],[budget]])/Table2[[#This Row],[budget]]</f>
        <v>9</v>
      </c>
      <c r="N621" t="str">
        <f t="shared" si="28"/>
        <v>OK</v>
      </c>
      <c r="O621" s="2">
        <f t="shared" si="29"/>
        <v>1</v>
      </c>
    </row>
    <row r="622" spans="1:15" x14ac:dyDescent="0.3">
      <c r="A622" t="s">
        <v>640</v>
      </c>
      <c r="B622" s="1">
        <v>45008</v>
      </c>
      <c r="C622" s="1">
        <v>45237</v>
      </c>
      <c r="D622">
        <v>22088.95</v>
      </c>
      <c r="E622" s="2">
        <f>(Table2[[#This Row],[revenue]]-Table2[[#This Row],[budget]])/Table2[[#This Row],[budget]]</f>
        <v>30.380839741137539</v>
      </c>
      <c r="F622" t="s">
        <v>18</v>
      </c>
      <c r="G622" t="s">
        <v>15</v>
      </c>
      <c r="H622" t="s">
        <v>13</v>
      </c>
      <c r="I622">
        <v>0.71</v>
      </c>
      <c r="J622">
        <v>693169.8</v>
      </c>
      <c r="K622">
        <f>Table2[[#This Row],[revenue]]/Table2[[#This Row],[budget]]</f>
        <v>31.380839741137539</v>
      </c>
      <c r="L622" s="2">
        <f t="shared" si="27"/>
        <v>220889.5</v>
      </c>
      <c r="M622" s="2">
        <f>(Table2[[#This Row],[Adjusted revenue]]-Table2[[#This Row],[budget]])/Table2[[#This Row],[budget]]</f>
        <v>9</v>
      </c>
      <c r="N622" t="str">
        <f t="shared" si="28"/>
        <v>OK</v>
      </c>
      <c r="O622" s="2">
        <f t="shared" si="29"/>
        <v>1</v>
      </c>
    </row>
    <row r="623" spans="1:15" x14ac:dyDescent="0.3">
      <c r="A623" t="s">
        <v>641</v>
      </c>
      <c r="B623" s="1">
        <v>44937</v>
      </c>
      <c r="C623" s="1">
        <v>45153</v>
      </c>
      <c r="D623">
        <v>39804.699999999997</v>
      </c>
      <c r="E623" s="2">
        <f>(Table2[[#This Row],[revenue]]-Table2[[#This Row],[budget]])/Table2[[#This Row],[budget]]</f>
        <v>21.972591176418867</v>
      </c>
      <c r="F623" t="s">
        <v>11</v>
      </c>
      <c r="G623" t="s">
        <v>15</v>
      </c>
      <c r="H623" t="s">
        <v>16</v>
      </c>
      <c r="I623">
        <v>0.96</v>
      </c>
      <c r="J623">
        <v>914417.1</v>
      </c>
      <c r="K623">
        <f>Table2[[#This Row],[revenue]]/Table2[[#This Row],[budget]]</f>
        <v>22.972591176418867</v>
      </c>
      <c r="L623" s="2">
        <f t="shared" si="27"/>
        <v>398047</v>
      </c>
      <c r="M623" s="2">
        <f>(Table2[[#This Row],[Adjusted revenue]]-Table2[[#This Row],[budget]])/Table2[[#This Row],[budget]]</f>
        <v>9</v>
      </c>
      <c r="N623" t="str">
        <f t="shared" si="28"/>
        <v>OK</v>
      </c>
      <c r="O623" s="2">
        <f t="shared" si="29"/>
        <v>1</v>
      </c>
    </row>
    <row r="624" spans="1:15" x14ac:dyDescent="0.3">
      <c r="A624" t="s">
        <v>642</v>
      </c>
      <c r="B624" s="1">
        <v>44995</v>
      </c>
      <c r="C624" s="1">
        <v>45379</v>
      </c>
      <c r="D624">
        <v>54266.94</v>
      </c>
      <c r="E624" s="2">
        <f>(Table2[[#This Row],[revenue]]-Table2[[#This Row],[budget]])/Table2[[#This Row],[budget]]</f>
        <v>9.5749334677798306</v>
      </c>
      <c r="F624" t="s">
        <v>11</v>
      </c>
      <c r="G624" t="s">
        <v>15</v>
      </c>
      <c r="H624" t="s">
        <v>13</v>
      </c>
      <c r="I624">
        <v>0.64</v>
      </c>
      <c r="J624">
        <v>573869.28</v>
      </c>
      <c r="K624">
        <f>Table2[[#This Row],[revenue]]/Table2[[#This Row],[budget]]</f>
        <v>10.574933467779831</v>
      </c>
      <c r="L624" s="2">
        <f t="shared" si="27"/>
        <v>542669.4</v>
      </c>
      <c r="M624" s="2">
        <f>(Table2[[#This Row],[Adjusted revenue]]-Table2[[#This Row],[budget]])/Table2[[#This Row],[budget]]</f>
        <v>9</v>
      </c>
      <c r="N624" t="str">
        <f t="shared" si="28"/>
        <v>OK</v>
      </c>
      <c r="O624" s="2">
        <f t="shared" si="29"/>
        <v>1</v>
      </c>
    </row>
    <row r="625" spans="1:15" x14ac:dyDescent="0.3">
      <c r="A625" t="s">
        <v>643</v>
      </c>
      <c r="B625" s="1">
        <v>45047</v>
      </c>
      <c r="C625" s="1">
        <v>45272</v>
      </c>
      <c r="D625">
        <v>59805.35</v>
      </c>
      <c r="E625" s="2">
        <f>(Table2[[#This Row],[revenue]]-Table2[[#This Row],[budget]])/Table2[[#This Row],[budget]]</f>
        <v>15.295194326260111</v>
      </c>
      <c r="F625" t="s">
        <v>18</v>
      </c>
      <c r="G625" t="s">
        <v>15</v>
      </c>
      <c r="H625" t="s">
        <v>19</v>
      </c>
      <c r="I625">
        <v>0.64</v>
      </c>
      <c r="J625">
        <v>974539.8</v>
      </c>
      <c r="K625">
        <f>Table2[[#This Row],[revenue]]/Table2[[#This Row],[budget]]</f>
        <v>16.295194326260109</v>
      </c>
      <c r="L625" s="2">
        <f t="shared" si="27"/>
        <v>598053.5</v>
      </c>
      <c r="M625" s="2">
        <f>(Table2[[#This Row],[Adjusted revenue]]-Table2[[#This Row],[budget]])/Table2[[#This Row],[budget]]</f>
        <v>9</v>
      </c>
      <c r="N625" t="str">
        <f t="shared" si="28"/>
        <v>OK</v>
      </c>
      <c r="O625" s="2">
        <f t="shared" si="29"/>
        <v>1</v>
      </c>
    </row>
    <row r="626" spans="1:15" x14ac:dyDescent="0.3">
      <c r="A626" t="s">
        <v>644</v>
      </c>
      <c r="B626" s="1">
        <v>45109</v>
      </c>
      <c r="C626" s="1">
        <v>45220</v>
      </c>
      <c r="D626">
        <v>59767.18</v>
      </c>
      <c r="E626" s="2">
        <f>(Table2[[#This Row],[revenue]]-Table2[[#This Row],[budget]])/Table2[[#This Row],[budget]]</f>
        <v>13.093331825259279</v>
      </c>
      <c r="F626" t="s">
        <v>18</v>
      </c>
      <c r="G626" t="s">
        <v>15</v>
      </c>
      <c r="H626" t="s">
        <v>13</v>
      </c>
      <c r="I626">
        <v>0.59</v>
      </c>
      <c r="J626">
        <v>842318.7</v>
      </c>
      <c r="K626">
        <f>Table2[[#This Row],[revenue]]/Table2[[#This Row],[budget]]</f>
        <v>14.093331825259281</v>
      </c>
      <c r="L626" s="2">
        <f t="shared" si="27"/>
        <v>597671.80000000005</v>
      </c>
      <c r="M626" s="2">
        <f>(Table2[[#This Row],[Adjusted revenue]]-Table2[[#This Row],[budget]])/Table2[[#This Row],[budget]]</f>
        <v>9</v>
      </c>
      <c r="N626" t="str">
        <f t="shared" si="28"/>
        <v>OK</v>
      </c>
      <c r="O626" s="2">
        <f t="shared" si="29"/>
        <v>1</v>
      </c>
    </row>
    <row r="627" spans="1:15" x14ac:dyDescent="0.3">
      <c r="A627" t="s">
        <v>645</v>
      </c>
      <c r="B627" s="1">
        <v>44923</v>
      </c>
      <c r="C627" s="1">
        <v>45252</v>
      </c>
      <c r="D627">
        <v>35082.9</v>
      </c>
      <c r="E627" s="2">
        <f>(Table2[[#This Row],[revenue]]-Table2[[#This Row],[budget]])/Table2[[#This Row],[budget]]</f>
        <v>4.5179480601660638</v>
      </c>
      <c r="F627" t="s">
        <v>18</v>
      </c>
      <c r="G627" t="s">
        <v>12</v>
      </c>
      <c r="H627" t="s">
        <v>16</v>
      </c>
      <c r="I627">
        <v>0.5</v>
      </c>
      <c r="J627">
        <v>193585.62</v>
      </c>
      <c r="K627">
        <f>Table2[[#This Row],[revenue]]/Table2[[#This Row],[budget]]</f>
        <v>5.5179480601660638</v>
      </c>
      <c r="L627" s="2">
        <f t="shared" si="27"/>
        <v>193585.62</v>
      </c>
      <c r="M627" s="2">
        <f>(Table2[[#This Row],[Adjusted revenue]]-Table2[[#This Row],[budget]])/Table2[[#This Row],[budget]]</f>
        <v>4.5179480601660638</v>
      </c>
      <c r="N627" t="str">
        <f t="shared" si="28"/>
        <v>OK</v>
      </c>
      <c r="O627" s="2">
        <f t="shared" si="29"/>
        <v>5.6410117929697634E-2</v>
      </c>
    </row>
    <row r="628" spans="1:15" x14ac:dyDescent="0.3">
      <c r="A628" t="s">
        <v>646</v>
      </c>
      <c r="B628" s="1">
        <v>45023</v>
      </c>
      <c r="C628" s="1">
        <v>45202</v>
      </c>
      <c r="D628">
        <v>55780.6</v>
      </c>
      <c r="E628" s="2">
        <f>(Table2[[#This Row],[revenue]]-Table2[[#This Row],[budget]])/Table2[[#This Row],[budget]]</f>
        <v>16.866036758299483</v>
      </c>
      <c r="F628" t="s">
        <v>11</v>
      </c>
      <c r="G628" t="s">
        <v>12</v>
      </c>
      <c r="H628" t="s">
        <v>25</v>
      </c>
      <c r="I628">
        <v>0.19</v>
      </c>
      <c r="J628">
        <v>996578.25</v>
      </c>
      <c r="K628">
        <f>Table2[[#This Row],[revenue]]/Table2[[#This Row],[budget]]</f>
        <v>17.866036758299479</v>
      </c>
      <c r="L628" s="2">
        <f t="shared" si="27"/>
        <v>557806</v>
      </c>
      <c r="M628" s="2">
        <f>(Table2[[#This Row],[Adjusted revenue]]-Table2[[#This Row],[budget]])/Table2[[#This Row],[budget]]</f>
        <v>9</v>
      </c>
      <c r="N628" t="str">
        <f t="shared" si="28"/>
        <v>OK</v>
      </c>
      <c r="O628" s="2">
        <f t="shared" si="29"/>
        <v>1</v>
      </c>
    </row>
    <row r="629" spans="1:15" x14ac:dyDescent="0.3">
      <c r="A629" t="s">
        <v>647</v>
      </c>
      <c r="B629" s="1">
        <v>45059</v>
      </c>
      <c r="C629" s="1">
        <v>45193</v>
      </c>
      <c r="D629">
        <v>34344.65</v>
      </c>
      <c r="E629" s="2">
        <f>(Table2[[#This Row],[revenue]]-Table2[[#This Row],[budget]])/Table2[[#This Row],[budget]]</f>
        <v>5.6520377991914312</v>
      </c>
      <c r="F629" t="s">
        <v>21</v>
      </c>
      <c r="G629" t="s">
        <v>15</v>
      </c>
      <c r="H629" t="s">
        <v>25</v>
      </c>
      <c r="I629">
        <v>0.91</v>
      </c>
      <c r="J629">
        <v>228461.91</v>
      </c>
      <c r="K629">
        <f>Table2[[#This Row],[revenue]]/Table2[[#This Row],[budget]]</f>
        <v>6.6520377991914312</v>
      </c>
      <c r="L629" s="2">
        <f t="shared" si="27"/>
        <v>228461.91</v>
      </c>
      <c r="M629" s="2">
        <f>(Table2[[#This Row],[Adjusted revenue]]-Table2[[#This Row],[budget]])/Table2[[#This Row],[budget]]</f>
        <v>5.6520377991914312</v>
      </c>
      <c r="N629" t="str">
        <f t="shared" si="28"/>
        <v>OK</v>
      </c>
      <c r="O629" s="2">
        <f t="shared" si="29"/>
        <v>0.29516585246135385</v>
      </c>
    </row>
    <row r="630" spans="1:15" x14ac:dyDescent="0.3">
      <c r="A630" t="s">
        <v>648</v>
      </c>
      <c r="B630" s="1">
        <v>45007</v>
      </c>
      <c r="C630" s="1">
        <v>45157</v>
      </c>
      <c r="D630">
        <v>62805.97</v>
      </c>
      <c r="E630" s="2">
        <f>(Table2[[#This Row],[revenue]]-Table2[[#This Row],[budget]])/Table2[[#This Row],[budget]]</f>
        <v>4.0770628970462521</v>
      </c>
      <c r="F630" t="s">
        <v>23</v>
      </c>
      <c r="G630" t="s">
        <v>15</v>
      </c>
      <c r="H630" t="s">
        <v>25</v>
      </c>
      <c r="I630">
        <v>0.62</v>
      </c>
      <c r="J630">
        <v>318869.86</v>
      </c>
      <c r="K630">
        <f>Table2[[#This Row],[revenue]]/Table2[[#This Row],[budget]]</f>
        <v>5.0770628970462521</v>
      </c>
      <c r="L630" s="2">
        <f t="shared" si="27"/>
        <v>318869.86</v>
      </c>
      <c r="M630" s="2">
        <f>(Table2[[#This Row],[Adjusted revenue]]-Table2[[#This Row],[budget]])/Table2[[#This Row],[budget]]</f>
        <v>4.0770628970462521</v>
      </c>
      <c r="N630" t="str">
        <f t="shared" si="28"/>
        <v>OK</v>
      </c>
      <c r="O630" s="2">
        <f t="shared" si="29"/>
        <v>-3.6407811148157498E-2</v>
      </c>
    </row>
    <row r="631" spans="1:15" x14ac:dyDescent="0.3">
      <c r="A631" t="s">
        <v>649</v>
      </c>
      <c r="B631" s="1">
        <v>44779</v>
      </c>
      <c r="C631" s="1">
        <v>45233</v>
      </c>
      <c r="D631">
        <v>12895.48</v>
      </c>
      <c r="E631" s="2">
        <f>(Table2[[#This Row],[revenue]]-Table2[[#This Row],[budget]])/Table2[[#This Row],[budget]]</f>
        <v>47.015473638825384</v>
      </c>
      <c r="F631" t="s">
        <v>23</v>
      </c>
      <c r="G631" t="s">
        <v>12</v>
      </c>
      <c r="H631" t="s">
        <v>25</v>
      </c>
      <c r="I631">
        <v>0.9</v>
      </c>
      <c r="J631">
        <v>619182.57999999996</v>
      </c>
      <c r="K631">
        <f>Table2[[#This Row],[revenue]]/Table2[[#This Row],[budget]]</f>
        <v>48.015473638825384</v>
      </c>
      <c r="L631" s="2">
        <f t="shared" si="27"/>
        <v>128954.79999999999</v>
      </c>
      <c r="M631" s="2">
        <f>(Table2[[#This Row],[Adjusted revenue]]-Table2[[#This Row],[budget]])/Table2[[#This Row],[budget]]</f>
        <v>9</v>
      </c>
      <c r="N631" t="str">
        <f t="shared" si="28"/>
        <v>OK</v>
      </c>
      <c r="O631" s="2">
        <f t="shared" si="29"/>
        <v>1</v>
      </c>
    </row>
    <row r="632" spans="1:15" x14ac:dyDescent="0.3">
      <c r="A632" t="s">
        <v>650</v>
      </c>
      <c r="B632" s="1">
        <v>44926</v>
      </c>
      <c r="C632" s="1">
        <v>45469</v>
      </c>
      <c r="D632">
        <v>20586.89</v>
      </c>
      <c r="E632" s="2">
        <f>(Table2[[#This Row],[revenue]]-Table2[[#This Row],[budget]])/Table2[[#This Row],[budget]]</f>
        <v>16.694097554317334</v>
      </c>
      <c r="F632" t="s">
        <v>18</v>
      </c>
      <c r="G632" t="s">
        <v>12</v>
      </c>
      <c r="H632" t="s">
        <v>25</v>
      </c>
      <c r="I632">
        <v>0.82</v>
      </c>
      <c r="J632">
        <v>364266.44</v>
      </c>
      <c r="K632">
        <f>Table2[[#This Row],[revenue]]/Table2[[#This Row],[budget]]</f>
        <v>17.694097554317334</v>
      </c>
      <c r="L632" s="2">
        <f t="shared" si="27"/>
        <v>205868.9</v>
      </c>
      <c r="M632" s="2">
        <f>(Table2[[#This Row],[Adjusted revenue]]-Table2[[#This Row],[budget]])/Table2[[#This Row],[budget]]</f>
        <v>9</v>
      </c>
      <c r="N632" t="str">
        <f t="shared" si="28"/>
        <v>OK</v>
      </c>
      <c r="O632" s="2">
        <f t="shared" si="29"/>
        <v>1</v>
      </c>
    </row>
    <row r="633" spans="1:15" x14ac:dyDescent="0.3">
      <c r="A633" t="s">
        <v>651</v>
      </c>
      <c r="B633" s="1">
        <v>45074</v>
      </c>
      <c r="C633" s="1">
        <v>45396</v>
      </c>
      <c r="D633">
        <v>45083.57</v>
      </c>
      <c r="E633" s="2">
        <f>(Table2[[#This Row],[revenue]]-Table2[[#This Row],[budget]])/Table2[[#This Row],[budget]]</f>
        <v>15.502650743940643</v>
      </c>
      <c r="F633" t="s">
        <v>21</v>
      </c>
      <c r="G633" t="s">
        <v>15</v>
      </c>
      <c r="H633" t="s">
        <v>13</v>
      </c>
      <c r="I633">
        <v>0.69</v>
      </c>
      <c r="J633">
        <v>743998.41</v>
      </c>
      <c r="K633">
        <f>Table2[[#This Row],[revenue]]/Table2[[#This Row],[budget]]</f>
        <v>16.502650743940642</v>
      </c>
      <c r="L633" s="2">
        <f t="shared" si="27"/>
        <v>450835.7</v>
      </c>
      <c r="M633" s="2">
        <f>(Table2[[#This Row],[Adjusted revenue]]-Table2[[#This Row],[budget]])/Table2[[#This Row],[budget]]</f>
        <v>9</v>
      </c>
      <c r="N633" t="str">
        <f t="shared" si="28"/>
        <v>OK</v>
      </c>
      <c r="O633" s="2">
        <f t="shared" si="29"/>
        <v>1</v>
      </c>
    </row>
    <row r="634" spans="1:15" x14ac:dyDescent="0.3">
      <c r="A634" t="s">
        <v>652</v>
      </c>
      <c r="B634" s="1">
        <v>44819</v>
      </c>
      <c r="C634" s="1">
        <v>45260</v>
      </c>
      <c r="D634">
        <v>19393.55</v>
      </c>
      <c r="E634" s="2">
        <f>(Table2[[#This Row],[revenue]]-Table2[[#This Row],[budget]])/Table2[[#This Row],[budget]]</f>
        <v>25.477381913058725</v>
      </c>
      <c r="F634" t="s">
        <v>11</v>
      </c>
      <c r="G634" t="s">
        <v>15</v>
      </c>
      <c r="H634" t="s">
        <v>16</v>
      </c>
      <c r="I634">
        <v>0.71</v>
      </c>
      <c r="J634">
        <v>513490.43</v>
      </c>
      <c r="K634">
        <f>Table2[[#This Row],[revenue]]/Table2[[#This Row],[budget]]</f>
        <v>26.477381913058725</v>
      </c>
      <c r="L634" s="2">
        <f t="shared" si="27"/>
        <v>193935.5</v>
      </c>
      <c r="M634" s="2">
        <f>(Table2[[#This Row],[Adjusted revenue]]-Table2[[#This Row],[budget]])/Table2[[#This Row],[budget]]</f>
        <v>9.0000000000000018</v>
      </c>
      <c r="N634" t="str">
        <f t="shared" si="28"/>
        <v>OK</v>
      </c>
      <c r="O634" s="2">
        <f t="shared" si="29"/>
        <v>1.0000000000000004</v>
      </c>
    </row>
    <row r="635" spans="1:15" x14ac:dyDescent="0.3">
      <c r="A635" t="s">
        <v>653</v>
      </c>
      <c r="B635" s="1">
        <v>45086</v>
      </c>
      <c r="C635" s="1">
        <v>45189</v>
      </c>
      <c r="D635">
        <v>77848.2</v>
      </c>
      <c r="E635" s="2">
        <f>(Table2[[#This Row],[revenue]]-Table2[[#This Row],[budget]])/Table2[[#This Row],[budget]]</f>
        <v>8.6852778869646308</v>
      </c>
      <c r="F635" t="s">
        <v>21</v>
      </c>
      <c r="G635" t="s">
        <v>15</v>
      </c>
      <c r="H635" t="s">
        <v>19</v>
      </c>
      <c r="I635">
        <v>0.74</v>
      </c>
      <c r="J635">
        <v>753981.45</v>
      </c>
      <c r="K635">
        <f>Table2[[#This Row],[revenue]]/Table2[[#This Row],[budget]]</f>
        <v>9.6852778869646308</v>
      </c>
      <c r="L635" s="2">
        <f t="shared" si="27"/>
        <v>753981.45</v>
      </c>
      <c r="M635" s="2">
        <f>(Table2[[#This Row],[Adjusted revenue]]-Table2[[#This Row],[budget]])/Table2[[#This Row],[budget]]</f>
        <v>8.6852778869646308</v>
      </c>
      <c r="N635" t="str">
        <f t="shared" si="28"/>
        <v>OK</v>
      </c>
      <c r="O635" s="2">
        <f t="shared" si="29"/>
        <v>0.93374271304518541</v>
      </c>
    </row>
    <row r="636" spans="1:15" x14ac:dyDescent="0.3">
      <c r="A636" t="s">
        <v>654</v>
      </c>
      <c r="B636" s="1">
        <v>45067</v>
      </c>
      <c r="C636" s="1">
        <v>45484</v>
      </c>
      <c r="D636">
        <v>13087.55</v>
      </c>
      <c r="E636" s="2">
        <f>(Table2[[#This Row],[revenue]]-Table2[[#This Row],[budget]])/Table2[[#This Row],[budget]]</f>
        <v>21.416783125947948</v>
      </c>
      <c r="F636" t="s">
        <v>18</v>
      </c>
      <c r="G636" t="s">
        <v>15</v>
      </c>
      <c r="H636" t="s">
        <v>13</v>
      </c>
      <c r="I636">
        <v>0.21</v>
      </c>
      <c r="J636">
        <v>293380.77</v>
      </c>
      <c r="K636">
        <f>Table2[[#This Row],[revenue]]/Table2[[#This Row],[budget]]</f>
        <v>22.416783125947944</v>
      </c>
      <c r="L636" s="2">
        <f t="shared" si="27"/>
        <v>130875.5</v>
      </c>
      <c r="M636" s="2">
        <f>(Table2[[#This Row],[Adjusted revenue]]-Table2[[#This Row],[budget]])/Table2[[#This Row],[budget]]</f>
        <v>9</v>
      </c>
      <c r="N636" t="str">
        <f t="shared" si="28"/>
        <v>OK</v>
      </c>
      <c r="O636" s="2">
        <f t="shared" si="29"/>
        <v>1</v>
      </c>
    </row>
    <row r="637" spans="1:15" x14ac:dyDescent="0.3">
      <c r="A637" t="s">
        <v>655</v>
      </c>
      <c r="B637" s="1">
        <v>44810</v>
      </c>
      <c r="C637" s="1">
        <v>45490</v>
      </c>
      <c r="D637">
        <v>41350.29</v>
      </c>
      <c r="E637" s="2">
        <f>(Table2[[#This Row],[revenue]]-Table2[[#This Row],[budget]])/Table2[[#This Row],[budget]]</f>
        <v>22.051324912110651</v>
      </c>
      <c r="F637" t="s">
        <v>11</v>
      </c>
      <c r="G637" t="s">
        <v>15</v>
      </c>
      <c r="H637" t="s">
        <v>19</v>
      </c>
      <c r="I637">
        <v>0.18</v>
      </c>
      <c r="J637">
        <v>953178.97</v>
      </c>
      <c r="K637">
        <f>Table2[[#This Row],[revenue]]/Table2[[#This Row],[budget]]</f>
        <v>23.051324912110651</v>
      </c>
      <c r="L637" s="2">
        <f t="shared" si="27"/>
        <v>413502.9</v>
      </c>
      <c r="M637" s="2">
        <f>(Table2[[#This Row],[Adjusted revenue]]-Table2[[#This Row],[budget]])/Table2[[#This Row],[budget]]</f>
        <v>9</v>
      </c>
      <c r="N637" t="str">
        <f t="shared" si="28"/>
        <v>OK</v>
      </c>
      <c r="O637" s="2">
        <f t="shared" si="29"/>
        <v>1</v>
      </c>
    </row>
    <row r="638" spans="1:15" x14ac:dyDescent="0.3">
      <c r="A638" t="s">
        <v>656</v>
      </c>
      <c r="B638" s="1">
        <v>44991</v>
      </c>
      <c r="C638" s="1">
        <v>45178</v>
      </c>
      <c r="D638">
        <v>82065.39</v>
      </c>
      <c r="E638" s="2">
        <f>(Table2[[#This Row],[revenue]]-Table2[[#This Row],[budget]])/Table2[[#This Row],[budget]]</f>
        <v>-0.35485592647521691</v>
      </c>
      <c r="F638" t="s">
        <v>21</v>
      </c>
      <c r="G638" t="s">
        <v>15</v>
      </c>
      <c r="H638" t="s">
        <v>25</v>
      </c>
      <c r="I638">
        <v>0.24</v>
      </c>
      <c r="J638">
        <v>52944</v>
      </c>
      <c r="K638">
        <f>Table2[[#This Row],[revenue]]/Table2[[#This Row],[budget]]</f>
        <v>0.64514407352478309</v>
      </c>
      <c r="L638" s="2">
        <f t="shared" si="27"/>
        <v>52944</v>
      </c>
      <c r="M638" s="2">
        <f>(Table2[[#This Row],[Adjusted revenue]]-Table2[[#This Row],[budget]])/Table2[[#This Row],[budget]]</f>
        <v>-0.35485592647521691</v>
      </c>
      <c r="N638" t="str">
        <f t="shared" si="28"/>
        <v>Failed</v>
      </c>
      <c r="O638" s="2">
        <f t="shared" si="29"/>
        <v>-0.96944335294215089</v>
      </c>
    </row>
    <row r="639" spans="1:15" x14ac:dyDescent="0.3">
      <c r="A639" t="s">
        <v>657</v>
      </c>
      <c r="B639" s="1">
        <v>45100</v>
      </c>
      <c r="C639" s="1">
        <v>45342</v>
      </c>
      <c r="D639">
        <v>14225.39</v>
      </c>
      <c r="E639" s="2">
        <f>(Table2[[#This Row],[revenue]]-Table2[[#This Row],[budget]])/Table2[[#This Row],[budget]]</f>
        <v>14.158918665850287</v>
      </c>
      <c r="F639" t="s">
        <v>21</v>
      </c>
      <c r="G639" t="s">
        <v>15</v>
      </c>
      <c r="H639" t="s">
        <v>19</v>
      </c>
      <c r="I639">
        <v>0.51</v>
      </c>
      <c r="J639">
        <v>215641.53</v>
      </c>
      <c r="K639">
        <f>Table2[[#This Row],[revenue]]/Table2[[#This Row],[budget]]</f>
        <v>15.158918665850287</v>
      </c>
      <c r="L639" s="2">
        <f t="shared" si="27"/>
        <v>142253.9</v>
      </c>
      <c r="M639" s="2">
        <f>(Table2[[#This Row],[Adjusted revenue]]-Table2[[#This Row],[budget]])/Table2[[#This Row],[budget]]</f>
        <v>9</v>
      </c>
      <c r="N639" t="str">
        <f t="shared" si="28"/>
        <v>OK</v>
      </c>
      <c r="O639" s="2">
        <f t="shared" si="29"/>
        <v>1</v>
      </c>
    </row>
    <row r="640" spans="1:15" x14ac:dyDescent="0.3">
      <c r="A640" t="s">
        <v>658</v>
      </c>
      <c r="B640" s="1">
        <v>44942</v>
      </c>
      <c r="C640" s="1">
        <v>45265</v>
      </c>
      <c r="D640">
        <v>28165.81</v>
      </c>
      <c r="E640" s="2">
        <f>(Table2[[#This Row],[revenue]]-Table2[[#This Row],[budget]])/Table2[[#This Row],[budget]]</f>
        <v>8.5572554100166123</v>
      </c>
      <c r="F640" t="s">
        <v>23</v>
      </c>
      <c r="G640" t="s">
        <v>12</v>
      </c>
      <c r="H640" t="s">
        <v>16</v>
      </c>
      <c r="I640">
        <v>0.3</v>
      </c>
      <c r="J640">
        <v>269187.84000000003</v>
      </c>
      <c r="K640">
        <f>Table2[[#This Row],[revenue]]/Table2[[#This Row],[budget]]</f>
        <v>9.5572554100166123</v>
      </c>
      <c r="L640" s="2">
        <f t="shared" si="27"/>
        <v>269187.84000000003</v>
      </c>
      <c r="M640" s="2">
        <f>(Table2[[#This Row],[Adjusted revenue]]-Table2[[#This Row],[budget]])/Table2[[#This Row],[budget]]</f>
        <v>8.5572554100166123</v>
      </c>
      <c r="N640" t="str">
        <f t="shared" si="28"/>
        <v>OK</v>
      </c>
      <c r="O640" s="2">
        <f t="shared" si="29"/>
        <v>0.90679061263507621</v>
      </c>
    </row>
    <row r="641" spans="1:15" x14ac:dyDescent="0.3">
      <c r="A641" t="s">
        <v>659</v>
      </c>
      <c r="B641" s="1">
        <v>44808</v>
      </c>
      <c r="C641" s="1">
        <v>45347</v>
      </c>
      <c r="D641">
        <v>21006.57</v>
      </c>
      <c r="E641" s="2">
        <f>(Table2[[#This Row],[revenue]]-Table2[[#This Row],[budget]])/Table2[[#This Row],[budget]]</f>
        <v>30.126632286946421</v>
      </c>
      <c r="F641" t="s">
        <v>23</v>
      </c>
      <c r="G641" t="s">
        <v>12</v>
      </c>
      <c r="H641" t="s">
        <v>19</v>
      </c>
      <c r="I641">
        <v>0.59</v>
      </c>
      <c r="J641">
        <v>653863.78</v>
      </c>
      <c r="K641">
        <f>Table2[[#This Row],[revenue]]/Table2[[#This Row],[budget]]</f>
        <v>31.126632286946418</v>
      </c>
      <c r="L641" s="2">
        <f t="shared" si="27"/>
        <v>210065.7</v>
      </c>
      <c r="M641" s="2">
        <f>(Table2[[#This Row],[Adjusted revenue]]-Table2[[#This Row],[budget]])/Table2[[#This Row],[budget]]</f>
        <v>9</v>
      </c>
      <c r="N641" t="str">
        <f t="shared" si="28"/>
        <v>OK</v>
      </c>
      <c r="O641" s="2">
        <f t="shared" si="29"/>
        <v>1</v>
      </c>
    </row>
    <row r="642" spans="1:15" x14ac:dyDescent="0.3">
      <c r="A642" t="s">
        <v>660</v>
      </c>
      <c r="B642" s="1">
        <v>45127</v>
      </c>
      <c r="C642" s="1">
        <v>45149</v>
      </c>
      <c r="D642">
        <v>49513.98</v>
      </c>
      <c r="E642" s="2">
        <f>(Table2[[#This Row],[revenue]]-Table2[[#This Row],[budget]])/Table2[[#This Row],[budget]]</f>
        <v>6.3642967097373306</v>
      </c>
      <c r="F642" t="s">
        <v>21</v>
      </c>
      <c r="G642" t="s">
        <v>12</v>
      </c>
      <c r="H642" t="s">
        <v>25</v>
      </c>
      <c r="I642">
        <v>0.39</v>
      </c>
      <c r="J642">
        <v>364635.64</v>
      </c>
      <c r="K642">
        <f>Table2[[#This Row],[revenue]]/Table2[[#This Row],[budget]]</f>
        <v>7.3642967097373306</v>
      </c>
      <c r="L642" s="2">
        <f t="shared" ref="L642:L705" si="30">MIN(MAX(J642, D642*0.5), D642*10)</f>
        <v>364635.64</v>
      </c>
      <c r="M642" s="2">
        <f>(Table2[[#This Row],[Adjusted revenue]]-Table2[[#This Row],[budget]])/Table2[[#This Row],[budget]]</f>
        <v>6.3642967097373306</v>
      </c>
      <c r="N642" t="str">
        <f t="shared" ref="N642:N705" si="31">IF(M642&lt;0.5,"Failed",IF(M642&gt;10,"Suspicious","OK"))</f>
        <v>OK</v>
      </c>
      <c r="O642" s="2">
        <f t="shared" ref="O642:O705" si="32">((M642 - (-0.5)) / (9 - (-0.5))) * (1 - (-1)) + (-1)</f>
        <v>0.4451150967868065</v>
      </c>
    </row>
    <row r="643" spans="1:15" x14ac:dyDescent="0.3">
      <c r="A643" t="s">
        <v>661</v>
      </c>
      <c r="B643" s="1">
        <v>44834</v>
      </c>
      <c r="C643" s="1">
        <v>45336</v>
      </c>
      <c r="D643">
        <v>83745.94</v>
      </c>
      <c r="E643" s="2">
        <f>(Table2[[#This Row],[revenue]]-Table2[[#This Row],[budget]])/Table2[[#This Row],[budget]]</f>
        <v>3.9643700936427488</v>
      </c>
      <c r="F643" t="s">
        <v>11</v>
      </c>
      <c r="G643" t="s">
        <v>12</v>
      </c>
      <c r="H643" t="s">
        <v>16</v>
      </c>
      <c r="I643">
        <v>0.21</v>
      </c>
      <c r="J643">
        <v>415745.84</v>
      </c>
      <c r="K643">
        <f>Table2[[#This Row],[revenue]]/Table2[[#This Row],[budget]]</f>
        <v>4.9643700936427484</v>
      </c>
      <c r="L643" s="2">
        <f t="shared" si="30"/>
        <v>415745.84</v>
      </c>
      <c r="M643" s="2">
        <f>(Table2[[#This Row],[Adjusted revenue]]-Table2[[#This Row],[budget]])/Table2[[#This Row],[budget]]</f>
        <v>3.9643700936427488</v>
      </c>
      <c r="N643" t="str">
        <f t="shared" si="31"/>
        <v>OK</v>
      </c>
      <c r="O643" s="2">
        <f t="shared" si="32"/>
        <v>-6.0132611864684327E-2</v>
      </c>
    </row>
    <row r="644" spans="1:15" x14ac:dyDescent="0.3">
      <c r="A644" t="s">
        <v>662</v>
      </c>
      <c r="B644" s="1">
        <v>44932</v>
      </c>
      <c r="C644" s="1">
        <v>45366</v>
      </c>
      <c r="D644">
        <v>10894.5</v>
      </c>
      <c r="E644" s="2">
        <f>(Table2[[#This Row],[revenue]]-Table2[[#This Row],[budget]])/Table2[[#This Row],[budget]]</f>
        <v>5.8512689889393723</v>
      </c>
      <c r="F644" t="s">
        <v>18</v>
      </c>
      <c r="G644" t="s">
        <v>15</v>
      </c>
      <c r="H644" t="s">
        <v>19</v>
      </c>
      <c r="I644">
        <v>0.96</v>
      </c>
      <c r="J644">
        <v>74641.149999999994</v>
      </c>
      <c r="K644">
        <f>Table2[[#This Row],[revenue]]/Table2[[#This Row],[budget]]</f>
        <v>6.8512689889393723</v>
      </c>
      <c r="L644" s="2">
        <f t="shared" si="30"/>
        <v>74641.149999999994</v>
      </c>
      <c r="M644" s="2">
        <f>(Table2[[#This Row],[Adjusted revenue]]-Table2[[#This Row],[budget]])/Table2[[#This Row],[budget]]</f>
        <v>5.8512689889393723</v>
      </c>
      <c r="N644" t="str">
        <f t="shared" si="31"/>
        <v>OK</v>
      </c>
      <c r="O644" s="2">
        <f t="shared" si="32"/>
        <v>0.33710926082934156</v>
      </c>
    </row>
    <row r="645" spans="1:15" x14ac:dyDescent="0.3">
      <c r="A645" t="s">
        <v>663</v>
      </c>
      <c r="B645" s="1">
        <v>45019</v>
      </c>
      <c r="C645" s="1">
        <v>45345</v>
      </c>
      <c r="D645">
        <v>52366.3</v>
      </c>
      <c r="E645" s="2">
        <f>(Table2[[#This Row],[revenue]]-Table2[[#This Row],[budget]])/Table2[[#This Row],[budget]]</f>
        <v>15.270771469437403</v>
      </c>
      <c r="F645" t="s">
        <v>18</v>
      </c>
      <c r="G645" t="s">
        <v>12</v>
      </c>
      <c r="H645" t="s">
        <v>19</v>
      </c>
      <c r="I645">
        <v>0.21</v>
      </c>
      <c r="J645">
        <v>852040.1</v>
      </c>
      <c r="K645">
        <f>Table2[[#This Row],[revenue]]/Table2[[#This Row],[budget]]</f>
        <v>16.270771469437403</v>
      </c>
      <c r="L645" s="2">
        <f t="shared" si="30"/>
        <v>523663</v>
      </c>
      <c r="M645" s="2">
        <f>(Table2[[#This Row],[Adjusted revenue]]-Table2[[#This Row],[budget]])/Table2[[#This Row],[budget]]</f>
        <v>9</v>
      </c>
      <c r="N645" t="str">
        <f t="shared" si="31"/>
        <v>OK</v>
      </c>
      <c r="O645" s="2">
        <f t="shared" si="32"/>
        <v>1</v>
      </c>
    </row>
    <row r="646" spans="1:15" x14ac:dyDescent="0.3">
      <c r="A646" t="s">
        <v>664</v>
      </c>
      <c r="B646" s="1">
        <v>45026</v>
      </c>
      <c r="C646" s="1">
        <v>45415</v>
      </c>
      <c r="D646">
        <v>80463.240000000005</v>
      </c>
      <c r="E646" s="2">
        <f>(Table2[[#This Row],[revenue]]-Table2[[#This Row],[budget]])/Table2[[#This Row],[budget]]</f>
        <v>8.7024023641106165</v>
      </c>
      <c r="F646" t="s">
        <v>11</v>
      </c>
      <c r="G646" t="s">
        <v>15</v>
      </c>
      <c r="H646" t="s">
        <v>19</v>
      </c>
      <c r="I646">
        <v>0.88</v>
      </c>
      <c r="J646">
        <v>780686.73</v>
      </c>
      <c r="K646">
        <f>Table2[[#This Row],[revenue]]/Table2[[#This Row],[budget]]</f>
        <v>9.7024023641106165</v>
      </c>
      <c r="L646" s="2">
        <f t="shared" si="30"/>
        <v>780686.73</v>
      </c>
      <c r="M646" s="2">
        <f>(Table2[[#This Row],[Adjusted revenue]]-Table2[[#This Row],[budget]])/Table2[[#This Row],[budget]]</f>
        <v>8.7024023641106165</v>
      </c>
      <c r="N646" t="str">
        <f t="shared" si="31"/>
        <v>OK</v>
      </c>
      <c r="O646" s="2">
        <f t="shared" si="32"/>
        <v>0.93734786612855081</v>
      </c>
    </row>
    <row r="647" spans="1:15" x14ac:dyDescent="0.3">
      <c r="A647" t="s">
        <v>665</v>
      </c>
      <c r="B647" s="1">
        <v>45052</v>
      </c>
      <c r="C647" s="1">
        <v>45400</v>
      </c>
      <c r="D647">
        <v>2990.39</v>
      </c>
      <c r="E647" s="2">
        <f>(Table2[[#This Row],[revenue]]-Table2[[#This Row],[budget]])/Table2[[#This Row],[budget]]</f>
        <v>188.95125384983228</v>
      </c>
      <c r="F647" t="s">
        <v>18</v>
      </c>
      <c r="G647" t="s">
        <v>12</v>
      </c>
      <c r="H647" t="s">
        <v>13</v>
      </c>
      <c r="I647">
        <v>0.62</v>
      </c>
      <c r="J647">
        <v>568028.32999999996</v>
      </c>
      <c r="K647">
        <f>Table2[[#This Row],[revenue]]/Table2[[#This Row],[budget]]</f>
        <v>189.95125384983228</v>
      </c>
      <c r="L647" s="2">
        <f t="shared" si="30"/>
        <v>29903.899999999998</v>
      </c>
      <c r="M647" s="2">
        <f>(Table2[[#This Row],[Adjusted revenue]]-Table2[[#This Row],[budget]])/Table2[[#This Row],[budget]]</f>
        <v>9</v>
      </c>
      <c r="N647" t="str">
        <f t="shared" si="31"/>
        <v>OK</v>
      </c>
      <c r="O647" s="2">
        <f t="shared" si="32"/>
        <v>1</v>
      </c>
    </row>
    <row r="648" spans="1:15" x14ac:dyDescent="0.3">
      <c r="A648" t="s">
        <v>666</v>
      </c>
      <c r="B648" s="1">
        <v>44835</v>
      </c>
      <c r="C648" s="1">
        <v>45417</v>
      </c>
      <c r="D648">
        <v>43575.1</v>
      </c>
      <c r="E648" s="2">
        <f>(Table2[[#This Row],[revenue]]-Table2[[#This Row],[budget]])/Table2[[#This Row],[budget]]</f>
        <v>15.887699626621625</v>
      </c>
      <c r="F648" t="s">
        <v>23</v>
      </c>
      <c r="G648" t="s">
        <v>15</v>
      </c>
      <c r="H648" t="s">
        <v>16</v>
      </c>
      <c r="I648">
        <v>0.8</v>
      </c>
      <c r="J648">
        <v>735883.2</v>
      </c>
      <c r="K648">
        <f>Table2[[#This Row],[revenue]]/Table2[[#This Row],[budget]]</f>
        <v>16.887699626621625</v>
      </c>
      <c r="L648" s="2">
        <f t="shared" si="30"/>
        <v>435751</v>
      </c>
      <c r="M648" s="2">
        <f>(Table2[[#This Row],[Adjusted revenue]]-Table2[[#This Row],[budget]])/Table2[[#This Row],[budget]]</f>
        <v>9</v>
      </c>
      <c r="N648" t="str">
        <f t="shared" si="31"/>
        <v>OK</v>
      </c>
      <c r="O648" s="2">
        <f t="shared" si="32"/>
        <v>1</v>
      </c>
    </row>
    <row r="649" spans="1:15" x14ac:dyDescent="0.3">
      <c r="A649" t="s">
        <v>667</v>
      </c>
      <c r="B649" s="1">
        <v>45100</v>
      </c>
      <c r="C649" s="1">
        <v>45266</v>
      </c>
      <c r="D649">
        <v>26628.67</v>
      </c>
      <c r="E649" s="2">
        <f>(Table2[[#This Row],[revenue]]-Table2[[#This Row],[budget]])/Table2[[#This Row],[budget]]</f>
        <v>25.508634490569751</v>
      </c>
      <c r="F649" t="s">
        <v>11</v>
      </c>
      <c r="G649" t="s">
        <v>12</v>
      </c>
      <c r="H649" t="s">
        <v>16</v>
      </c>
      <c r="I649">
        <v>0.3</v>
      </c>
      <c r="J649">
        <v>705889.68</v>
      </c>
      <c r="K649">
        <f>Table2[[#This Row],[revenue]]/Table2[[#This Row],[budget]]</f>
        <v>26.508634490569754</v>
      </c>
      <c r="L649" s="2">
        <f t="shared" si="30"/>
        <v>266286.69999999995</v>
      </c>
      <c r="M649" s="2">
        <f>(Table2[[#This Row],[Adjusted revenue]]-Table2[[#This Row],[budget]])/Table2[[#This Row],[budget]]</f>
        <v>9</v>
      </c>
      <c r="N649" t="str">
        <f t="shared" si="31"/>
        <v>OK</v>
      </c>
      <c r="O649" s="2">
        <f t="shared" si="32"/>
        <v>1</v>
      </c>
    </row>
    <row r="650" spans="1:15" x14ac:dyDescent="0.3">
      <c r="A650" t="s">
        <v>668</v>
      </c>
      <c r="B650" s="1">
        <v>45060</v>
      </c>
      <c r="C650" s="1">
        <v>45276</v>
      </c>
      <c r="D650">
        <v>14188.58</v>
      </c>
      <c r="E650" s="2">
        <f>(Table2[[#This Row],[revenue]]-Table2[[#This Row],[budget]])/Table2[[#This Row],[budget]]</f>
        <v>37.458645614994595</v>
      </c>
      <c r="F650" t="s">
        <v>11</v>
      </c>
      <c r="G650" t="s">
        <v>12</v>
      </c>
      <c r="H650" t="s">
        <v>16</v>
      </c>
      <c r="I650">
        <v>0.13</v>
      </c>
      <c r="J650">
        <v>545673.56999999995</v>
      </c>
      <c r="K650">
        <f>Table2[[#This Row],[revenue]]/Table2[[#This Row],[budget]]</f>
        <v>38.458645614994587</v>
      </c>
      <c r="L650" s="2">
        <f t="shared" si="30"/>
        <v>141885.79999999999</v>
      </c>
      <c r="M650" s="2">
        <f>(Table2[[#This Row],[Adjusted revenue]]-Table2[[#This Row],[budget]])/Table2[[#This Row],[budget]]</f>
        <v>8.9999999999999982</v>
      </c>
      <c r="N650" t="str">
        <f t="shared" si="31"/>
        <v>OK</v>
      </c>
      <c r="O650" s="2">
        <f t="shared" si="32"/>
        <v>0.99999999999999956</v>
      </c>
    </row>
    <row r="651" spans="1:15" x14ac:dyDescent="0.3">
      <c r="A651" t="s">
        <v>669</v>
      </c>
      <c r="B651" s="1">
        <v>44839</v>
      </c>
      <c r="C651" s="1">
        <v>45244</v>
      </c>
      <c r="D651">
        <v>95454.75</v>
      </c>
      <c r="E651" s="2">
        <f>(Table2[[#This Row],[revenue]]-Table2[[#This Row],[budget]])/Table2[[#This Row],[budget]]</f>
        <v>5.8809925121589028</v>
      </c>
      <c r="F651" t="s">
        <v>21</v>
      </c>
      <c r="G651" t="s">
        <v>15</v>
      </c>
      <c r="H651" t="s">
        <v>16</v>
      </c>
      <c r="I651">
        <v>0.92</v>
      </c>
      <c r="J651">
        <v>656823.42000000004</v>
      </c>
      <c r="K651">
        <f>Table2[[#This Row],[revenue]]/Table2[[#This Row],[budget]]</f>
        <v>6.8809925121589028</v>
      </c>
      <c r="L651" s="2">
        <f t="shared" si="30"/>
        <v>656823.42000000004</v>
      </c>
      <c r="M651" s="2">
        <f>(Table2[[#This Row],[Adjusted revenue]]-Table2[[#This Row],[budget]])/Table2[[#This Row],[budget]]</f>
        <v>5.8809925121589028</v>
      </c>
      <c r="N651" t="str">
        <f t="shared" si="31"/>
        <v>OK</v>
      </c>
      <c r="O651" s="2">
        <f t="shared" si="32"/>
        <v>0.3433668446650322</v>
      </c>
    </row>
    <row r="652" spans="1:15" x14ac:dyDescent="0.3">
      <c r="A652" t="s">
        <v>670</v>
      </c>
      <c r="B652" s="1">
        <v>44879</v>
      </c>
      <c r="C652" s="1">
        <v>45356</v>
      </c>
      <c r="D652">
        <v>73923.820000000007</v>
      </c>
      <c r="E652" s="2">
        <f>(Table2[[#This Row],[revenue]]-Table2[[#This Row],[budget]])/Table2[[#This Row],[budget]]</f>
        <v>2.1754465610678668</v>
      </c>
      <c r="F652" t="s">
        <v>21</v>
      </c>
      <c r="G652" t="s">
        <v>15</v>
      </c>
      <c r="H652" t="s">
        <v>16</v>
      </c>
      <c r="I652">
        <v>0.91</v>
      </c>
      <c r="J652">
        <v>234741.14</v>
      </c>
      <c r="K652">
        <f>Table2[[#This Row],[revenue]]/Table2[[#This Row],[budget]]</f>
        <v>3.1754465610678668</v>
      </c>
      <c r="L652" s="2">
        <f t="shared" si="30"/>
        <v>234741.14</v>
      </c>
      <c r="M652" s="2">
        <f>(Table2[[#This Row],[Adjusted revenue]]-Table2[[#This Row],[budget]])/Table2[[#This Row],[budget]]</f>
        <v>2.1754465610678668</v>
      </c>
      <c r="N652" t="str">
        <f t="shared" si="31"/>
        <v>OK</v>
      </c>
      <c r="O652" s="2">
        <f t="shared" si="32"/>
        <v>-0.43674809240676493</v>
      </c>
    </row>
    <row r="653" spans="1:15" x14ac:dyDescent="0.3">
      <c r="A653" t="s">
        <v>671</v>
      </c>
      <c r="B653" s="1">
        <v>44781</v>
      </c>
      <c r="C653" s="1">
        <v>45266</v>
      </c>
      <c r="D653">
        <v>58913.37</v>
      </c>
      <c r="E653" s="2">
        <f>(Table2[[#This Row],[revenue]]-Table2[[#This Row],[budget]])/Table2[[#This Row],[budget]]</f>
        <v>7.7926012380551306</v>
      </c>
      <c r="F653" t="s">
        <v>11</v>
      </c>
      <c r="G653" t="s">
        <v>12</v>
      </c>
      <c r="H653" t="s">
        <v>19</v>
      </c>
      <c r="I653">
        <v>0</v>
      </c>
      <c r="J653">
        <v>518001.77</v>
      </c>
      <c r="K653">
        <f>Table2[[#This Row],[revenue]]/Table2[[#This Row],[budget]]</f>
        <v>8.7926012380551306</v>
      </c>
      <c r="L653" s="2">
        <f t="shared" si="30"/>
        <v>518001.77</v>
      </c>
      <c r="M653" s="2">
        <f>(Table2[[#This Row],[Adjusted revenue]]-Table2[[#This Row],[budget]])/Table2[[#This Row],[budget]]</f>
        <v>7.7926012380551306</v>
      </c>
      <c r="N653" t="str">
        <f t="shared" si="31"/>
        <v>OK</v>
      </c>
      <c r="O653" s="2">
        <f t="shared" si="32"/>
        <v>0.74581078695897496</v>
      </c>
    </row>
    <row r="654" spans="1:15" x14ac:dyDescent="0.3">
      <c r="A654" t="s">
        <v>672</v>
      </c>
      <c r="B654" s="1">
        <v>44803</v>
      </c>
      <c r="C654" s="1">
        <v>45290</v>
      </c>
      <c r="D654">
        <v>63015.1</v>
      </c>
      <c r="E654" s="2">
        <f>(Table2[[#This Row],[revenue]]-Table2[[#This Row],[budget]])/Table2[[#This Row],[budget]]</f>
        <v>4.9654882718586508</v>
      </c>
      <c r="F654" t="s">
        <v>18</v>
      </c>
      <c r="G654" t="s">
        <v>15</v>
      </c>
      <c r="H654" t="s">
        <v>13</v>
      </c>
      <c r="I654">
        <v>0.28000000000000003</v>
      </c>
      <c r="J654">
        <v>375915.84</v>
      </c>
      <c r="K654">
        <f>Table2[[#This Row],[revenue]]/Table2[[#This Row],[budget]]</f>
        <v>5.9654882718586499</v>
      </c>
      <c r="L654" s="2">
        <f t="shared" si="30"/>
        <v>375915.84</v>
      </c>
      <c r="M654" s="2">
        <f>(Table2[[#This Row],[Adjusted revenue]]-Table2[[#This Row],[budget]])/Table2[[#This Row],[budget]]</f>
        <v>4.9654882718586508</v>
      </c>
      <c r="N654" t="str">
        <f t="shared" si="31"/>
        <v>OK</v>
      </c>
      <c r="O654" s="2">
        <f t="shared" si="32"/>
        <v>0.15062910986497902</v>
      </c>
    </row>
    <row r="655" spans="1:15" x14ac:dyDescent="0.3">
      <c r="A655" t="s">
        <v>673</v>
      </c>
      <c r="B655" s="1">
        <v>45138</v>
      </c>
      <c r="C655" s="1">
        <v>45374</v>
      </c>
      <c r="D655">
        <v>13418.23</v>
      </c>
      <c r="E655" s="2">
        <f>(Table2[[#This Row],[revenue]]-Table2[[#This Row],[budget]])/Table2[[#This Row],[budget]]</f>
        <v>10.95254217583094</v>
      </c>
      <c r="F655" t="s">
        <v>18</v>
      </c>
      <c r="G655" t="s">
        <v>12</v>
      </c>
      <c r="H655" t="s">
        <v>25</v>
      </c>
      <c r="I655">
        <v>0.94</v>
      </c>
      <c r="J655">
        <v>160381.96</v>
      </c>
      <c r="K655">
        <f>Table2[[#This Row],[revenue]]/Table2[[#This Row],[budget]]</f>
        <v>11.95254217583094</v>
      </c>
      <c r="L655" s="2">
        <f t="shared" si="30"/>
        <v>134182.29999999999</v>
      </c>
      <c r="M655" s="2">
        <f>(Table2[[#This Row],[Adjusted revenue]]-Table2[[#This Row],[budget]])/Table2[[#This Row],[budget]]</f>
        <v>9</v>
      </c>
      <c r="N655" t="str">
        <f t="shared" si="31"/>
        <v>OK</v>
      </c>
      <c r="O655" s="2">
        <f t="shared" si="32"/>
        <v>1</v>
      </c>
    </row>
    <row r="656" spans="1:15" x14ac:dyDescent="0.3">
      <c r="A656" t="s">
        <v>674</v>
      </c>
      <c r="B656" s="1">
        <v>44856</v>
      </c>
      <c r="C656" s="1">
        <v>45488</v>
      </c>
      <c r="D656">
        <v>78420.98</v>
      </c>
      <c r="E656" s="2">
        <f>(Table2[[#This Row],[revenue]]-Table2[[#This Row],[budget]])/Table2[[#This Row],[budget]]</f>
        <v>8.2225801054768777</v>
      </c>
      <c r="F656" t="s">
        <v>18</v>
      </c>
      <c r="G656" t="s">
        <v>15</v>
      </c>
      <c r="H656" t="s">
        <v>16</v>
      </c>
      <c r="I656">
        <v>0.78</v>
      </c>
      <c r="J656">
        <v>723243.77</v>
      </c>
      <c r="K656">
        <f>Table2[[#This Row],[revenue]]/Table2[[#This Row],[budget]]</f>
        <v>9.2225801054768777</v>
      </c>
      <c r="L656" s="2">
        <f t="shared" si="30"/>
        <v>723243.77</v>
      </c>
      <c r="M656" s="2">
        <f>(Table2[[#This Row],[Adjusted revenue]]-Table2[[#This Row],[budget]])/Table2[[#This Row],[budget]]</f>
        <v>8.2225801054768777</v>
      </c>
      <c r="N656" t="str">
        <f t="shared" si="31"/>
        <v>OK</v>
      </c>
      <c r="O656" s="2">
        <f t="shared" si="32"/>
        <v>0.83633265378460586</v>
      </c>
    </row>
    <row r="657" spans="1:15" x14ac:dyDescent="0.3">
      <c r="A657" t="s">
        <v>675</v>
      </c>
      <c r="B657" s="1">
        <v>44991</v>
      </c>
      <c r="C657" s="1">
        <v>45164</v>
      </c>
      <c r="D657">
        <v>47487.19</v>
      </c>
      <c r="E657" s="2">
        <f>(Table2[[#This Row],[revenue]]-Table2[[#This Row],[budget]])/Table2[[#This Row],[budget]]</f>
        <v>14.046066739261683</v>
      </c>
      <c r="F657" t="s">
        <v>18</v>
      </c>
      <c r="G657" t="s">
        <v>12</v>
      </c>
      <c r="H657" t="s">
        <v>13</v>
      </c>
      <c r="I657">
        <v>0.71</v>
      </c>
      <c r="J657">
        <v>714495.43</v>
      </c>
      <c r="K657">
        <f>Table2[[#This Row],[revenue]]/Table2[[#This Row],[budget]]</f>
        <v>15.046066739261683</v>
      </c>
      <c r="L657" s="2">
        <f t="shared" si="30"/>
        <v>474871.9</v>
      </c>
      <c r="M657" s="2">
        <f>(Table2[[#This Row],[Adjusted revenue]]-Table2[[#This Row],[budget]])/Table2[[#This Row],[budget]]</f>
        <v>9</v>
      </c>
      <c r="N657" t="str">
        <f t="shared" si="31"/>
        <v>OK</v>
      </c>
      <c r="O657" s="2">
        <f t="shared" si="32"/>
        <v>1</v>
      </c>
    </row>
    <row r="658" spans="1:15" x14ac:dyDescent="0.3">
      <c r="A658" t="s">
        <v>676</v>
      </c>
      <c r="B658" s="1">
        <v>45071</v>
      </c>
      <c r="C658" s="1">
        <v>45332</v>
      </c>
      <c r="D658">
        <v>44782.559999999998</v>
      </c>
      <c r="E658" s="2">
        <f>(Table2[[#This Row],[revenue]]-Table2[[#This Row],[budget]])/Table2[[#This Row],[budget]]</f>
        <v>11.545438670768263</v>
      </c>
      <c r="F658" t="s">
        <v>18</v>
      </c>
      <c r="G658" t="s">
        <v>15</v>
      </c>
      <c r="H658" t="s">
        <v>25</v>
      </c>
      <c r="I658">
        <v>0.46</v>
      </c>
      <c r="J658">
        <v>561816.86</v>
      </c>
      <c r="K658">
        <f>Table2[[#This Row],[revenue]]/Table2[[#This Row],[budget]]</f>
        <v>12.545438670768263</v>
      </c>
      <c r="L658" s="2">
        <f t="shared" si="30"/>
        <v>447825.6</v>
      </c>
      <c r="M658" s="2">
        <f>(Table2[[#This Row],[Adjusted revenue]]-Table2[[#This Row],[budget]])/Table2[[#This Row],[budget]]</f>
        <v>9</v>
      </c>
      <c r="N658" t="str">
        <f t="shared" si="31"/>
        <v>OK</v>
      </c>
      <c r="O658" s="2">
        <f t="shared" si="32"/>
        <v>1</v>
      </c>
    </row>
    <row r="659" spans="1:15" x14ac:dyDescent="0.3">
      <c r="A659" t="s">
        <v>677</v>
      </c>
      <c r="B659" s="1">
        <v>45074</v>
      </c>
      <c r="C659" s="1">
        <v>45300</v>
      </c>
      <c r="D659">
        <v>93037.93</v>
      </c>
      <c r="E659" s="2">
        <f>(Table2[[#This Row],[revenue]]-Table2[[#This Row],[budget]])/Table2[[#This Row],[budget]]</f>
        <v>6.1920785425901022</v>
      </c>
      <c r="F659" t="s">
        <v>18</v>
      </c>
      <c r="G659" t="s">
        <v>12</v>
      </c>
      <c r="H659" t="s">
        <v>25</v>
      </c>
      <c r="I659">
        <v>0.52</v>
      </c>
      <c r="J659">
        <v>669136.1</v>
      </c>
      <c r="K659">
        <f>Table2[[#This Row],[revenue]]/Table2[[#This Row],[budget]]</f>
        <v>7.192078542590103</v>
      </c>
      <c r="L659" s="2">
        <f t="shared" si="30"/>
        <v>669136.1</v>
      </c>
      <c r="M659" s="2">
        <f>(Table2[[#This Row],[Adjusted revenue]]-Table2[[#This Row],[budget]])/Table2[[#This Row],[budget]]</f>
        <v>6.1920785425901022</v>
      </c>
      <c r="N659" t="str">
        <f t="shared" si="31"/>
        <v>OK</v>
      </c>
      <c r="O659" s="2">
        <f t="shared" si="32"/>
        <v>0.40885864054528476</v>
      </c>
    </row>
    <row r="660" spans="1:15" x14ac:dyDescent="0.3">
      <c r="A660" t="s">
        <v>678</v>
      </c>
      <c r="B660" s="1">
        <v>45025</v>
      </c>
      <c r="C660" s="1">
        <v>45415</v>
      </c>
      <c r="D660">
        <v>4888.71</v>
      </c>
      <c r="E660" s="2">
        <f>(Table2[[#This Row],[revenue]]-Table2[[#This Row],[budget]])/Table2[[#This Row],[budget]]</f>
        <v>78.157630540572043</v>
      </c>
      <c r="F660" t="s">
        <v>11</v>
      </c>
      <c r="G660" t="s">
        <v>15</v>
      </c>
      <c r="H660" t="s">
        <v>25</v>
      </c>
      <c r="I660">
        <v>0.76</v>
      </c>
      <c r="J660">
        <v>386978.7</v>
      </c>
      <c r="K660">
        <f>Table2[[#This Row],[revenue]]/Table2[[#This Row],[budget]]</f>
        <v>79.157630540572057</v>
      </c>
      <c r="L660" s="2">
        <f t="shared" si="30"/>
        <v>48887.1</v>
      </c>
      <c r="M660" s="2">
        <f>(Table2[[#This Row],[Adjusted revenue]]-Table2[[#This Row],[budget]])/Table2[[#This Row],[budget]]</f>
        <v>9</v>
      </c>
      <c r="N660" t="str">
        <f t="shared" si="31"/>
        <v>OK</v>
      </c>
      <c r="O660" s="2">
        <f t="shared" si="32"/>
        <v>1</v>
      </c>
    </row>
    <row r="661" spans="1:15" x14ac:dyDescent="0.3">
      <c r="A661" t="s">
        <v>679</v>
      </c>
      <c r="B661" s="1">
        <v>44821</v>
      </c>
      <c r="C661" s="1">
        <v>45242</v>
      </c>
      <c r="D661">
        <v>2523.19</v>
      </c>
      <c r="E661" s="2">
        <f>(Table2[[#This Row],[revenue]]-Table2[[#This Row],[budget]])/Table2[[#This Row],[budget]]</f>
        <v>308.54364911084775</v>
      </c>
      <c r="F661" t="s">
        <v>21</v>
      </c>
      <c r="G661" t="s">
        <v>12</v>
      </c>
      <c r="H661" t="s">
        <v>16</v>
      </c>
      <c r="I661">
        <v>0.69</v>
      </c>
      <c r="J661">
        <v>781037.44</v>
      </c>
      <c r="K661">
        <f>Table2[[#This Row],[revenue]]/Table2[[#This Row],[budget]]</f>
        <v>309.54364911084775</v>
      </c>
      <c r="L661" s="2">
        <f t="shared" si="30"/>
        <v>25231.9</v>
      </c>
      <c r="M661" s="2">
        <f>(Table2[[#This Row],[Adjusted revenue]]-Table2[[#This Row],[budget]])/Table2[[#This Row],[budget]]</f>
        <v>9.0000000000000018</v>
      </c>
      <c r="N661" t="str">
        <f t="shared" si="31"/>
        <v>OK</v>
      </c>
      <c r="O661" s="2">
        <f t="shared" si="32"/>
        <v>1.0000000000000004</v>
      </c>
    </row>
    <row r="662" spans="1:15" x14ac:dyDescent="0.3">
      <c r="A662" t="s">
        <v>680</v>
      </c>
      <c r="B662" s="1">
        <v>45124</v>
      </c>
      <c r="C662" s="1">
        <v>45274</v>
      </c>
      <c r="D662">
        <v>26419.1</v>
      </c>
      <c r="E662" s="2">
        <f>(Table2[[#This Row],[revenue]]-Table2[[#This Row],[budget]])/Table2[[#This Row],[budget]]</f>
        <v>1.4379445174135381</v>
      </c>
      <c r="F662" t="s">
        <v>18</v>
      </c>
      <c r="G662" t="s">
        <v>15</v>
      </c>
      <c r="H662" t="s">
        <v>25</v>
      </c>
      <c r="I662">
        <v>0.28999999999999998</v>
      </c>
      <c r="J662">
        <v>64408.3</v>
      </c>
      <c r="K662">
        <f>Table2[[#This Row],[revenue]]/Table2[[#This Row],[budget]]</f>
        <v>2.4379445174135381</v>
      </c>
      <c r="L662" s="2">
        <f t="shared" si="30"/>
        <v>64408.3</v>
      </c>
      <c r="M662" s="2">
        <f>(Table2[[#This Row],[Adjusted revenue]]-Table2[[#This Row],[budget]])/Table2[[#This Row],[budget]]</f>
        <v>1.4379445174135381</v>
      </c>
      <c r="N662" t="str">
        <f t="shared" si="31"/>
        <v>OK</v>
      </c>
      <c r="O662" s="2">
        <f t="shared" si="32"/>
        <v>-0.59201168054451836</v>
      </c>
    </row>
    <row r="663" spans="1:15" x14ac:dyDescent="0.3">
      <c r="A663" t="s">
        <v>681</v>
      </c>
      <c r="B663" s="1">
        <v>44803</v>
      </c>
      <c r="C663" s="1">
        <v>45394</v>
      </c>
      <c r="D663">
        <v>70705.990000000005</v>
      </c>
      <c r="E663" s="2">
        <f>(Table2[[#This Row],[revenue]]-Table2[[#This Row],[budget]])/Table2[[#This Row],[budget]]</f>
        <v>11.156012524539999</v>
      </c>
      <c r="F663" t="s">
        <v>18</v>
      </c>
      <c r="G663" t="s">
        <v>12</v>
      </c>
      <c r="H663" t="s">
        <v>13</v>
      </c>
      <c r="I663">
        <v>0.44</v>
      </c>
      <c r="J663">
        <v>859502.9</v>
      </c>
      <c r="K663">
        <f>Table2[[#This Row],[revenue]]/Table2[[#This Row],[budget]]</f>
        <v>12.156012524539999</v>
      </c>
      <c r="L663" s="2">
        <f t="shared" si="30"/>
        <v>707059.9</v>
      </c>
      <c r="M663" s="2">
        <f>(Table2[[#This Row],[Adjusted revenue]]-Table2[[#This Row],[budget]])/Table2[[#This Row],[budget]]</f>
        <v>9</v>
      </c>
      <c r="N663" t="str">
        <f t="shared" si="31"/>
        <v>OK</v>
      </c>
      <c r="O663" s="2">
        <f t="shared" si="32"/>
        <v>1</v>
      </c>
    </row>
    <row r="664" spans="1:15" x14ac:dyDescent="0.3">
      <c r="A664" t="s">
        <v>682</v>
      </c>
      <c r="B664" s="1">
        <v>45041</v>
      </c>
      <c r="C664" s="1">
        <v>45497</v>
      </c>
      <c r="D664">
        <v>49206.43</v>
      </c>
      <c r="E664" s="2">
        <f>(Table2[[#This Row],[revenue]]-Table2[[#This Row],[budget]])/Table2[[#This Row],[budget]]</f>
        <v>-0.32837314147764834</v>
      </c>
      <c r="F664" t="s">
        <v>21</v>
      </c>
      <c r="G664" t="s">
        <v>12</v>
      </c>
      <c r="H664" t="s">
        <v>16</v>
      </c>
      <c r="I664">
        <v>0.18</v>
      </c>
      <c r="J664">
        <v>33048.36</v>
      </c>
      <c r="K664">
        <f>Table2[[#This Row],[revenue]]/Table2[[#This Row],[budget]]</f>
        <v>0.67162685852235171</v>
      </c>
      <c r="L664" s="2">
        <f t="shared" si="30"/>
        <v>33048.36</v>
      </c>
      <c r="M664" s="2">
        <f>(Table2[[#This Row],[Adjusted revenue]]-Table2[[#This Row],[budget]])/Table2[[#This Row],[budget]]</f>
        <v>-0.32837314147764834</v>
      </c>
      <c r="N664" t="str">
        <f t="shared" si="31"/>
        <v>Failed</v>
      </c>
      <c r="O664" s="2">
        <f t="shared" si="32"/>
        <v>-0.96386802978476804</v>
      </c>
    </row>
    <row r="665" spans="1:15" x14ac:dyDescent="0.3">
      <c r="A665" t="s">
        <v>683</v>
      </c>
      <c r="B665" s="1">
        <v>45100</v>
      </c>
      <c r="C665" s="1">
        <v>45153</v>
      </c>
      <c r="D665">
        <v>96511.42</v>
      </c>
      <c r="E665" s="2">
        <f>(Table2[[#This Row],[revenue]]-Table2[[#This Row],[budget]])/Table2[[#This Row],[budget]]</f>
        <v>4.4572085873360887</v>
      </c>
      <c r="F665" t="s">
        <v>11</v>
      </c>
      <c r="G665" t="s">
        <v>15</v>
      </c>
      <c r="H665" t="s">
        <v>25</v>
      </c>
      <c r="I665">
        <v>0.4</v>
      </c>
      <c r="J665">
        <v>526682.94999999995</v>
      </c>
      <c r="K665">
        <f>Table2[[#This Row],[revenue]]/Table2[[#This Row],[budget]]</f>
        <v>5.4572085873360887</v>
      </c>
      <c r="L665" s="2">
        <f t="shared" si="30"/>
        <v>526682.94999999995</v>
      </c>
      <c r="M665" s="2">
        <f>(Table2[[#This Row],[Adjusted revenue]]-Table2[[#This Row],[budget]])/Table2[[#This Row],[budget]]</f>
        <v>4.4572085873360887</v>
      </c>
      <c r="N665" t="str">
        <f t="shared" si="31"/>
        <v>OK</v>
      </c>
      <c r="O665" s="2">
        <f t="shared" si="32"/>
        <v>4.362286049180808E-2</v>
      </c>
    </row>
    <row r="666" spans="1:15" x14ac:dyDescent="0.3">
      <c r="A666" t="s">
        <v>684</v>
      </c>
      <c r="B666" s="1">
        <v>44835</v>
      </c>
      <c r="C666" s="1">
        <v>45339</v>
      </c>
      <c r="D666">
        <v>47198.52</v>
      </c>
      <c r="E666" s="2">
        <f>(Table2[[#This Row],[revenue]]-Table2[[#This Row],[budget]])/Table2[[#This Row],[budget]]</f>
        <v>5.2414745208112459</v>
      </c>
      <c r="F666" t="s">
        <v>11</v>
      </c>
      <c r="G666" t="s">
        <v>12</v>
      </c>
      <c r="H666" t="s">
        <v>19</v>
      </c>
      <c r="I666">
        <v>0</v>
      </c>
      <c r="J666">
        <v>294588.36</v>
      </c>
      <c r="K666">
        <f>Table2[[#This Row],[revenue]]/Table2[[#This Row],[budget]]</f>
        <v>6.2414745208112459</v>
      </c>
      <c r="L666" s="2">
        <f t="shared" si="30"/>
        <v>294588.36</v>
      </c>
      <c r="M666" s="2">
        <f>(Table2[[#This Row],[Adjusted revenue]]-Table2[[#This Row],[budget]])/Table2[[#This Row],[budget]]</f>
        <v>5.2414745208112459</v>
      </c>
      <c r="N666" t="str">
        <f t="shared" si="31"/>
        <v>OK</v>
      </c>
      <c r="O666" s="2">
        <f t="shared" si="32"/>
        <v>0.20873147806552539</v>
      </c>
    </row>
    <row r="667" spans="1:15" x14ac:dyDescent="0.3">
      <c r="A667" t="s">
        <v>685</v>
      </c>
      <c r="B667" s="1">
        <v>45053</v>
      </c>
      <c r="C667" s="1">
        <v>45476</v>
      </c>
      <c r="D667">
        <v>36050.730000000003</v>
      </c>
      <c r="E667" s="2">
        <f>(Table2[[#This Row],[revenue]]-Table2[[#This Row],[budget]])/Table2[[#This Row],[budget]]</f>
        <v>13.694895221261815</v>
      </c>
      <c r="F667" t="s">
        <v>11</v>
      </c>
      <c r="G667" t="s">
        <v>12</v>
      </c>
      <c r="H667" t="s">
        <v>19</v>
      </c>
      <c r="I667">
        <v>0.88</v>
      </c>
      <c r="J667">
        <v>529761.69999999995</v>
      </c>
      <c r="K667">
        <f>Table2[[#This Row],[revenue]]/Table2[[#This Row],[budget]]</f>
        <v>14.694895221261813</v>
      </c>
      <c r="L667" s="2">
        <f t="shared" si="30"/>
        <v>360507.30000000005</v>
      </c>
      <c r="M667" s="2">
        <f>(Table2[[#This Row],[Adjusted revenue]]-Table2[[#This Row],[budget]])/Table2[[#This Row],[budget]]</f>
        <v>9.0000000000000018</v>
      </c>
      <c r="N667" t="str">
        <f t="shared" si="31"/>
        <v>OK</v>
      </c>
      <c r="O667" s="2">
        <f t="shared" si="32"/>
        <v>1.0000000000000004</v>
      </c>
    </row>
    <row r="668" spans="1:15" x14ac:dyDescent="0.3">
      <c r="A668" t="s">
        <v>686</v>
      </c>
      <c r="B668" s="1">
        <v>45049</v>
      </c>
      <c r="C668" s="1">
        <v>45190</v>
      </c>
      <c r="D668">
        <v>92591.26</v>
      </c>
      <c r="E668" s="2">
        <f>(Table2[[#This Row],[revenue]]-Table2[[#This Row],[budget]])/Table2[[#This Row],[budget]]</f>
        <v>3.4946898875768619</v>
      </c>
      <c r="F668" t="s">
        <v>21</v>
      </c>
      <c r="G668" t="s">
        <v>12</v>
      </c>
      <c r="H668" t="s">
        <v>13</v>
      </c>
      <c r="I668">
        <v>0.75</v>
      </c>
      <c r="J668">
        <v>416169</v>
      </c>
      <c r="K668">
        <f>Table2[[#This Row],[revenue]]/Table2[[#This Row],[budget]]</f>
        <v>4.4946898875768619</v>
      </c>
      <c r="L668" s="2">
        <f t="shared" si="30"/>
        <v>416169</v>
      </c>
      <c r="M668" s="2">
        <f>(Table2[[#This Row],[Adjusted revenue]]-Table2[[#This Row],[budget]])/Table2[[#This Row],[budget]]</f>
        <v>3.4946898875768619</v>
      </c>
      <c r="N668" t="str">
        <f t="shared" si="31"/>
        <v>OK</v>
      </c>
      <c r="O668" s="2">
        <f t="shared" si="32"/>
        <v>-0.15901265524697639</v>
      </c>
    </row>
    <row r="669" spans="1:15" x14ac:dyDescent="0.3">
      <c r="A669" t="s">
        <v>687</v>
      </c>
      <c r="B669" s="1">
        <v>45135</v>
      </c>
      <c r="C669" s="1">
        <v>45157</v>
      </c>
      <c r="D669">
        <v>21426.33</v>
      </c>
      <c r="E669" s="2">
        <f>(Table2[[#This Row],[revenue]]-Table2[[#This Row],[budget]])/Table2[[#This Row],[budget]]</f>
        <v>8.267935292698283</v>
      </c>
      <c r="F669" t="s">
        <v>11</v>
      </c>
      <c r="G669" t="s">
        <v>15</v>
      </c>
      <c r="H669" t="s">
        <v>25</v>
      </c>
      <c r="I669">
        <v>0.21</v>
      </c>
      <c r="J669">
        <v>198577.84</v>
      </c>
      <c r="K669">
        <f>Table2[[#This Row],[revenue]]/Table2[[#This Row],[budget]]</f>
        <v>9.2679352926982812</v>
      </c>
      <c r="L669" s="2">
        <f t="shared" si="30"/>
        <v>198577.84</v>
      </c>
      <c r="M669" s="2">
        <f>(Table2[[#This Row],[Adjusted revenue]]-Table2[[#This Row],[budget]])/Table2[[#This Row],[budget]]</f>
        <v>8.267935292698283</v>
      </c>
      <c r="N669" t="str">
        <f t="shared" si="31"/>
        <v>OK</v>
      </c>
      <c r="O669" s="2">
        <f t="shared" si="32"/>
        <v>0.84588111425227019</v>
      </c>
    </row>
    <row r="670" spans="1:15" x14ac:dyDescent="0.3">
      <c r="A670" t="s">
        <v>688</v>
      </c>
      <c r="B670" s="1">
        <v>45089</v>
      </c>
      <c r="C670" s="1">
        <v>45265</v>
      </c>
      <c r="D670">
        <v>43491.12</v>
      </c>
      <c r="E670" s="2">
        <f>(Table2[[#This Row],[revenue]]-Table2[[#This Row],[budget]])/Table2[[#This Row],[budget]]</f>
        <v>4.5842841021339522</v>
      </c>
      <c r="F670" t="s">
        <v>18</v>
      </c>
      <c r="G670" t="s">
        <v>12</v>
      </c>
      <c r="H670" t="s">
        <v>19</v>
      </c>
      <c r="I670">
        <v>0.49</v>
      </c>
      <c r="J670">
        <v>242866.77</v>
      </c>
      <c r="K670">
        <f>Table2[[#This Row],[revenue]]/Table2[[#This Row],[budget]]</f>
        <v>5.5842841021339522</v>
      </c>
      <c r="L670" s="2">
        <f t="shared" si="30"/>
        <v>242866.77</v>
      </c>
      <c r="M670" s="2">
        <f>(Table2[[#This Row],[Adjusted revenue]]-Table2[[#This Row],[budget]])/Table2[[#This Row],[budget]]</f>
        <v>4.5842841021339522</v>
      </c>
      <c r="N670" t="str">
        <f t="shared" si="31"/>
        <v>OK</v>
      </c>
      <c r="O670" s="2">
        <f t="shared" si="32"/>
        <v>7.0375600449253062E-2</v>
      </c>
    </row>
    <row r="671" spans="1:15" x14ac:dyDescent="0.3">
      <c r="A671" t="s">
        <v>689</v>
      </c>
      <c r="B671" s="1">
        <v>44913</v>
      </c>
      <c r="C671" s="1">
        <v>45282</v>
      </c>
      <c r="D671">
        <v>85026.27</v>
      </c>
      <c r="E671" s="2">
        <f>(Table2[[#This Row],[revenue]]-Table2[[#This Row],[budget]])/Table2[[#This Row],[budget]]</f>
        <v>-0.5559902839440094</v>
      </c>
      <c r="F671" t="s">
        <v>21</v>
      </c>
      <c r="G671" t="s">
        <v>15</v>
      </c>
      <c r="H671" t="s">
        <v>19</v>
      </c>
      <c r="I671">
        <v>0.78</v>
      </c>
      <c r="J671">
        <v>37752.49</v>
      </c>
      <c r="K671">
        <f>Table2[[#This Row],[revenue]]/Table2[[#This Row],[budget]]</f>
        <v>0.44400971605599066</v>
      </c>
      <c r="L671" s="2">
        <f t="shared" si="30"/>
        <v>42513.135000000002</v>
      </c>
      <c r="M671" s="2">
        <f>(Table2[[#This Row],[Adjusted revenue]]-Table2[[#This Row],[budget]])/Table2[[#This Row],[budget]]</f>
        <v>-0.5</v>
      </c>
      <c r="N671" t="str">
        <f t="shared" si="31"/>
        <v>Failed</v>
      </c>
      <c r="O671" s="2">
        <f t="shared" si="32"/>
        <v>-1</v>
      </c>
    </row>
    <row r="672" spans="1:15" x14ac:dyDescent="0.3">
      <c r="A672" t="s">
        <v>690</v>
      </c>
      <c r="B672" s="1">
        <v>45023</v>
      </c>
      <c r="C672" s="1">
        <v>45500</v>
      </c>
      <c r="D672">
        <v>70113.41</v>
      </c>
      <c r="E672" s="2">
        <f>(Table2[[#This Row],[revenue]]-Table2[[#This Row],[budget]])/Table2[[#This Row],[budget]]</f>
        <v>7.2277758277624775</v>
      </c>
      <c r="F672" t="s">
        <v>21</v>
      </c>
      <c r="G672" t="s">
        <v>12</v>
      </c>
      <c r="H672" t="s">
        <v>13</v>
      </c>
      <c r="I672">
        <v>0.15</v>
      </c>
      <c r="J672">
        <v>576877.42000000004</v>
      </c>
      <c r="K672">
        <f>Table2[[#This Row],[revenue]]/Table2[[#This Row],[budget]]</f>
        <v>8.2277758277624784</v>
      </c>
      <c r="L672" s="2">
        <f t="shared" si="30"/>
        <v>576877.42000000004</v>
      </c>
      <c r="M672" s="2">
        <f>(Table2[[#This Row],[Adjusted revenue]]-Table2[[#This Row],[budget]])/Table2[[#This Row],[budget]]</f>
        <v>7.2277758277624775</v>
      </c>
      <c r="N672" t="str">
        <f t="shared" si="31"/>
        <v>OK</v>
      </c>
      <c r="O672" s="2">
        <f t="shared" si="32"/>
        <v>0.6269001742657847</v>
      </c>
    </row>
    <row r="673" spans="1:15" x14ac:dyDescent="0.3">
      <c r="A673" t="s">
        <v>691</v>
      </c>
      <c r="B673" s="1">
        <v>45133</v>
      </c>
      <c r="C673" s="1">
        <v>45460</v>
      </c>
      <c r="D673">
        <v>19497.93</v>
      </c>
      <c r="E673" s="2">
        <f>(Table2[[#This Row],[revenue]]-Table2[[#This Row],[budget]])/Table2[[#This Row],[budget]]</f>
        <v>27.448976378518129</v>
      </c>
      <c r="F673" t="s">
        <v>11</v>
      </c>
      <c r="G673" t="s">
        <v>12</v>
      </c>
      <c r="H673" t="s">
        <v>13</v>
      </c>
      <c r="I673">
        <v>0.44</v>
      </c>
      <c r="J673">
        <v>554696.15</v>
      </c>
      <c r="K673">
        <f>Table2[[#This Row],[revenue]]/Table2[[#This Row],[budget]]</f>
        <v>28.448976378518129</v>
      </c>
      <c r="L673" s="2">
        <f t="shared" si="30"/>
        <v>194979.3</v>
      </c>
      <c r="M673" s="2">
        <f>(Table2[[#This Row],[Adjusted revenue]]-Table2[[#This Row],[budget]])/Table2[[#This Row],[budget]]</f>
        <v>9</v>
      </c>
      <c r="N673" t="str">
        <f t="shared" si="31"/>
        <v>OK</v>
      </c>
      <c r="O673" s="2">
        <f t="shared" si="32"/>
        <v>1</v>
      </c>
    </row>
    <row r="674" spans="1:15" x14ac:dyDescent="0.3">
      <c r="A674" t="s">
        <v>692</v>
      </c>
      <c r="B674" s="1">
        <v>44982</v>
      </c>
      <c r="C674" s="1">
        <v>45357</v>
      </c>
      <c r="D674">
        <v>68805.2</v>
      </c>
      <c r="E674" s="2">
        <f>(Table2[[#This Row],[revenue]]-Table2[[#This Row],[budget]])/Table2[[#This Row],[budget]]</f>
        <v>11.106451547266778</v>
      </c>
      <c r="F674" t="s">
        <v>21</v>
      </c>
      <c r="G674" t="s">
        <v>15</v>
      </c>
      <c r="H674" t="s">
        <v>13</v>
      </c>
      <c r="I674">
        <v>0.43</v>
      </c>
      <c r="J674">
        <v>832986.82</v>
      </c>
      <c r="K674">
        <f>Table2[[#This Row],[revenue]]/Table2[[#This Row],[budget]]</f>
        <v>12.106451547266776</v>
      </c>
      <c r="L674" s="2">
        <f t="shared" si="30"/>
        <v>688052</v>
      </c>
      <c r="M674" s="2">
        <f>(Table2[[#This Row],[Adjusted revenue]]-Table2[[#This Row],[budget]])/Table2[[#This Row],[budget]]</f>
        <v>9.0000000000000018</v>
      </c>
      <c r="N674" t="str">
        <f t="shared" si="31"/>
        <v>OK</v>
      </c>
      <c r="O674" s="2">
        <f t="shared" si="32"/>
        <v>1.0000000000000004</v>
      </c>
    </row>
    <row r="675" spans="1:15" x14ac:dyDescent="0.3">
      <c r="A675" t="s">
        <v>693</v>
      </c>
      <c r="B675" s="1">
        <v>44955</v>
      </c>
      <c r="C675" s="1">
        <v>45280</v>
      </c>
      <c r="D675">
        <v>86544.19</v>
      </c>
      <c r="E675" s="2">
        <f>(Table2[[#This Row],[revenue]]-Table2[[#This Row],[budget]])/Table2[[#This Row],[budget]]</f>
        <v>4.4382215605692306</v>
      </c>
      <c r="F675" t="s">
        <v>11</v>
      </c>
      <c r="G675" t="s">
        <v>15</v>
      </c>
      <c r="H675" t="s">
        <v>19</v>
      </c>
      <c r="I675">
        <v>0.89</v>
      </c>
      <c r="J675">
        <v>470646.48</v>
      </c>
      <c r="K675">
        <f>Table2[[#This Row],[revenue]]/Table2[[#This Row],[budget]]</f>
        <v>5.4382215605692306</v>
      </c>
      <c r="L675" s="2">
        <f t="shared" si="30"/>
        <v>470646.48</v>
      </c>
      <c r="M675" s="2">
        <f>(Table2[[#This Row],[Adjusted revenue]]-Table2[[#This Row],[budget]])/Table2[[#This Row],[budget]]</f>
        <v>4.4382215605692306</v>
      </c>
      <c r="N675" t="str">
        <f t="shared" si="31"/>
        <v>OK</v>
      </c>
      <c r="O675" s="2">
        <f t="shared" si="32"/>
        <v>3.9625591698785323E-2</v>
      </c>
    </row>
    <row r="676" spans="1:15" x14ac:dyDescent="0.3">
      <c r="A676" t="s">
        <v>694</v>
      </c>
      <c r="B676" s="1">
        <v>44983</v>
      </c>
      <c r="C676" s="1">
        <v>45322</v>
      </c>
      <c r="D676">
        <v>55609.69</v>
      </c>
      <c r="E676" s="2">
        <f>(Table2[[#This Row],[revenue]]-Table2[[#This Row],[budget]])/Table2[[#This Row],[budget]]</f>
        <v>5.0952841132543618</v>
      </c>
      <c r="F676" t="s">
        <v>21</v>
      </c>
      <c r="G676" t="s">
        <v>15</v>
      </c>
      <c r="H676" t="s">
        <v>16</v>
      </c>
      <c r="I676">
        <v>0.35</v>
      </c>
      <c r="J676">
        <v>338956.86</v>
      </c>
      <c r="K676">
        <f>Table2[[#This Row],[revenue]]/Table2[[#This Row],[budget]]</f>
        <v>6.0952841132543618</v>
      </c>
      <c r="L676" s="2">
        <f t="shared" si="30"/>
        <v>338956.86</v>
      </c>
      <c r="M676" s="2">
        <f>(Table2[[#This Row],[Adjusted revenue]]-Table2[[#This Row],[budget]])/Table2[[#This Row],[budget]]</f>
        <v>5.0952841132543618</v>
      </c>
      <c r="N676" t="str">
        <f t="shared" si="31"/>
        <v>OK</v>
      </c>
      <c r="O676" s="2">
        <f t="shared" si="32"/>
        <v>0.17795455015881312</v>
      </c>
    </row>
    <row r="677" spans="1:15" x14ac:dyDescent="0.3">
      <c r="A677" t="s">
        <v>695</v>
      </c>
      <c r="B677" s="1">
        <v>44824</v>
      </c>
      <c r="C677" s="1">
        <v>45205</v>
      </c>
      <c r="D677">
        <v>46919.95</v>
      </c>
      <c r="E677" s="2">
        <f>(Table2[[#This Row],[revenue]]-Table2[[#This Row],[budget]])/Table2[[#This Row],[budget]]</f>
        <v>9.2740571974181556</v>
      </c>
      <c r="F677" t="s">
        <v>18</v>
      </c>
      <c r="G677" t="s">
        <v>15</v>
      </c>
      <c r="H677" t="s">
        <v>16</v>
      </c>
      <c r="I677">
        <v>0.72</v>
      </c>
      <c r="J677">
        <v>482058.25</v>
      </c>
      <c r="K677">
        <f>Table2[[#This Row],[revenue]]/Table2[[#This Row],[budget]]</f>
        <v>10.274057197418156</v>
      </c>
      <c r="L677" s="2">
        <f t="shared" si="30"/>
        <v>469199.5</v>
      </c>
      <c r="M677" s="2">
        <f>(Table2[[#This Row],[Adjusted revenue]]-Table2[[#This Row],[budget]])/Table2[[#This Row],[budget]]</f>
        <v>9</v>
      </c>
      <c r="N677" t="str">
        <f t="shared" si="31"/>
        <v>OK</v>
      </c>
      <c r="O677" s="2">
        <f t="shared" si="32"/>
        <v>1</v>
      </c>
    </row>
    <row r="678" spans="1:15" x14ac:dyDescent="0.3">
      <c r="A678" t="s">
        <v>696</v>
      </c>
      <c r="B678" s="1">
        <v>45095</v>
      </c>
      <c r="C678" s="1">
        <v>45144</v>
      </c>
      <c r="D678">
        <v>12991.78</v>
      </c>
      <c r="E678" s="2">
        <f>(Table2[[#This Row],[revenue]]-Table2[[#This Row],[budget]])/Table2[[#This Row],[budget]]</f>
        <v>2.8515384343023045</v>
      </c>
      <c r="F678" t="s">
        <v>23</v>
      </c>
      <c r="G678" t="s">
        <v>12</v>
      </c>
      <c r="H678" t="s">
        <v>25</v>
      </c>
      <c r="I678">
        <v>0.81</v>
      </c>
      <c r="J678">
        <v>50038.34</v>
      </c>
      <c r="K678">
        <f>Table2[[#This Row],[revenue]]/Table2[[#This Row],[budget]]</f>
        <v>3.8515384343023045</v>
      </c>
      <c r="L678" s="2">
        <f t="shared" si="30"/>
        <v>50038.34</v>
      </c>
      <c r="M678" s="2">
        <f>(Table2[[#This Row],[Adjusted revenue]]-Table2[[#This Row],[budget]])/Table2[[#This Row],[budget]]</f>
        <v>2.8515384343023045</v>
      </c>
      <c r="N678" t="str">
        <f t="shared" si="31"/>
        <v>OK</v>
      </c>
      <c r="O678" s="2">
        <f t="shared" si="32"/>
        <v>-0.29441296119951488</v>
      </c>
    </row>
    <row r="679" spans="1:15" x14ac:dyDescent="0.3">
      <c r="A679" t="s">
        <v>697</v>
      </c>
      <c r="B679" s="1">
        <v>44907</v>
      </c>
      <c r="C679" s="1">
        <v>45208</v>
      </c>
      <c r="D679">
        <v>88842.63</v>
      </c>
      <c r="E679" s="2">
        <f>(Table2[[#This Row],[revenue]]-Table2[[#This Row],[budget]])/Table2[[#This Row],[budget]]</f>
        <v>7.368176853836947</v>
      </c>
      <c r="F679" t="s">
        <v>21</v>
      </c>
      <c r="G679" t="s">
        <v>15</v>
      </c>
      <c r="H679" t="s">
        <v>19</v>
      </c>
      <c r="I679">
        <v>0.97</v>
      </c>
      <c r="J679">
        <v>743450.84</v>
      </c>
      <c r="K679">
        <f>Table2[[#This Row],[revenue]]/Table2[[#This Row],[budget]]</f>
        <v>8.3681768538369461</v>
      </c>
      <c r="L679" s="2">
        <f t="shared" si="30"/>
        <v>743450.84</v>
      </c>
      <c r="M679" s="2">
        <f>(Table2[[#This Row],[Adjusted revenue]]-Table2[[#This Row],[budget]])/Table2[[#This Row],[budget]]</f>
        <v>7.368176853836947</v>
      </c>
      <c r="N679" t="str">
        <f t="shared" si="31"/>
        <v>OK</v>
      </c>
      <c r="O679" s="2">
        <f t="shared" si="32"/>
        <v>0.65645828501830472</v>
      </c>
    </row>
    <row r="680" spans="1:15" x14ac:dyDescent="0.3">
      <c r="A680" t="s">
        <v>698</v>
      </c>
      <c r="B680" s="1">
        <v>44987</v>
      </c>
      <c r="C680" s="1">
        <v>45162</v>
      </c>
      <c r="D680">
        <v>88036.35</v>
      </c>
      <c r="E680" s="2">
        <f>(Table2[[#This Row],[revenue]]-Table2[[#This Row],[budget]])/Table2[[#This Row],[budget]]</f>
        <v>3.2277931786131524</v>
      </c>
      <c r="F680" t="s">
        <v>11</v>
      </c>
      <c r="G680" t="s">
        <v>15</v>
      </c>
      <c r="H680" t="s">
        <v>19</v>
      </c>
      <c r="I680">
        <v>0.96</v>
      </c>
      <c r="J680">
        <v>372199.48</v>
      </c>
      <c r="K680">
        <f>Table2[[#This Row],[revenue]]/Table2[[#This Row],[budget]]</f>
        <v>4.227793178613152</v>
      </c>
      <c r="L680" s="2">
        <f t="shared" si="30"/>
        <v>372199.48</v>
      </c>
      <c r="M680" s="2">
        <f>(Table2[[#This Row],[Adjusted revenue]]-Table2[[#This Row],[budget]])/Table2[[#This Row],[budget]]</f>
        <v>3.2277931786131524</v>
      </c>
      <c r="N680" t="str">
        <f t="shared" si="31"/>
        <v>OK</v>
      </c>
      <c r="O680" s="2">
        <f t="shared" si="32"/>
        <v>-0.2152014360814416</v>
      </c>
    </row>
    <row r="681" spans="1:15" x14ac:dyDescent="0.3">
      <c r="A681" t="s">
        <v>699</v>
      </c>
      <c r="B681" s="1">
        <v>44912</v>
      </c>
      <c r="C681" s="1">
        <v>45310</v>
      </c>
      <c r="D681">
        <v>90591.66</v>
      </c>
      <c r="E681" s="2">
        <f>(Table2[[#This Row],[revenue]]-Table2[[#This Row],[budget]])/Table2[[#This Row],[budget]]</f>
        <v>6.7489296476077376</v>
      </c>
      <c r="F681" t="s">
        <v>18</v>
      </c>
      <c r="G681" t="s">
        <v>12</v>
      </c>
      <c r="H681" t="s">
        <v>16</v>
      </c>
      <c r="I681">
        <v>0.54</v>
      </c>
      <c r="J681">
        <v>701988.4</v>
      </c>
      <c r="K681">
        <f>Table2[[#This Row],[revenue]]/Table2[[#This Row],[budget]]</f>
        <v>7.7489296476077376</v>
      </c>
      <c r="L681" s="2">
        <f t="shared" si="30"/>
        <v>701988.4</v>
      </c>
      <c r="M681" s="2">
        <f>(Table2[[#This Row],[Adjusted revenue]]-Table2[[#This Row],[budget]])/Table2[[#This Row],[budget]]</f>
        <v>6.7489296476077376</v>
      </c>
      <c r="N681" t="str">
        <f t="shared" si="31"/>
        <v>OK</v>
      </c>
      <c r="O681" s="2">
        <f t="shared" si="32"/>
        <v>0.52609045212794481</v>
      </c>
    </row>
    <row r="682" spans="1:15" x14ac:dyDescent="0.3">
      <c r="A682" t="s">
        <v>700</v>
      </c>
      <c r="B682" s="1">
        <v>45059</v>
      </c>
      <c r="C682" s="1">
        <v>45393</v>
      </c>
      <c r="D682">
        <v>90434.18</v>
      </c>
      <c r="E682" s="2">
        <f>(Table2[[#This Row],[revenue]]-Table2[[#This Row],[budget]])/Table2[[#This Row],[budget]]</f>
        <v>2.3044133313311406</v>
      </c>
      <c r="F682" t="s">
        <v>11</v>
      </c>
      <c r="G682" t="s">
        <v>15</v>
      </c>
      <c r="H682" t="s">
        <v>19</v>
      </c>
      <c r="I682">
        <v>0.48</v>
      </c>
      <c r="J682">
        <v>298831.90999999997</v>
      </c>
      <c r="K682">
        <f>Table2[[#This Row],[revenue]]/Table2[[#This Row],[budget]]</f>
        <v>3.3044133313311406</v>
      </c>
      <c r="L682" s="2">
        <f t="shared" si="30"/>
        <v>298831.90999999997</v>
      </c>
      <c r="M682" s="2">
        <f>(Table2[[#This Row],[Adjusted revenue]]-Table2[[#This Row],[budget]])/Table2[[#This Row],[budget]]</f>
        <v>2.3044133313311406</v>
      </c>
      <c r="N682" t="str">
        <f t="shared" si="31"/>
        <v>OK</v>
      </c>
      <c r="O682" s="2">
        <f t="shared" si="32"/>
        <v>-0.40959719340397038</v>
      </c>
    </row>
    <row r="683" spans="1:15" x14ac:dyDescent="0.3">
      <c r="A683" t="s">
        <v>701</v>
      </c>
      <c r="B683" s="1">
        <v>45114</v>
      </c>
      <c r="C683" s="1">
        <v>45202</v>
      </c>
      <c r="D683">
        <v>38665.1</v>
      </c>
      <c r="E683" s="2">
        <f>(Table2[[#This Row],[revenue]]-Table2[[#This Row],[budget]])/Table2[[#This Row],[budget]]</f>
        <v>0.91497707234689685</v>
      </c>
      <c r="F683" t="s">
        <v>11</v>
      </c>
      <c r="G683" t="s">
        <v>12</v>
      </c>
      <c r="H683" t="s">
        <v>19</v>
      </c>
      <c r="I683">
        <v>0.28999999999999998</v>
      </c>
      <c r="J683">
        <v>74042.78</v>
      </c>
      <c r="K683">
        <f>Table2[[#This Row],[revenue]]/Table2[[#This Row],[budget]]</f>
        <v>1.9149770723468968</v>
      </c>
      <c r="L683" s="2">
        <f t="shared" si="30"/>
        <v>74042.78</v>
      </c>
      <c r="M683" s="2">
        <f>(Table2[[#This Row],[Adjusted revenue]]-Table2[[#This Row],[budget]])/Table2[[#This Row],[budget]]</f>
        <v>0.91497707234689685</v>
      </c>
      <c r="N683" t="str">
        <f t="shared" si="31"/>
        <v>OK</v>
      </c>
      <c r="O683" s="2">
        <f t="shared" si="32"/>
        <v>-0.70211009003223224</v>
      </c>
    </row>
    <row r="684" spans="1:15" x14ac:dyDescent="0.3">
      <c r="A684" t="s">
        <v>702</v>
      </c>
      <c r="B684" s="1">
        <v>44851</v>
      </c>
      <c r="C684" s="1">
        <v>45452</v>
      </c>
      <c r="D684">
        <v>21791.46</v>
      </c>
      <c r="E684" s="2">
        <f>(Table2[[#This Row],[revenue]]-Table2[[#This Row],[budget]])/Table2[[#This Row],[budget]]</f>
        <v>41.820716923051506</v>
      </c>
      <c r="F684" t="s">
        <v>21</v>
      </c>
      <c r="G684" t="s">
        <v>12</v>
      </c>
      <c r="H684" t="s">
        <v>16</v>
      </c>
      <c r="I684">
        <v>0.87</v>
      </c>
      <c r="J684">
        <v>933125.94</v>
      </c>
      <c r="K684">
        <f>Table2[[#This Row],[revenue]]/Table2[[#This Row],[budget]]</f>
        <v>42.820716923051506</v>
      </c>
      <c r="L684" s="2">
        <f t="shared" si="30"/>
        <v>217914.59999999998</v>
      </c>
      <c r="M684" s="2">
        <f>(Table2[[#This Row],[Adjusted revenue]]-Table2[[#This Row],[budget]])/Table2[[#This Row],[budget]]</f>
        <v>9</v>
      </c>
      <c r="N684" t="str">
        <f t="shared" si="31"/>
        <v>OK</v>
      </c>
      <c r="O684" s="2">
        <f t="shared" si="32"/>
        <v>1</v>
      </c>
    </row>
    <row r="685" spans="1:15" x14ac:dyDescent="0.3">
      <c r="A685" t="s">
        <v>703</v>
      </c>
      <c r="B685" s="1">
        <v>44881</v>
      </c>
      <c r="C685" s="1">
        <v>45164</v>
      </c>
      <c r="D685">
        <v>56663.23</v>
      </c>
      <c r="E685" s="2">
        <f>(Table2[[#This Row],[revenue]]-Table2[[#This Row],[budget]])/Table2[[#This Row],[budget]]</f>
        <v>16.195445794389059</v>
      </c>
      <c r="F685" t="s">
        <v>23</v>
      </c>
      <c r="G685" t="s">
        <v>12</v>
      </c>
      <c r="H685" t="s">
        <v>25</v>
      </c>
      <c r="I685">
        <v>0</v>
      </c>
      <c r="J685">
        <v>974349.5</v>
      </c>
      <c r="K685">
        <f>Table2[[#This Row],[revenue]]/Table2[[#This Row],[budget]]</f>
        <v>17.195445794389059</v>
      </c>
      <c r="L685" s="2">
        <f t="shared" si="30"/>
        <v>566632.30000000005</v>
      </c>
      <c r="M685" s="2">
        <f>(Table2[[#This Row],[Adjusted revenue]]-Table2[[#This Row],[budget]])/Table2[[#This Row],[budget]]</f>
        <v>9</v>
      </c>
      <c r="N685" t="str">
        <f t="shared" si="31"/>
        <v>OK</v>
      </c>
      <c r="O685" s="2">
        <f t="shared" si="32"/>
        <v>1</v>
      </c>
    </row>
    <row r="686" spans="1:15" x14ac:dyDescent="0.3">
      <c r="A686" t="s">
        <v>704</v>
      </c>
      <c r="B686" s="1">
        <v>45065</v>
      </c>
      <c r="C686" s="1">
        <v>45181</v>
      </c>
      <c r="D686">
        <v>5057.3100000000004</v>
      </c>
      <c r="E686" s="2">
        <f>(Table2[[#This Row],[revenue]]-Table2[[#This Row],[budget]])/Table2[[#This Row],[budget]]</f>
        <v>142.54372383737598</v>
      </c>
      <c r="F686" t="s">
        <v>21</v>
      </c>
      <c r="G686" t="s">
        <v>15</v>
      </c>
      <c r="H686" t="s">
        <v>19</v>
      </c>
      <c r="I686">
        <v>0.89</v>
      </c>
      <c r="J686">
        <v>725945.11</v>
      </c>
      <c r="K686">
        <f>Table2[[#This Row],[revenue]]/Table2[[#This Row],[budget]]</f>
        <v>143.54372383737598</v>
      </c>
      <c r="L686" s="2">
        <f t="shared" si="30"/>
        <v>50573.100000000006</v>
      </c>
      <c r="M686" s="2">
        <f>(Table2[[#This Row],[Adjusted revenue]]-Table2[[#This Row],[budget]])/Table2[[#This Row],[budget]]</f>
        <v>9.0000000000000018</v>
      </c>
      <c r="N686" t="str">
        <f t="shared" si="31"/>
        <v>OK</v>
      </c>
      <c r="O686" s="2">
        <f t="shared" si="32"/>
        <v>1.0000000000000004</v>
      </c>
    </row>
    <row r="687" spans="1:15" x14ac:dyDescent="0.3">
      <c r="A687" t="s">
        <v>705</v>
      </c>
      <c r="B687" s="1">
        <v>45055</v>
      </c>
      <c r="C687" s="1">
        <v>45324</v>
      </c>
      <c r="D687">
        <v>77036.39</v>
      </c>
      <c r="E687" s="2">
        <f>(Table2[[#This Row],[revenue]]-Table2[[#This Row],[budget]])/Table2[[#This Row],[budget]]</f>
        <v>2.2526552710998011</v>
      </c>
      <c r="F687" t="s">
        <v>21</v>
      </c>
      <c r="G687" t="s">
        <v>12</v>
      </c>
      <c r="H687" t="s">
        <v>19</v>
      </c>
      <c r="I687">
        <v>0.95</v>
      </c>
      <c r="J687">
        <v>250572.82</v>
      </c>
      <c r="K687">
        <f>Table2[[#This Row],[revenue]]/Table2[[#This Row],[budget]]</f>
        <v>3.2526552710998011</v>
      </c>
      <c r="L687" s="2">
        <f t="shared" si="30"/>
        <v>250572.82</v>
      </c>
      <c r="M687" s="2">
        <f>(Table2[[#This Row],[Adjusted revenue]]-Table2[[#This Row],[budget]])/Table2[[#This Row],[budget]]</f>
        <v>2.2526552710998011</v>
      </c>
      <c r="N687" t="str">
        <f t="shared" si="31"/>
        <v>OK</v>
      </c>
      <c r="O687" s="2">
        <f t="shared" si="32"/>
        <v>-0.42049362713688399</v>
      </c>
    </row>
    <row r="688" spans="1:15" x14ac:dyDescent="0.3">
      <c r="A688" t="s">
        <v>706</v>
      </c>
      <c r="B688" s="1">
        <v>45049</v>
      </c>
      <c r="C688" s="1">
        <v>45281</v>
      </c>
      <c r="D688">
        <v>37988.85</v>
      </c>
      <c r="E688" s="2">
        <f>(Table2[[#This Row],[revenue]]-Table2[[#This Row],[budget]])/Table2[[#This Row],[budget]]</f>
        <v>20.20843879190868</v>
      </c>
      <c r="F688" t="s">
        <v>18</v>
      </c>
      <c r="G688" t="s">
        <v>15</v>
      </c>
      <c r="H688" t="s">
        <v>16</v>
      </c>
      <c r="I688">
        <v>0.34</v>
      </c>
      <c r="J688">
        <v>805684.2</v>
      </c>
      <c r="K688">
        <f>Table2[[#This Row],[revenue]]/Table2[[#This Row],[budget]]</f>
        <v>21.208438791908677</v>
      </c>
      <c r="L688" s="2">
        <f t="shared" si="30"/>
        <v>379888.5</v>
      </c>
      <c r="M688" s="2">
        <f>(Table2[[#This Row],[Adjusted revenue]]-Table2[[#This Row],[budget]])/Table2[[#This Row],[budget]]</f>
        <v>9.0000000000000018</v>
      </c>
      <c r="N688" t="str">
        <f t="shared" si="31"/>
        <v>OK</v>
      </c>
      <c r="O688" s="2">
        <f t="shared" si="32"/>
        <v>1.0000000000000004</v>
      </c>
    </row>
    <row r="689" spans="1:15" x14ac:dyDescent="0.3">
      <c r="A689" t="s">
        <v>707</v>
      </c>
      <c r="B689" s="1">
        <v>44832</v>
      </c>
      <c r="C689" s="1">
        <v>45449</v>
      </c>
      <c r="D689">
        <v>36751.1</v>
      </c>
      <c r="E689" s="2">
        <f>(Table2[[#This Row],[revenue]]-Table2[[#This Row],[budget]])/Table2[[#This Row],[budget]]</f>
        <v>0.39052871886827878</v>
      </c>
      <c r="F689" t="s">
        <v>21</v>
      </c>
      <c r="G689" t="s">
        <v>12</v>
      </c>
      <c r="H689" t="s">
        <v>16</v>
      </c>
      <c r="I689">
        <v>0.47</v>
      </c>
      <c r="J689">
        <v>51103.46</v>
      </c>
      <c r="K689">
        <f>Table2[[#This Row],[revenue]]/Table2[[#This Row],[budget]]</f>
        <v>1.3905287188682789</v>
      </c>
      <c r="L689" s="2">
        <f t="shared" si="30"/>
        <v>51103.46</v>
      </c>
      <c r="M689" s="2">
        <f>(Table2[[#This Row],[Adjusted revenue]]-Table2[[#This Row],[budget]])/Table2[[#This Row],[budget]]</f>
        <v>0.39052871886827878</v>
      </c>
      <c r="N689" t="str">
        <f t="shared" si="31"/>
        <v>Failed</v>
      </c>
      <c r="O689" s="2">
        <f t="shared" si="32"/>
        <v>-0.81252026971194136</v>
      </c>
    </row>
    <row r="690" spans="1:15" x14ac:dyDescent="0.3">
      <c r="A690" t="s">
        <v>708</v>
      </c>
      <c r="B690" s="1">
        <v>44878</v>
      </c>
      <c r="C690" s="1">
        <v>45316</v>
      </c>
      <c r="D690">
        <v>49256.5</v>
      </c>
      <c r="E690" s="2">
        <f>(Table2[[#This Row],[revenue]]-Table2[[#This Row],[budget]])/Table2[[#This Row],[budget]]</f>
        <v>5.3337681321246944</v>
      </c>
      <c r="F690" t="s">
        <v>18</v>
      </c>
      <c r="G690" t="s">
        <v>15</v>
      </c>
      <c r="H690" t="s">
        <v>19</v>
      </c>
      <c r="I690">
        <v>0.87</v>
      </c>
      <c r="J690">
        <v>311979.25</v>
      </c>
      <c r="K690">
        <f>Table2[[#This Row],[revenue]]/Table2[[#This Row],[budget]]</f>
        <v>6.3337681321246944</v>
      </c>
      <c r="L690" s="2">
        <f t="shared" si="30"/>
        <v>311979.25</v>
      </c>
      <c r="M690" s="2">
        <f>(Table2[[#This Row],[Adjusted revenue]]-Table2[[#This Row],[budget]])/Table2[[#This Row],[budget]]</f>
        <v>5.3337681321246944</v>
      </c>
      <c r="N690" t="str">
        <f t="shared" si="31"/>
        <v>OK</v>
      </c>
      <c r="O690" s="2">
        <f t="shared" si="32"/>
        <v>0.22816171202625135</v>
      </c>
    </row>
    <row r="691" spans="1:15" x14ac:dyDescent="0.3">
      <c r="A691" t="s">
        <v>709</v>
      </c>
      <c r="B691" s="1">
        <v>45012</v>
      </c>
      <c r="C691" s="1">
        <v>45355</v>
      </c>
      <c r="D691">
        <v>31145.23</v>
      </c>
      <c r="E691" s="2">
        <f>(Table2[[#This Row],[revenue]]-Table2[[#This Row],[budget]])/Table2[[#This Row],[budget]]</f>
        <v>9.704953214344543E-2</v>
      </c>
      <c r="F691" t="s">
        <v>21</v>
      </c>
      <c r="G691" t="s">
        <v>12</v>
      </c>
      <c r="H691" t="s">
        <v>25</v>
      </c>
      <c r="I691">
        <v>0.8</v>
      </c>
      <c r="J691">
        <v>34167.86</v>
      </c>
      <c r="K691">
        <f>Table2[[#This Row],[revenue]]/Table2[[#This Row],[budget]]</f>
        <v>1.0970495321434455</v>
      </c>
      <c r="L691" s="2">
        <f t="shared" si="30"/>
        <v>34167.86</v>
      </c>
      <c r="M691" s="2">
        <f>(Table2[[#This Row],[Adjusted revenue]]-Table2[[#This Row],[budget]])/Table2[[#This Row],[budget]]</f>
        <v>9.704953214344543E-2</v>
      </c>
      <c r="N691" t="str">
        <f t="shared" si="31"/>
        <v>Failed</v>
      </c>
      <c r="O691" s="2">
        <f t="shared" si="32"/>
        <v>-0.87430536165401151</v>
      </c>
    </row>
    <row r="692" spans="1:15" x14ac:dyDescent="0.3">
      <c r="A692" t="s">
        <v>710</v>
      </c>
      <c r="B692" s="1">
        <v>44804</v>
      </c>
      <c r="C692" s="1">
        <v>45247</v>
      </c>
      <c r="D692">
        <v>41188.160000000003</v>
      </c>
      <c r="E692" s="2">
        <f>(Table2[[#This Row],[revenue]]-Table2[[#This Row],[budget]])/Table2[[#This Row],[budget]]</f>
        <v>18.693807152346693</v>
      </c>
      <c r="F692" t="s">
        <v>23</v>
      </c>
      <c r="G692" t="s">
        <v>12</v>
      </c>
      <c r="H692" t="s">
        <v>25</v>
      </c>
      <c r="I692">
        <v>0.68</v>
      </c>
      <c r="J692">
        <v>811151.68</v>
      </c>
      <c r="K692">
        <f>Table2[[#This Row],[revenue]]/Table2[[#This Row],[budget]]</f>
        <v>19.693807152346693</v>
      </c>
      <c r="L692" s="2">
        <f t="shared" si="30"/>
        <v>411881.60000000003</v>
      </c>
      <c r="M692" s="2">
        <f>(Table2[[#This Row],[Adjusted revenue]]-Table2[[#This Row],[budget]])/Table2[[#This Row],[budget]]</f>
        <v>9</v>
      </c>
      <c r="N692" t="str">
        <f t="shared" si="31"/>
        <v>OK</v>
      </c>
      <c r="O692" s="2">
        <f t="shared" si="32"/>
        <v>1</v>
      </c>
    </row>
    <row r="693" spans="1:15" x14ac:dyDescent="0.3">
      <c r="A693" t="s">
        <v>711</v>
      </c>
      <c r="B693" s="1">
        <v>44852</v>
      </c>
      <c r="C693" s="1">
        <v>45304</v>
      </c>
      <c r="D693">
        <v>41672.129999999997</v>
      </c>
      <c r="E693" s="2">
        <f>(Table2[[#This Row],[revenue]]-Table2[[#This Row],[budget]])/Table2[[#This Row],[budget]]</f>
        <v>5.287650763231925</v>
      </c>
      <c r="F693" t="s">
        <v>23</v>
      </c>
      <c r="G693" t="s">
        <v>15</v>
      </c>
      <c r="H693" t="s">
        <v>16</v>
      </c>
      <c r="I693">
        <v>0.2</v>
      </c>
      <c r="J693">
        <v>262019.8</v>
      </c>
      <c r="K693">
        <f>Table2[[#This Row],[revenue]]/Table2[[#This Row],[budget]]</f>
        <v>6.287650763231925</v>
      </c>
      <c r="L693" s="2">
        <f t="shared" si="30"/>
        <v>262019.8</v>
      </c>
      <c r="M693" s="2">
        <f>(Table2[[#This Row],[Adjusted revenue]]-Table2[[#This Row],[budget]])/Table2[[#This Row],[budget]]</f>
        <v>5.287650763231925</v>
      </c>
      <c r="N693" t="str">
        <f t="shared" si="31"/>
        <v>OK</v>
      </c>
      <c r="O693" s="2">
        <f t="shared" si="32"/>
        <v>0.21845279225935266</v>
      </c>
    </row>
    <row r="694" spans="1:15" x14ac:dyDescent="0.3">
      <c r="A694" t="s">
        <v>712</v>
      </c>
      <c r="B694" s="1">
        <v>44960</v>
      </c>
      <c r="C694" s="1">
        <v>45491</v>
      </c>
      <c r="D694">
        <v>80301.86</v>
      </c>
      <c r="E694" s="2">
        <f>(Table2[[#This Row],[revenue]]-Table2[[#This Row],[budget]])/Table2[[#This Row],[budget]]</f>
        <v>-3.6319706666819343E-2</v>
      </c>
      <c r="F694" t="s">
        <v>18</v>
      </c>
      <c r="G694" t="s">
        <v>12</v>
      </c>
      <c r="H694" t="s">
        <v>16</v>
      </c>
      <c r="I694">
        <v>0.73</v>
      </c>
      <c r="J694">
        <v>77385.320000000007</v>
      </c>
      <c r="K694">
        <f>Table2[[#This Row],[revenue]]/Table2[[#This Row],[budget]]</f>
        <v>0.96368029333318062</v>
      </c>
      <c r="L694" s="2">
        <f t="shared" si="30"/>
        <v>77385.320000000007</v>
      </c>
      <c r="M694" s="2">
        <f>(Table2[[#This Row],[Adjusted revenue]]-Table2[[#This Row],[budget]])/Table2[[#This Row],[budget]]</f>
        <v>-3.6319706666819343E-2</v>
      </c>
      <c r="N694" t="str">
        <f t="shared" si="31"/>
        <v>Failed</v>
      </c>
      <c r="O694" s="2">
        <f t="shared" si="32"/>
        <v>-0.90238309614038303</v>
      </c>
    </row>
    <row r="695" spans="1:15" x14ac:dyDescent="0.3">
      <c r="A695" t="s">
        <v>713</v>
      </c>
      <c r="B695" s="1">
        <v>44864</v>
      </c>
      <c r="C695" s="1">
        <v>45178</v>
      </c>
      <c r="D695">
        <v>10618.97</v>
      </c>
      <c r="E695" s="2">
        <f>(Table2[[#This Row],[revenue]]-Table2[[#This Row],[budget]])/Table2[[#This Row],[budget]]</f>
        <v>65.373646408267476</v>
      </c>
      <c r="F695" t="s">
        <v>21</v>
      </c>
      <c r="G695" t="s">
        <v>12</v>
      </c>
      <c r="H695" t="s">
        <v>16</v>
      </c>
      <c r="I695">
        <v>0.92</v>
      </c>
      <c r="J695">
        <v>704819.76</v>
      </c>
      <c r="K695">
        <f>Table2[[#This Row],[revenue]]/Table2[[#This Row],[budget]]</f>
        <v>66.373646408267476</v>
      </c>
      <c r="L695" s="2">
        <f t="shared" si="30"/>
        <v>106189.7</v>
      </c>
      <c r="M695" s="2">
        <f>(Table2[[#This Row],[Adjusted revenue]]-Table2[[#This Row],[budget]])/Table2[[#This Row],[budget]]</f>
        <v>9</v>
      </c>
      <c r="N695" t="str">
        <f t="shared" si="31"/>
        <v>OK</v>
      </c>
      <c r="O695" s="2">
        <f t="shared" si="32"/>
        <v>1</v>
      </c>
    </row>
    <row r="696" spans="1:15" x14ac:dyDescent="0.3">
      <c r="A696" t="s">
        <v>714</v>
      </c>
      <c r="B696" s="1">
        <v>44867</v>
      </c>
      <c r="C696" s="1">
        <v>45250</v>
      </c>
      <c r="D696">
        <v>76690.16</v>
      </c>
      <c r="E696" s="2">
        <f>(Table2[[#This Row],[revenue]]-Table2[[#This Row],[budget]])/Table2[[#This Row],[budget]]</f>
        <v>1.9604550309974575</v>
      </c>
      <c r="F696" t="s">
        <v>21</v>
      </c>
      <c r="G696" t="s">
        <v>12</v>
      </c>
      <c r="H696" t="s">
        <v>19</v>
      </c>
      <c r="I696">
        <v>0.56000000000000005</v>
      </c>
      <c r="J696">
        <v>227037.77</v>
      </c>
      <c r="K696">
        <f>Table2[[#This Row],[revenue]]/Table2[[#This Row],[budget]]</f>
        <v>2.9604550309974575</v>
      </c>
      <c r="L696" s="2">
        <f t="shared" si="30"/>
        <v>227037.77</v>
      </c>
      <c r="M696" s="2">
        <f>(Table2[[#This Row],[Adjusted revenue]]-Table2[[#This Row],[budget]])/Table2[[#This Row],[budget]]</f>
        <v>1.9604550309974575</v>
      </c>
      <c r="N696" t="str">
        <f t="shared" si="31"/>
        <v>OK</v>
      </c>
      <c r="O696" s="2">
        <f t="shared" si="32"/>
        <v>-0.48200946715842996</v>
      </c>
    </row>
    <row r="697" spans="1:15" x14ac:dyDescent="0.3">
      <c r="A697" t="s">
        <v>715</v>
      </c>
      <c r="B697" s="1">
        <v>44788</v>
      </c>
      <c r="C697" s="1">
        <v>45418</v>
      </c>
      <c r="D697">
        <v>43349.83</v>
      </c>
      <c r="E697" s="2">
        <f>(Table2[[#This Row],[revenue]]-Table2[[#This Row],[budget]])/Table2[[#This Row],[budget]]</f>
        <v>4.8841457971115458</v>
      </c>
      <c r="F697" t="s">
        <v>18</v>
      </c>
      <c r="G697" t="s">
        <v>15</v>
      </c>
      <c r="H697" t="s">
        <v>19</v>
      </c>
      <c r="I697">
        <v>0.68</v>
      </c>
      <c r="J697">
        <v>255076.72</v>
      </c>
      <c r="K697">
        <f>Table2[[#This Row],[revenue]]/Table2[[#This Row],[budget]]</f>
        <v>5.8841457971115458</v>
      </c>
      <c r="L697" s="2">
        <f t="shared" si="30"/>
        <v>255076.72</v>
      </c>
      <c r="M697" s="2">
        <f>(Table2[[#This Row],[Adjusted revenue]]-Table2[[#This Row],[budget]])/Table2[[#This Row],[budget]]</f>
        <v>4.8841457971115458</v>
      </c>
      <c r="N697" t="str">
        <f t="shared" si="31"/>
        <v>OK</v>
      </c>
      <c r="O697" s="2">
        <f t="shared" si="32"/>
        <v>0.13350437833927287</v>
      </c>
    </row>
    <row r="698" spans="1:15" x14ac:dyDescent="0.3">
      <c r="A698" t="s">
        <v>716</v>
      </c>
      <c r="B698" s="1">
        <v>45035</v>
      </c>
      <c r="C698" s="1">
        <v>45344</v>
      </c>
      <c r="D698">
        <v>67118.97</v>
      </c>
      <c r="E698" s="2">
        <f>(Table2[[#This Row],[revenue]]-Table2[[#This Row],[budget]])/Table2[[#This Row],[budget]]</f>
        <v>4.7024920078481545</v>
      </c>
      <c r="F698" t="s">
        <v>21</v>
      </c>
      <c r="G698" t="s">
        <v>12</v>
      </c>
      <c r="H698" t="s">
        <v>16</v>
      </c>
      <c r="I698">
        <v>0.53</v>
      </c>
      <c r="J698">
        <v>382745.39</v>
      </c>
      <c r="K698">
        <f>Table2[[#This Row],[revenue]]/Table2[[#This Row],[budget]]</f>
        <v>5.7024920078481536</v>
      </c>
      <c r="L698" s="2">
        <f t="shared" si="30"/>
        <v>382745.39</v>
      </c>
      <c r="M698" s="2">
        <f>(Table2[[#This Row],[Adjusted revenue]]-Table2[[#This Row],[budget]])/Table2[[#This Row],[budget]]</f>
        <v>4.7024920078481545</v>
      </c>
      <c r="N698" t="str">
        <f t="shared" si="31"/>
        <v>OK</v>
      </c>
      <c r="O698" s="2">
        <f t="shared" si="32"/>
        <v>9.5261475336453572E-2</v>
      </c>
    </row>
    <row r="699" spans="1:15" x14ac:dyDescent="0.3">
      <c r="A699" t="s">
        <v>717</v>
      </c>
      <c r="B699" s="1">
        <v>45129</v>
      </c>
      <c r="C699" s="1">
        <v>45412</v>
      </c>
      <c r="D699">
        <v>74856.710000000006</v>
      </c>
      <c r="E699" s="2">
        <f>(Table2[[#This Row],[revenue]]-Table2[[#This Row],[budget]])/Table2[[#This Row],[budget]]</f>
        <v>2.5645877303450813</v>
      </c>
      <c r="F699" t="s">
        <v>18</v>
      </c>
      <c r="G699" t="s">
        <v>12</v>
      </c>
      <c r="H699" t="s">
        <v>25</v>
      </c>
      <c r="I699">
        <v>0.99</v>
      </c>
      <c r="J699">
        <v>266833.31</v>
      </c>
      <c r="K699">
        <f>Table2[[#This Row],[revenue]]/Table2[[#This Row],[budget]]</f>
        <v>3.5645877303450817</v>
      </c>
      <c r="L699" s="2">
        <f t="shared" si="30"/>
        <v>266833.31</v>
      </c>
      <c r="M699" s="2">
        <f>(Table2[[#This Row],[Adjusted revenue]]-Table2[[#This Row],[budget]])/Table2[[#This Row],[budget]]</f>
        <v>2.5645877303450813</v>
      </c>
      <c r="N699" t="str">
        <f t="shared" si="31"/>
        <v>OK</v>
      </c>
      <c r="O699" s="2">
        <f t="shared" si="32"/>
        <v>-0.35482363571682496</v>
      </c>
    </row>
    <row r="700" spans="1:15" x14ac:dyDescent="0.3">
      <c r="A700" t="s">
        <v>718</v>
      </c>
      <c r="B700" s="1">
        <v>45094</v>
      </c>
      <c r="C700" s="1">
        <v>45330</v>
      </c>
      <c r="D700">
        <v>99343.38</v>
      </c>
      <c r="E700" s="2">
        <f>(Table2[[#This Row],[revenue]]-Table2[[#This Row],[budget]])/Table2[[#This Row],[budget]]</f>
        <v>3.6935036838891531</v>
      </c>
      <c r="F700" t="s">
        <v>18</v>
      </c>
      <c r="G700" t="s">
        <v>12</v>
      </c>
      <c r="H700" t="s">
        <v>19</v>
      </c>
      <c r="I700">
        <v>0.96</v>
      </c>
      <c r="J700">
        <v>466268.52</v>
      </c>
      <c r="K700">
        <f>Table2[[#This Row],[revenue]]/Table2[[#This Row],[budget]]</f>
        <v>4.6935036838891531</v>
      </c>
      <c r="L700" s="2">
        <f t="shared" si="30"/>
        <v>466268.52</v>
      </c>
      <c r="M700" s="2">
        <f>(Table2[[#This Row],[Adjusted revenue]]-Table2[[#This Row],[budget]])/Table2[[#This Row],[budget]]</f>
        <v>3.6935036838891531</v>
      </c>
      <c r="N700" t="str">
        <f t="shared" si="31"/>
        <v>OK</v>
      </c>
      <c r="O700" s="2">
        <f t="shared" si="32"/>
        <v>-0.11715711918123095</v>
      </c>
    </row>
    <row r="701" spans="1:15" x14ac:dyDescent="0.3">
      <c r="A701" t="s">
        <v>719</v>
      </c>
      <c r="B701" s="1">
        <v>45128</v>
      </c>
      <c r="C701" s="1">
        <v>45460</v>
      </c>
      <c r="D701">
        <v>6430.7</v>
      </c>
      <c r="E701" s="2">
        <f>(Table2[[#This Row],[revenue]]-Table2[[#This Row],[budget]])/Table2[[#This Row],[budget]]</f>
        <v>152.3671451008444</v>
      </c>
      <c r="F701" t="s">
        <v>23</v>
      </c>
      <c r="G701" t="s">
        <v>12</v>
      </c>
      <c r="H701" t="s">
        <v>19</v>
      </c>
      <c r="I701">
        <v>0.46</v>
      </c>
      <c r="J701">
        <v>986258.1</v>
      </c>
      <c r="K701">
        <f>Table2[[#This Row],[revenue]]/Table2[[#This Row],[budget]]</f>
        <v>153.3671451008444</v>
      </c>
      <c r="L701" s="2">
        <f t="shared" si="30"/>
        <v>64307</v>
      </c>
      <c r="M701" s="2">
        <f>(Table2[[#This Row],[Adjusted revenue]]-Table2[[#This Row],[budget]])/Table2[[#This Row],[budget]]</f>
        <v>9</v>
      </c>
      <c r="N701" t="str">
        <f t="shared" si="31"/>
        <v>OK</v>
      </c>
      <c r="O701" s="2">
        <f t="shared" si="32"/>
        <v>1</v>
      </c>
    </row>
    <row r="702" spans="1:15" x14ac:dyDescent="0.3">
      <c r="A702" t="s">
        <v>720</v>
      </c>
      <c r="B702" s="1">
        <v>44839</v>
      </c>
      <c r="C702" s="1">
        <v>45202</v>
      </c>
      <c r="D702">
        <v>99248.28</v>
      </c>
      <c r="E702" s="2">
        <f>(Table2[[#This Row],[revenue]]-Table2[[#This Row],[budget]])/Table2[[#This Row],[budget]]</f>
        <v>4.4583681450197421</v>
      </c>
      <c r="F702" t="s">
        <v>23</v>
      </c>
      <c r="G702" t="s">
        <v>12</v>
      </c>
      <c r="H702" t="s">
        <v>13</v>
      </c>
      <c r="I702">
        <v>0.32</v>
      </c>
      <c r="J702">
        <v>541733.65</v>
      </c>
      <c r="K702">
        <f>Table2[[#This Row],[revenue]]/Table2[[#This Row],[budget]]</f>
        <v>5.458368145019743</v>
      </c>
      <c r="L702" s="2">
        <f t="shared" si="30"/>
        <v>541733.65</v>
      </c>
      <c r="M702" s="2">
        <f>(Table2[[#This Row],[Adjusted revenue]]-Table2[[#This Row],[budget]])/Table2[[#This Row],[budget]]</f>
        <v>4.4583681450197421</v>
      </c>
      <c r="N702" t="str">
        <f t="shared" si="31"/>
        <v>OK</v>
      </c>
      <c r="O702" s="2">
        <f t="shared" si="32"/>
        <v>4.3866977898893156E-2</v>
      </c>
    </row>
    <row r="703" spans="1:15" x14ac:dyDescent="0.3">
      <c r="A703" t="s">
        <v>721</v>
      </c>
      <c r="B703" s="1">
        <v>44869</v>
      </c>
      <c r="C703" s="1">
        <v>45440</v>
      </c>
      <c r="D703">
        <v>7954.2</v>
      </c>
      <c r="E703" s="2">
        <f>(Table2[[#This Row],[revenue]]-Table2[[#This Row],[budget]])/Table2[[#This Row],[budget]]</f>
        <v>75.030431721606206</v>
      </c>
      <c r="F703" t="s">
        <v>21</v>
      </c>
      <c r="G703" t="s">
        <v>12</v>
      </c>
      <c r="H703" t="s">
        <v>19</v>
      </c>
      <c r="I703">
        <v>0.81</v>
      </c>
      <c r="J703">
        <v>604761.26</v>
      </c>
      <c r="K703">
        <f>Table2[[#This Row],[revenue]]/Table2[[#This Row],[budget]]</f>
        <v>76.030431721606192</v>
      </c>
      <c r="L703" s="2">
        <f t="shared" si="30"/>
        <v>79542</v>
      </c>
      <c r="M703" s="2">
        <f>(Table2[[#This Row],[Adjusted revenue]]-Table2[[#This Row],[budget]])/Table2[[#This Row],[budget]]</f>
        <v>9</v>
      </c>
      <c r="N703" t="str">
        <f t="shared" si="31"/>
        <v>OK</v>
      </c>
      <c r="O703" s="2">
        <f t="shared" si="32"/>
        <v>1</v>
      </c>
    </row>
    <row r="704" spans="1:15" x14ac:dyDescent="0.3">
      <c r="A704" t="s">
        <v>722</v>
      </c>
      <c r="B704" s="1">
        <v>44870</v>
      </c>
      <c r="C704" s="1">
        <v>45339</v>
      </c>
      <c r="D704">
        <v>2698.11</v>
      </c>
      <c r="E704" s="2">
        <f>(Table2[[#This Row],[revenue]]-Table2[[#This Row],[budget]])/Table2[[#This Row],[budget]]</f>
        <v>323.70593118886922</v>
      </c>
      <c r="F704" t="s">
        <v>23</v>
      </c>
      <c r="G704" t="s">
        <v>12</v>
      </c>
      <c r="H704" t="s">
        <v>19</v>
      </c>
      <c r="I704">
        <v>0.17</v>
      </c>
      <c r="J704">
        <v>876092.32</v>
      </c>
      <c r="K704">
        <f>Table2[[#This Row],[revenue]]/Table2[[#This Row],[budget]]</f>
        <v>324.70593118886922</v>
      </c>
      <c r="L704" s="2">
        <f t="shared" si="30"/>
        <v>26981.100000000002</v>
      </c>
      <c r="M704" s="2">
        <f>(Table2[[#This Row],[Adjusted revenue]]-Table2[[#This Row],[budget]])/Table2[[#This Row],[budget]]</f>
        <v>9</v>
      </c>
      <c r="N704" t="str">
        <f t="shared" si="31"/>
        <v>OK</v>
      </c>
      <c r="O704" s="2">
        <f t="shared" si="32"/>
        <v>1</v>
      </c>
    </row>
    <row r="705" spans="1:15" x14ac:dyDescent="0.3">
      <c r="A705" t="s">
        <v>723</v>
      </c>
      <c r="B705" s="1">
        <v>44941</v>
      </c>
      <c r="C705" s="1">
        <v>45415</v>
      </c>
      <c r="D705">
        <v>57491.61</v>
      </c>
      <c r="E705" s="2">
        <f>(Table2[[#This Row],[revenue]]-Table2[[#This Row],[budget]])/Table2[[#This Row],[budget]]</f>
        <v>2.8390025953352152</v>
      </c>
      <c r="F705" t="s">
        <v>21</v>
      </c>
      <c r="G705" t="s">
        <v>15</v>
      </c>
      <c r="H705" t="s">
        <v>16</v>
      </c>
      <c r="I705">
        <v>0.86</v>
      </c>
      <c r="J705">
        <v>220710.44</v>
      </c>
      <c r="K705">
        <f>Table2[[#This Row],[revenue]]/Table2[[#This Row],[budget]]</f>
        <v>3.8390025953352152</v>
      </c>
      <c r="L705" s="2">
        <f t="shared" si="30"/>
        <v>220710.44</v>
      </c>
      <c r="M705" s="2">
        <f>(Table2[[#This Row],[Adjusted revenue]]-Table2[[#This Row],[budget]])/Table2[[#This Row],[budget]]</f>
        <v>2.8390025953352152</v>
      </c>
      <c r="N705" t="str">
        <f t="shared" si="31"/>
        <v>OK</v>
      </c>
      <c r="O705" s="2">
        <f t="shared" si="32"/>
        <v>-0.2970520851925863</v>
      </c>
    </row>
    <row r="706" spans="1:15" x14ac:dyDescent="0.3">
      <c r="A706" t="s">
        <v>724</v>
      </c>
      <c r="B706" s="1">
        <v>44807</v>
      </c>
      <c r="C706" s="1">
        <v>45355</v>
      </c>
      <c r="D706">
        <v>19992.62</v>
      </c>
      <c r="E706" s="2">
        <f>(Table2[[#This Row],[revenue]]-Table2[[#This Row],[budget]])/Table2[[#This Row],[budget]]</f>
        <v>44.561882334581462</v>
      </c>
      <c r="F706" t="s">
        <v>23</v>
      </c>
      <c r="G706" t="s">
        <v>15</v>
      </c>
      <c r="H706" t="s">
        <v>25</v>
      </c>
      <c r="I706">
        <v>0.62</v>
      </c>
      <c r="J706">
        <v>910901.4</v>
      </c>
      <c r="K706">
        <f>Table2[[#This Row],[revenue]]/Table2[[#This Row],[budget]]</f>
        <v>45.561882334581462</v>
      </c>
      <c r="L706" s="2">
        <f t="shared" ref="L706:L769" si="33">MIN(MAX(J706, D706*0.5), D706*10)</f>
        <v>199926.19999999998</v>
      </c>
      <c r="M706" s="2">
        <f>(Table2[[#This Row],[Adjusted revenue]]-Table2[[#This Row],[budget]])/Table2[[#This Row],[budget]]</f>
        <v>9</v>
      </c>
      <c r="N706" t="str">
        <f t="shared" ref="N706:N769" si="34">IF(M706&lt;0.5,"Failed",IF(M706&gt;10,"Suspicious","OK"))</f>
        <v>OK</v>
      </c>
      <c r="O706" s="2">
        <f t="shared" ref="O706:O769" si="35">((M706 - (-0.5)) / (9 - (-0.5))) * (1 - (-1)) + (-1)</f>
        <v>1</v>
      </c>
    </row>
    <row r="707" spans="1:15" x14ac:dyDescent="0.3">
      <c r="A707" t="s">
        <v>725</v>
      </c>
      <c r="B707" s="1">
        <v>45113</v>
      </c>
      <c r="C707" s="1">
        <v>45484</v>
      </c>
      <c r="D707">
        <v>40419.75</v>
      </c>
      <c r="E707" s="2">
        <f>(Table2[[#This Row],[revenue]]-Table2[[#This Row],[budget]])/Table2[[#This Row],[budget]]</f>
        <v>10.847845174698012</v>
      </c>
      <c r="F707" t="s">
        <v>21</v>
      </c>
      <c r="G707" t="s">
        <v>12</v>
      </c>
      <c r="H707" t="s">
        <v>13</v>
      </c>
      <c r="I707">
        <v>0.76</v>
      </c>
      <c r="J707">
        <v>478886.94</v>
      </c>
      <c r="K707">
        <f>Table2[[#This Row],[revenue]]/Table2[[#This Row],[budget]]</f>
        <v>11.847845174698012</v>
      </c>
      <c r="L707" s="2">
        <f t="shared" si="33"/>
        <v>404197.5</v>
      </c>
      <c r="M707" s="2">
        <f>(Table2[[#This Row],[Adjusted revenue]]-Table2[[#This Row],[budget]])/Table2[[#This Row],[budget]]</f>
        <v>9</v>
      </c>
      <c r="N707" t="str">
        <f t="shared" si="34"/>
        <v>OK</v>
      </c>
      <c r="O707" s="2">
        <f t="shared" si="35"/>
        <v>1</v>
      </c>
    </row>
    <row r="708" spans="1:15" x14ac:dyDescent="0.3">
      <c r="A708" t="s">
        <v>726</v>
      </c>
      <c r="B708" s="1">
        <v>44963</v>
      </c>
      <c r="C708" s="1">
        <v>45384</v>
      </c>
      <c r="D708">
        <v>75267.399999999994</v>
      </c>
      <c r="E708" s="2">
        <f>(Table2[[#This Row],[revenue]]-Table2[[#This Row],[budget]])/Table2[[#This Row],[budget]]</f>
        <v>10.230443326061483</v>
      </c>
      <c r="F708" t="s">
        <v>23</v>
      </c>
      <c r="G708" t="s">
        <v>12</v>
      </c>
      <c r="H708" t="s">
        <v>25</v>
      </c>
      <c r="I708">
        <v>0.49</v>
      </c>
      <c r="J708">
        <v>845286.27</v>
      </c>
      <c r="K708">
        <f>Table2[[#This Row],[revenue]]/Table2[[#This Row],[budget]]</f>
        <v>11.230443326061483</v>
      </c>
      <c r="L708" s="2">
        <f t="shared" si="33"/>
        <v>752674</v>
      </c>
      <c r="M708" s="2">
        <f>(Table2[[#This Row],[Adjusted revenue]]-Table2[[#This Row],[budget]])/Table2[[#This Row],[budget]]</f>
        <v>9</v>
      </c>
      <c r="N708" t="str">
        <f t="shared" si="34"/>
        <v>OK</v>
      </c>
      <c r="O708" s="2">
        <f t="shared" si="35"/>
        <v>1</v>
      </c>
    </row>
    <row r="709" spans="1:15" x14ac:dyDescent="0.3">
      <c r="A709" t="s">
        <v>727</v>
      </c>
      <c r="B709" s="1">
        <v>44983</v>
      </c>
      <c r="C709" s="1">
        <v>45396</v>
      </c>
      <c r="D709">
        <v>52485.67</v>
      </c>
      <c r="E709" s="2">
        <f>(Table2[[#This Row],[revenue]]-Table2[[#This Row],[budget]])/Table2[[#This Row],[budget]]</f>
        <v>10.308637195638353</v>
      </c>
      <c r="F709" t="s">
        <v>11</v>
      </c>
      <c r="G709" t="s">
        <v>15</v>
      </c>
      <c r="H709" t="s">
        <v>19</v>
      </c>
      <c r="I709">
        <v>0.65</v>
      </c>
      <c r="J709">
        <v>593541.4</v>
      </c>
      <c r="K709">
        <f>Table2[[#This Row],[revenue]]/Table2[[#This Row],[budget]]</f>
        <v>11.308637195638353</v>
      </c>
      <c r="L709" s="2">
        <f t="shared" si="33"/>
        <v>524856.69999999995</v>
      </c>
      <c r="M709" s="2">
        <f>(Table2[[#This Row],[Adjusted revenue]]-Table2[[#This Row],[budget]])/Table2[[#This Row],[budget]]</f>
        <v>9</v>
      </c>
      <c r="N709" t="str">
        <f t="shared" si="34"/>
        <v>OK</v>
      </c>
      <c r="O709" s="2">
        <f t="shared" si="35"/>
        <v>1</v>
      </c>
    </row>
    <row r="710" spans="1:15" x14ac:dyDescent="0.3">
      <c r="A710" t="s">
        <v>728</v>
      </c>
      <c r="B710" s="1">
        <v>44943</v>
      </c>
      <c r="C710" s="1">
        <v>45313</v>
      </c>
      <c r="D710">
        <v>33107.4</v>
      </c>
      <c r="E710" s="2">
        <f>(Table2[[#This Row],[revenue]]-Table2[[#This Row],[budget]])/Table2[[#This Row],[budget]]</f>
        <v>23.072311628216049</v>
      </c>
      <c r="F710" t="s">
        <v>23</v>
      </c>
      <c r="G710" t="s">
        <v>15</v>
      </c>
      <c r="H710" t="s">
        <v>19</v>
      </c>
      <c r="I710">
        <v>0.1</v>
      </c>
      <c r="J710">
        <v>796971.65</v>
      </c>
      <c r="K710">
        <f>Table2[[#This Row],[revenue]]/Table2[[#This Row],[budget]]</f>
        <v>24.072311628216049</v>
      </c>
      <c r="L710" s="2">
        <f t="shared" si="33"/>
        <v>331074</v>
      </c>
      <c r="M710" s="2">
        <f>(Table2[[#This Row],[Adjusted revenue]]-Table2[[#This Row],[budget]])/Table2[[#This Row],[budget]]</f>
        <v>8.9999999999999982</v>
      </c>
      <c r="N710" t="str">
        <f t="shared" si="34"/>
        <v>OK</v>
      </c>
      <c r="O710" s="2">
        <f t="shared" si="35"/>
        <v>0.99999999999999956</v>
      </c>
    </row>
    <row r="711" spans="1:15" x14ac:dyDescent="0.3">
      <c r="A711" t="s">
        <v>729</v>
      </c>
      <c r="B711" s="1">
        <v>44990</v>
      </c>
      <c r="C711" s="1">
        <v>45283</v>
      </c>
      <c r="D711">
        <v>53505.82</v>
      </c>
      <c r="E711" s="2">
        <f>(Table2[[#This Row],[revenue]]-Table2[[#This Row],[budget]])/Table2[[#This Row],[budget]]</f>
        <v>14.57975693111516</v>
      </c>
      <c r="F711" t="s">
        <v>11</v>
      </c>
      <c r="G711" t="s">
        <v>12</v>
      </c>
      <c r="H711" t="s">
        <v>19</v>
      </c>
      <c r="I711">
        <v>0.62</v>
      </c>
      <c r="J711">
        <v>833607.67</v>
      </c>
      <c r="K711">
        <f>Table2[[#This Row],[revenue]]/Table2[[#This Row],[budget]]</f>
        <v>15.579756931115158</v>
      </c>
      <c r="L711" s="2">
        <f t="shared" si="33"/>
        <v>535058.19999999995</v>
      </c>
      <c r="M711" s="2">
        <f>(Table2[[#This Row],[Adjusted revenue]]-Table2[[#This Row],[budget]])/Table2[[#This Row],[budget]]</f>
        <v>8.9999999999999982</v>
      </c>
      <c r="N711" t="str">
        <f t="shared" si="34"/>
        <v>OK</v>
      </c>
      <c r="O711" s="2">
        <f t="shared" si="35"/>
        <v>0.99999999999999956</v>
      </c>
    </row>
    <row r="712" spans="1:15" x14ac:dyDescent="0.3">
      <c r="A712" t="s">
        <v>730</v>
      </c>
      <c r="B712" s="1">
        <v>44820</v>
      </c>
      <c r="C712" s="1">
        <v>45420</v>
      </c>
      <c r="D712">
        <v>99714.19</v>
      </c>
      <c r="E712" s="2">
        <f>(Table2[[#This Row],[revenue]]-Table2[[#This Row],[budget]])/Table2[[#This Row],[budget]]</f>
        <v>-0.92355872318674004</v>
      </c>
      <c r="F712" t="s">
        <v>11</v>
      </c>
      <c r="G712" t="s">
        <v>15</v>
      </c>
      <c r="H712" t="s">
        <v>25</v>
      </c>
      <c r="I712">
        <v>0.7</v>
      </c>
      <c r="J712">
        <v>7622.28</v>
      </c>
      <c r="K712">
        <f>Table2[[#This Row],[revenue]]/Table2[[#This Row],[budget]]</f>
        <v>7.6441276813259976E-2</v>
      </c>
      <c r="L712" s="2">
        <f t="shared" si="33"/>
        <v>49857.095000000001</v>
      </c>
      <c r="M712" s="2">
        <f>(Table2[[#This Row],[Adjusted revenue]]-Table2[[#This Row],[budget]])/Table2[[#This Row],[budget]]</f>
        <v>-0.5</v>
      </c>
      <c r="N712" t="str">
        <f t="shared" si="34"/>
        <v>Failed</v>
      </c>
      <c r="O712" s="2">
        <f t="shared" si="35"/>
        <v>-1</v>
      </c>
    </row>
    <row r="713" spans="1:15" x14ac:dyDescent="0.3">
      <c r="A713" t="s">
        <v>731</v>
      </c>
      <c r="B713" s="1">
        <v>44893</v>
      </c>
      <c r="C713" s="1">
        <v>45423</v>
      </c>
      <c r="D713">
        <v>91458.81</v>
      </c>
      <c r="E713" s="2">
        <f>(Table2[[#This Row],[revenue]]-Table2[[#This Row],[budget]])/Table2[[#This Row],[budget]]</f>
        <v>6.4337933108904446</v>
      </c>
      <c r="F713" t="s">
        <v>18</v>
      </c>
      <c r="G713" t="s">
        <v>12</v>
      </c>
      <c r="H713" t="s">
        <v>16</v>
      </c>
      <c r="I713">
        <v>0.84</v>
      </c>
      <c r="J713">
        <v>679885.89</v>
      </c>
      <c r="K713">
        <f>Table2[[#This Row],[revenue]]/Table2[[#This Row],[budget]]</f>
        <v>7.4337933108904437</v>
      </c>
      <c r="L713" s="2">
        <f t="shared" si="33"/>
        <v>679885.89</v>
      </c>
      <c r="M713" s="2">
        <f>(Table2[[#This Row],[Adjusted revenue]]-Table2[[#This Row],[budget]])/Table2[[#This Row],[budget]]</f>
        <v>6.4337933108904446</v>
      </c>
      <c r="N713" t="str">
        <f t="shared" si="34"/>
        <v>OK</v>
      </c>
      <c r="O713" s="2">
        <f t="shared" si="35"/>
        <v>0.45974596018746205</v>
      </c>
    </row>
    <row r="714" spans="1:15" x14ac:dyDescent="0.3">
      <c r="A714" t="s">
        <v>732</v>
      </c>
      <c r="B714" s="1">
        <v>44997</v>
      </c>
      <c r="C714" s="1">
        <v>45501</v>
      </c>
      <c r="D714">
        <v>82832.929999999993</v>
      </c>
      <c r="E714" s="2">
        <f>(Table2[[#This Row],[revenue]]-Table2[[#This Row],[budget]])/Table2[[#This Row],[budget]]</f>
        <v>10.763154339705238</v>
      </c>
      <c r="F714" t="s">
        <v>23</v>
      </c>
      <c r="G714" t="s">
        <v>12</v>
      </c>
      <c r="H714" t="s">
        <v>13</v>
      </c>
      <c r="I714">
        <v>0.99</v>
      </c>
      <c r="J714">
        <v>974376.54</v>
      </c>
      <c r="K714">
        <f>Table2[[#This Row],[revenue]]/Table2[[#This Row],[budget]]</f>
        <v>11.763154339705236</v>
      </c>
      <c r="L714" s="2">
        <f t="shared" si="33"/>
        <v>828329.29999999993</v>
      </c>
      <c r="M714" s="2">
        <f>(Table2[[#This Row],[Adjusted revenue]]-Table2[[#This Row],[budget]])/Table2[[#This Row],[budget]]</f>
        <v>9</v>
      </c>
      <c r="N714" t="str">
        <f t="shared" si="34"/>
        <v>OK</v>
      </c>
      <c r="O714" s="2">
        <f t="shared" si="35"/>
        <v>1</v>
      </c>
    </row>
    <row r="715" spans="1:15" x14ac:dyDescent="0.3">
      <c r="A715" t="s">
        <v>733</v>
      </c>
      <c r="B715" s="1">
        <v>45129</v>
      </c>
      <c r="C715" s="1">
        <v>45374</v>
      </c>
      <c r="D715">
        <v>84628.79</v>
      </c>
      <c r="E715" s="2">
        <f>(Table2[[#This Row],[revenue]]-Table2[[#This Row],[budget]])/Table2[[#This Row],[budget]]</f>
        <v>-0.67850515173382486</v>
      </c>
      <c r="F715" t="s">
        <v>21</v>
      </c>
      <c r="G715" t="s">
        <v>12</v>
      </c>
      <c r="H715" t="s">
        <v>13</v>
      </c>
      <c r="I715">
        <v>0.18</v>
      </c>
      <c r="J715">
        <v>27207.72</v>
      </c>
      <c r="K715">
        <f>Table2[[#This Row],[revenue]]/Table2[[#This Row],[budget]]</f>
        <v>0.32149484826617519</v>
      </c>
      <c r="L715" s="2">
        <f t="shared" si="33"/>
        <v>42314.394999999997</v>
      </c>
      <c r="M715" s="2">
        <f>(Table2[[#This Row],[Adjusted revenue]]-Table2[[#This Row],[budget]])/Table2[[#This Row],[budget]]</f>
        <v>-0.5</v>
      </c>
      <c r="N715" t="str">
        <f t="shared" si="34"/>
        <v>Failed</v>
      </c>
      <c r="O715" s="2">
        <f t="shared" si="35"/>
        <v>-1</v>
      </c>
    </row>
    <row r="716" spans="1:15" x14ac:dyDescent="0.3">
      <c r="A716" t="s">
        <v>734</v>
      </c>
      <c r="B716" s="1">
        <v>45054</v>
      </c>
      <c r="C716" s="1">
        <v>45373</v>
      </c>
      <c r="D716">
        <v>64944.480000000003</v>
      </c>
      <c r="E716" s="2">
        <f>(Table2[[#This Row],[revenue]]-Table2[[#This Row],[budget]])/Table2[[#This Row],[budget]]</f>
        <v>12.568109714636254</v>
      </c>
      <c r="F716" t="s">
        <v>11</v>
      </c>
      <c r="G716" t="s">
        <v>12</v>
      </c>
      <c r="H716" t="s">
        <v>25</v>
      </c>
      <c r="I716">
        <v>0.98</v>
      </c>
      <c r="J716">
        <v>881173.83</v>
      </c>
      <c r="K716">
        <f>Table2[[#This Row],[revenue]]/Table2[[#This Row],[budget]]</f>
        <v>13.568109714636254</v>
      </c>
      <c r="L716" s="2">
        <f t="shared" si="33"/>
        <v>649444.80000000005</v>
      </c>
      <c r="M716" s="2">
        <f>(Table2[[#This Row],[Adjusted revenue]]-Table2[[#This Row],[budget]])/Table2[[#This Row],[budget]]</f>
        <v>9</v>
      </c>
      <c r="N716" t="str">
        <f t="shared" si="34"/>
        <v>OK</v>
      </c>
      <c r="O716" s="2">
        <f t="shared" si="35"/>
        <v>1</v>
      </c>
    </row>
    <row r="717" spans="1:15" x14ac:dyDescent="0.3">
      <c r="A717" t="s">
        <v>735</v>
      </c>
      <c r="B717" s="1">
        <v>45058</v>
      </c>
      <c r="C717" s="1">
        <v>45447</v>
      </c>
      <c r="D717">
        <v>78379.56</v>
      </c>
      <c r="E717" s="2">
        <f>(Table2[[#This Row],[revenue]]-Table2[[#This Row],[budget]])/Table2[[#This Row],[budget]]</f>
        <v>0.94665496973955965</v>
      </c>
      <c r="F717" t="s">
        <v>21</v>
      </c>
      <c r="G717" t="s">
        <v>12</v>
      </c>
      <c r="H717" t="s">
        <v>16</v>
      </c>
      <c r="I717">
        <v>0.28999999999999998</v>
      </c>
      <c r="J717">
        <v>152577.96</v>
      </c>
      <c r="K717">
        <f>Table2[[#This Row],[revenue]]/Table2[[#This Row],[budget]]</f>
        <v>1.9466549697395596</v>
      </c>
      <c r="L717" s="2">
        <f t="shared" si="33"/>
        <v>152577.96</v>
      </c>
      <c r="M717" s="2">
        <f>(Table2[[#This Row],[Adjusted revenue]]-Table2[[#This Row],[budget]])/Table2[[#This Row],[budget]]</f>
        <v>0.94665496973955965</v>
      </c>
      <c r="N717" t="str">
        <f t="shared" si="34"/>
        <v>OK</v>
      </c>
      <c r="O717" s="2">
        <f t="shared" si="35"/>
        <v>-0.69544105900219799</v>
      </c>
    </row>
    <row r="718" spans="1:15" x14ac:dyDescent="0.3">
      <c r="A718" t="s">
        <v>736</v>
      </c>
      <c r="B718" s="1">
        <v>45055</v>
      </c>
      <c r="C718" s="1">
        <v>45425</v>
      </c>
      <c r="D718">
        <v>24433.75</v>
      </c>
      <c r="E718" s="2">
        <f>(Table2[[#This Row],[revenue]]-Table2[[#This Row],[budget]])/Table2[[#This Row],[budget]]</f>
        <v>6.5673071059497623</v>
      </c>
      <c r="F718" t="s">
        <v>23</v>
      </c>
      <c r="G718" t="s">
        <v>12</v>
      </c>
      <c r="H718" t="s">
        <v>25</v>
      </c>
      <c r="I718">
        <v>0.23</v>
      </c>
      <c r="J718">
        <v>184897.69</v>
      </c>
      <c r="K718">
        <f>Table2[[#This Row],[revenue]]/Table2[[#This Row],[budget]]</f>
        <v>7.5673071059497623</v>
      </c>
      <c r="L718" s="2">
        <f t="shared" si="33"/>
        <v>184897.69</v>
      </c>
      <c r="M718" s="2">
        <f>(Table2[[#This Row],[Adjusted revenue]]-Table2[[#This Row],[budget]])/Table2[[#This Row],[budget]]</f>
        <v>6.5673071059497623</v>
      </c>
      <c r="N718" t="str">
        <f t="shared" si="34"/>
        <v>OK</v>
      </c>
      <c r="O718" s="2">
        <f t="shared" si="35"/>
        <v>0.48785412756837099</v>
      </c>
    </row>
    <row r="719" spans="1:15" x14ac:dyDescent="0.3">
      <c r="A719" t="s">
        <v>737</v>
      </c>
      <c r="B719" s="1">
        <v>44922</v>
      </c>
      <c r="C719" s="1">
        <v>45309</v>
      </c>
      <c r="D719">
        <v>74898.2</v>
      </c>
      <c r="E719" s="2">
        <f>(Table2[[#This Row],[revenue]]-Table2[[#This Row],[budget]])/Table2[[#This Row],[budget]]</f>
        <v>5.1746518607923822</v>
      </c>
      <c r="F719" t="s">
        <v>21</v>
      </c>
      <c r="G719" t="s">
        <v>12</v>
      </c>
      <c r="H719" t="s">
        <v>25</v>
      </c>
      <c r="I719">
        <v>0.79</v>
      </c>
      <c r="J719">
        <v>462470.31</v>
      </c>
      <c r="K719">
        <f>Table2[[#This Row],[revenue]]/Table2[[#This Row],[budget]]</f>
        <v>6.1746518607923822</v>
      </c>
      <c r="L719" s="2">
        <f t="shared" si="33"/>
        <v>462470.31</v>
      </c>
      <c r="M719" s="2">
        <f>(Table2[[#This Row],[Adjusted revenue]]-Table2[[#This Row],[budget]])/Table2[[#This Row],[budget]]</f>
        <v>5.1746518607923822</v>
      </c>
      <c r="N719" t="str">
        <f t="shared" si="34"/>
        <v>OK</v>
      </c>
      <c r="O719" s="2">
        <f t="shared" si="35"/>
        <v>0.19466354964050159</v>
      </c>
    </row>
    <row r="720" spans="1:15" x14ac:dyDescent="0.3">
      <c r="A720" t="s">
        <v>738</v>
      </c>
      <c r="B720" s="1">
        <v>44782</v>
      </c>
      <c r="C720" s="1">
        <v>45475</v>
      </c>
      <c r="D720">
        <v>3934.75</v>
      </c>
      <c r="E720" s="2">
        <f>(Table2[[#This Row],[revenue]]-Table2[[#This Row],[budget]])/Table2[[#This Row],[budget]]</f>
        <v>21.682541457525893</v>
      </c>
      <c r="F720" t="s">
        <v>21</v>
      </c>
      <c r="G720" t="s">
        <v>12</v>
      </c>
      <c r="H720" t="s">
        <v>16</v>
      </c>
      <c r="I720">
        <v>0.25</v>
      </c>
      <c r="J720">
        <v>89250.13</v>
      </c>
      <c r="K720">
        <f>Table2[[#This Row],[revenue]]/Table2[[#This Row],[budget]]</f>
        <v>22.682541457525893</v>
      </c>
      <c r="L720" s="2">
        <f t="shared" si="33"/>
        <v>39347.5</v>
      </c>
      <c r="M720" s="2">
        <f>(Table2[[#This Row],[Adjusted revenue]]-Table2[[#This Row],[budget]])/Table2[[#This Row],[budget]]</f>
        <v>9</v>
      </c>
      <c r="N720" t="str">
        <f t="shared" si="34"/>
        <v>OK</v>
      </c>
      <c r="O720" s="2">
        <f t="shared" si="35"/>
        <v>1</v>
      </c>
    </row>
    <row r="721" spans="1:15" x14ac:dyDescent="0.3">
      <c r="A721" t="s">
        <v>739</v>
      </c>
      <c r="B721" s="1">
        <v>45099</v>
      </c>
      <c r="C721" s="1">
        <v>45445</v>
      </c>
      <c r="D721">
        <v>64308.7</v>
      </c>
      <c r="E721" s="2">
        <f>(Table2[[#This Row],[revenue]]-Table2[[#This Row],[budget]])/Table2[[#This Row],[budget]]</f>
        <v>11.972497655838168</v>
      </c>
      <c r="F721" t="s">
        <v>21</v>
      </c>
      <c r="G721" t="s">
        <v>12</v>
      </c>
      <c r="H721" t="s">
        <v>25</v>
      </c>
      <c r="I721">
        <v>0.85</v>
      </c>
      <c r="J721">
        <v>834244.46</v>
      </c>
      <c r="K721">
        <f>Table2[[#This Row],[revenue]]/Table2[[#This Row],[budget]]</f>
        <v>12.972497655838168</v>
      </c>
      <c r="L721" s="2">
        <f t="shared" si="33"/>
        <v>643087</v>
      </c>
      <c r="M721" s="2">
        <f>(Table2[[#This Row],[Adjusted revenue]]-Table2[[#This Row],[budget]])/Table2[[#This Row],[budget]]</f>
        <v>9.0000000000000018</v>
      </c>
      <c r="N721" t="str">
        <f t="shared" si="34"/>
        <v>OK</v>
      </c>
      <c r="O721" s="2">
        <f t="shared" si="35"/>
        <v>1.0000000000000004</v>
      </c>
    </row>
    <row r="722" spans="1:15" x14ac:dyDescent="0.3">
      <c r="A722" t="s">
        <v>740</v>
      </c>
      <c r="B722" s="1">
        <v>45070</v>
      </c>
      <c r="C722" s="1">
        <v>45314</v>
      </c>
      <c r="D722">
        <v>76873.7</v>
      </c>
      <c r="E722" s="2">
        <f>(Table2[[#This Row],[revenue]]-Table2[[#This Row],[budget]])/Table2[[#This Row],[budget]]</f>
        <v>11.687142676884292</v>
      </c>
      <c r="F722" t="s">
        <v>23</v>
      </c>
      <c r="G722" t="s">
        <v>15</v>
      </c>
      <c r="H722" t="s">
        <v>19</v>
      </c>
      <c r="I722">
        <v>0.16</v>
      </c>
      <c r="J722">
        <v>975307.6</v>
      </c>
      <c r="K722">
        <f>Table2[[#This Row],[revenue]]/Table2[[#This Row],[budget]]</f>
        <v>12.687142676884292</v>
      </c>
      <c r="L722" s="2">
        <f t="shared" si="33"/>
        <v>768737</v>
      </c>
      <c r="M722" s="2">
        <f>(Table2[[#This Row],[Adjusted revenue]]-Table2[[#This Row],[budget]])/Table2[[#This Row],[budget]]</f>
        <v>9.0000000000000018</v>
      </c>
      <c r="N722" t="str">
        <f t="shared" si="34"/>
        <v>OK</v>
      </c>
      <c r="O722" s="2">
        <f t="shared" si="35"/>
        <v>1.0000000000000004</v>
      </c>
    </row>
    <row r="723" spans="1:15" x14ac:dyDescent="0.3">
      <c r="A723" t="s">
        <v>741</v>
      </c>
      <c r="B723" s="1">
        <v>44885</v>
      </c>
      <c r="C723" s="1">
        <v>45428</v>
      </c>
      <c r="D723">
        <v>76690.899999999994</v>
      </c>
      <c r="E723" s="2">
        <f>(Table2[[#This Row],[revenue]]-Table2[[#This Row],[budget]])/Table2[[#This Row],[budget]]</f>
        <v>8.5676785642103557</v>
      </c>
      <c r="F723" t="s">
        <v>23</v>
      </c>
      <c r="G723" t="s">
        <v>15</v>
      </c>
      <c r="H723" t="s">
        <v>19</v>
      </c>
      <c r="I723">
        <v>0.71</v>
      </c>
      <c r="J723">
        <v>733753.88</v>
      </c>
      <c r="K723">
        <f>Table2[[#This Row],[revenue]]/Table2[[#This Row],[budget]]</f>
        <v>9.5676785642103575</v>
      </c>
      <c r="L723" s="2">
        <f t="shared" si="33"/>
        <v>733753.88</v>
      </c>
      <c r="M723" s="2">
        <f>(Table2[[#This Row],[Adjusted revenue]]-Table2[[#This Row],[budget]])/Table2[[#This Row],[budget]]</f>
        <v>8.5676785642103557</v>
      </c>
      <c r="N723" t="str">
        <f t="shared" si="34"/>
        <v>OK</v>
      </c>
      <c r="O723" s="2">
        <f t="shared" si="35"/>
        <v>0.90898496088639069</v>
      </c>
    </row>
    <row r="724" spans="1:15" x14ac:dyDescent="0.3">
      <c r="A724" t="s">
        <v>742</v>
      </c>
      <c r="B724" s="1">
        <v>45005</v>
      </c>
      <c r="C724" s="1">
        <v>45276</v>
      </c>
      <c r="D724">
        <v>53478.93</v>
      </c>
      <c r="E724" s="2">
        <f>(Table2[[#This Row],[revenue]]-Table2[[#This Row],[budget]])/Table2[[#This Row],[budget]]</f>
        <v>17.420632761351058</v>
      </c>
      <c r="F724" t="s">
        <v>18</v>
      </c>
      <c r="G724" t="s">
        <v>15</v>
      </c>
      <c r="H724" t="s">
        <v>25</v>
      </c>
      <c r="I724">
        <v>0.45</v>
      </c>
      <c r="J724">
        <v>985115.73</v>
      </c>
      <c r="K724">
        <f>Table2[[#This Row],[revenue]]/Table2[[#This Row],[budget]]</f>
        <v>18.420632761351058</v>
      </c>
      <c r="L724" s="2">
        <f t="shared" si="33"/>
        <v>534789.30000000005</v>
      </c>
      <c r="M724" s="2">
        <f>(Table2[[#This Row],[Adjusted revenue]]-Table2[[#This Row],[budget]])/Table2[[#This Row],[budget]]</f>
        <v>9.0000000000000018</v>
      </c>
      <c r="N724" t="str">
        <f t="shared" si="34"/>
        <v>OK</v>
      </c>
      <c r="O724" s="2">
        <f t="shared" si="35"/>
        <v>1.0000000000000004</v>
      </c>
    </row>
    <row r="725" spans="1:15" x14ac:dyDescent="0.3">
      <c r="A725" t="s">
        <v>743</v>
      </c>
      <c r="B725" s="1">
        <v>45114</v>
      </c>
      <c r="C725" s="1">
        <v>45192</v>
      </c>
      <c r="D725">
        <v>41516.78</v>
      </c>
      <c r="E725" s="2">
        <f>(Table2[[#This Row],[revenue]]-Table2[[#This Row],[budget]])/Table2[[#This Row],[budget]]</f>
        <v>5.5588720994258223</v>
      </c>
      <c r="F725" t="s">
        <v>23</v>
      </c>
      <c r="G725" t="s">
        <v>12</v>
      </c>
      <c r="H725" t="s">
        <v>13</v>
      </c>
      <c r="I725">
        <v>0.23</v>
      </c>
      <c r="J725">
        <v>272303.25</v>
      </c>
      <c r="K725">
        <f>Table2[[#This Row],[revenue]]/Table2[[#This Row],[budget]]</f>
        <v>6.5588720994258223</v>
      </c>
      <c r="L725" s="2">
        <f t="shared" si="33"/>
        <v>272303.25</v>
      </c>
      <c r="M725" s="2">
        <f>(Table2[[#This Row],[Adjusted revenue]]-Table2[[#This Row],[budget]])/Table2[[#This Row],[budget]]</f>
        <v>5.5588720994258223</v>
      </c>
      <c r="N725" t="str">
        <f t="shared" si="34"/>
        <v>OK</v>
      </c>
      <c r="O725" s="2">
        <f t="shared" si="35"/>
        <v>0.27555202093175213</v>
      </c>
    </row>
    <row r="726" spans="1:15" x14ac:dyDescent="0.3">
      <c r="A726" t="s">
        <v>744</v>
      </c>
      <c r="B726" s="1">
        <v>44881</v>
      </c>
      <c r="C726" s="1">
        <v>45465</v>
      </c>
      <c r="D726">
        <v>69169.399999999994</v>
      </c>
      <c r="E726" s="2">
        <f>(Table2[[#This Row],[revenue]]-Table2[[#This Row],[budget]])/Table2[[#This Row],[budget]]</f>
        <v>2.1654308118908077</v>
      </c>
      <c r="F726" t="s">
        <v>21</v>
      </c>
      <c r="G726" t="s">
        <v>15</v>
      </c>
      <c r="H726" t="s">
        <v>13</v>
      </c>
      <c r="I726">
        <v>0.11</v>
      </c>
      <c r="J726">
        <v>218950.95</v>
      </c>
      <c r="K726">
        <f>Table2[[#This Row],[revenue]]/Table2[[#This Row],[budget]]</f>
        <v>3.1654308118908077</v>
      </c>
      <c r="L726" s="2">
        <f t="shared" si="33"/>
        <v>218950.95</v>
      </c>
      <c r="M726" s="2">
        <f>(Table2[[#This Row],[Adjusted revenue]]-Table2[[#This Row],[budget]])/Table2[[#This Row],[budget]]</f>
        <v>2.1654308118908077</v>
      </c>
      <c r="N726" t="str">
        <f t="shared" si="34"/>
        <v>OK</v>
      </c>
      <c r="O726" s="2">
        <f t="shared" si="35"/>
        <v>-0.43885667118088256</v>
      </c>
    </row>
    <row r="727" spans="1:15" x14ac:dyDescent="0.3">
      <c r="A727" t="s">
        <v>745</v>
      </c>
      <c r="B727" s="1">
        <v>44917</v>
      </c>
      <c r="C727" s="1">
        <v>45463</v>
      </c>
      <c r="D727">
        <v>95593.18</v>
      </c>
      <c r="E727" s="2">
        <f>(Table2[[#This Row],[revenue]]-Table2[[#This Row],[budget]])/Table2[[#This Row],[budget]]</f>
        <v>8.4584011118784836</v>
      </c>
      <c r="F727" t="s">
        <v>23</v>
      </c>
      <c r="G727" t="s">
        <v>12</v>
      </c>
      <c r="H727" t="s">
        <v>13</v>
      </c>
      <c r="I727">
        <v>0.76</v>
      </c>
      <c r="J727">
        <v>904158.64</v>
      </c>
      <c r="K727">
        <f>Table2[[#This Row],[revenue]]/Table2[[#This Row],[budget]]</f>
        <v>9.4584011118784836</v>
      </c>
      <c r="L727" s="2">
        <f t="shared" si="33"/>
        <v>904158.64</v>
      </c>
      <c r="M727" s="2">
        <f>(Table2[[#This Row],[Adjusted revenue]]-Table2[[#This Row],[budget]])/Table2[[#This Row],[budget]]</f>
        <v>8.4584011118784836</v>
      </c>
      <c r="N727" t="str">
        <f t="shared" si="34"/>
        <v>OK</v>
      </c>
      <c r="O727" s="2">
        <f t="shared" si="35"/>
        <v>0.88597918144810173</v>
      </c>
    </row>
    <row r="728" spans="1:15" x14ac:dyDescent="0.3">
      <c r="A728" t="s">
        <v>746</v>
      </c>
      <c r="B728" s="1">
        <v>45001</v>
      </c>
      <c r="C728" s="1">
        <v>45143</v>
      </c>
      <c r="D728">
        <v>2970.45</v>
      </c>
      <c r="E728" s="2">
        <f>(Table2[[#This Row],[revenue]]-Table2[[#This Row],[budget]])/Table2[[#This Row],[budget]]</f>
        <v>238.70886566008519</v>
      </c>
      <c r="F728" t="s">
        <v>21</v>
      </c>
      <c r="G728" t="s">
        <v>15</v>
      </c>
      <c r="H728" t="s">
        <v>16</v>
      </c>
      <c r="I728">
        <v>0.19</v>
      </c>
      <c r="J728">
        <v>712043.2</v>
      </c>
      <c r="K728">
        <f>Table2[[#This Row],[revenue]]/Table2[[#This Row],[budget]]</f>
        <v>239.70886566008517</v>
      </c>
      <c r="L728" s="2">
        <f t="shared" si="33"/>
        <v>29704.5</v>
      </c>
      <c r="M728" s="2">
        <f>(Table2[[#This Row],[Adjusted revenue]]-Table2[[#This Row],[budget]])/Table2[[#This Row],[budget]]</f>
        <v>9</v>
      </c>
      <c r="N728" t="str">
        <f t="shared" si="34"/>
        <v>OK</v>
      </c>
      <c r="O728" s="2">
        <f t="shared" si="35"/>
        <v>1</v>
      </c>
    </row>
    <row r="729" spans="1:15" x14ac:dyDescent="0.3">
      <c r="A729" t="s">
        <v>747</v>
      </c>
      <c r="B729" s="1">
        <v>44925</v>
      </c>
      <c r="C729" s="1">
        <v>45156</v>
      </c>
      <c r="D729">
        <v>4839.55</v>
      </c>
      <c r="E729" s="2">
        <f>(Table2[[#This Row],[revenue]]-Table2[[#This Row],[budget]])/Table2[[#This Row],[budget]]</f>
        <v>50.741027574877833</v>
      </c>
      <c r="F729" t="s">
        <v>21</v>
      </c>
      <c r="G729" t="s">
        <v>12</v>
      </c>
      <c r="H729" t="s">
        <v>16</v>
      </c>
      <c r="I729">
        <v>0</v>
      </c>
      <c r="J729">
        <v>250403.29</v>
      </c>
      <c r="K729">
        <f>Table2[[#This Row],[revenue]]/Table2[[#This Row],[budget]]</f>
        <v>51.741027574877826</v>
      </c>
      <c r="L729" s="2">
        <f t="shared" si="33"/>
        <v>48395.5</v>
      </c>
      <c r="M729" s="2">
        <f>(Table2[[#This Row],[Adjusted revenue]]-Table2[[#This Row],[budget]])/Table2[[#This Row],[budget]]</f>
        <v>8.9999999999999982</v>
      </c>
      <c r="N729" t="str">
        <f t="shared" si="34"/>
        <v>OK</v>
      </c>
      <c r="O729" s="2">
        <f t="shared" si="35"/>
        <v>0.99999999999999956</v>
      </c>
    </row>
    <row r="730" spans="1:15" x14ac:dyDescent="0.3">
      <c r="A730" t="s">
        <v>748</v>
      </c>
      <c r="B730" s="1">
        <v>44929</v>
      </c>
      <c r="C730" s="1">
        <v>45449</v>
      </c>
      <c r="D730">
        <v>70530.3</v>
      </c>
      <c r="E730" s="2">
        <f>(Table2[[#This Row],[revenue]]-Table2[[#This Row],[budget]])/Table2[[#This Row],[budget]]</f>
        <v>9.9190000609667042</v>
      </c>
      <c r="F730" t="s">
        <v>11</v>
      </c>
      <c r="G730" t="s">
        <v>15</v>
      </c>
      <c r="H730" t="s">
        <v>16</v>
      </c>
      <c r="I730">
        <v>0.81</v>
      </c>
      <c r="J730">
        <v>770120.35</v>
      </c>
      <c r="K730">
        <f>Table2[[#This Row],[revenue]]/Table2[[#This Row],[budget]]</f>
        <v>10.919000060966704</v>
      </c>
      <c r="L730" s="2">
        <f t="shared" si="33"/>
        <v>705303</v>
      </c>
      <c r="M730" s="2">
        <f>(Table2[[#This Row],[Adjusted revenue]]-Table2[[#This Row],[budget]])/Table2[[#This Row],[budget]]</f>
        <v>8.9999999999999982</v>
      </c>
      <c r="N730" t="str">
        <f t="shared" si="34"/>
        <v>OK</v>
      </c>
      <c r="O730" s="2">
        <f t="shared" si="35"/>
        <v>0.99999999999999956</v>
      </c>
    </row>
    <row r="731" spans="1:15" x14ac:dyDescent="0.3">
      <c r="A731" t="s">
        <v>749</v>
      </c>
      <c r="B731" s="1">
        <v>45031</v>
      </c>
      <c r="C731" s="1">
        <v>45379</v>
      </c>
      <c r="D731">
        <v>78889.490000000005</v>
      </c>
      <c r="E731" s="2">
        <f>(Table2[[#This Row],[revenue]]-Table2[[#This Row],[budget]])/Table2[[#This Row],[budget]]</f>
        <v>9.7167748200679203</v>
      </c>
      <c r="F731" t="s">
        <v>18</v>
      </c>
      <c r="G731" t="s">
        <v>15</v>
      </c>
      <c r="H731" t="s">
        <v>19</v>
      </c>
      <c r="I731">
        <v>0.12</v>
      </c>
      <c r="J731">
        <v>845440.9</v>
      </c>
      <c r="K731">
        <f>Table2[[#This Row],[revenue]]/Table2[[#This Row],[budget]]</f>
        <v>10.71677482006792</v>
      </c>
      <c r="L731" s="2">
        <f t="shared" si="33"/>
        <v>788894.9</v>
      </c>
      <c r="M731" s="2">
        <f>(Table2[[#This Row],[Adjusted revenue]]-Table2[[#This Row],[budget]])/Table2[[#This Row],[budget]]</f>
        <v>9</v>
      </c>
      <c r="N731" t="str">
        <f t="shared" si="34"/>
        <v>OK</v>
      </c>
      <c r="O731" s="2">
        <f t="shared" si="35"/>
        <v>1</v>
      </c>
    </row>
    <row r="732" spans="1:15" x14ac:dyDescent="0.3">
      <c r="A732" t="s">
        <v>750</v>
      </c>
      <c r="B732" s="1">
        <v>44988</v>
      </c>
      <c r="C732" s="1">
        <v>45350</v>
      </c>
      <c r="D732">
        <v>76029.539999999994</v>
      </c>
      <c r="E732" s="2">
        <f>(Table2[[#This Row],[revenue]]-Table2[[#This Row],[budget]])/Table2[[#This Row],[budget]]</f>
        <v>2.5181325574243911</v>
      </c>
      <c r="F732" t="s">
        <v>18</v>
      </c>
      <c r="G732" t="s">
        <v>12</v>
      </c>
      <c r="H732" t="s">
        <v>13</v>
      </c>
      <c r="I732">
        <v>0.26</v>
      </c>
      <c r="J732">
        <v>267482</v>
      </c>
      <c r="K732">
        <f>Table2[[#This Row],[revenue]]/Table2[[#This Row],[budget]]</f>
        <v>3.5181325574243907</v>
      </c>
      <c r="L732" s="2">
        <f t="shared" si="33"/>
        <v>267482</v>
      </c>
      <c r="M732" s="2">
        <f>(Table2[[#This Row],[Adjusted revenue]]-Table2[[#This Row],[budget]])/Table2[[#This Row],[budget]]</f>
        <v>2.5181325574243911</v>
      </c>
      <c r="N732" t="str">
        <f t="shared" si="34"/>
        <v>OK</v>
      </c>
      <c r="O732" s="2">
        <f t="shared" si="35"/>
        <v>-0.36460367212118083</v>
      </c>
    </row>
    <row r="733" spans="1:15" x14ac:dyDescent="0.3">
      <c r="A733" t="s">
        <v>751</v>
      </c>
      <c r="B733" s="1">
        <v>44815</v>
      </c>
      <c r="C733" s="1">
        <v>45423</v>
      </c>
      <c r="D733">
        <v>37369.74</v>
      </c>
      <c r="E733" s="2">
        <f>(Table2[[#This Row],[revenue]]-Table2[[#This Row],[budget]])/Table2[[#This Row],[budget]]</f>
        <v>16.927706748829401</v>
      </c>
      <c r="F733" t="s">
        <v>21</v>
      </c>
      <c r="G733" t="s">
        <v>15</v>
      </c>
      <c r="H733" t="s">
        <v>13</v>
      </c>
      <c r="I733">
        <v>0.24</v>
      </c>
      <c r="J733">
        <v>669953.74</v>
      </c>
      <c r="K733">
        <f>Table2[[#This Row],[revenue]]/Table2[[#This Row],[budget]]</f>
        <v>17.927706748829401</v>
      </c>
      <c r="L733" s="2">
        <f t="shared" si="33"/>
        <v>373697.39999999997</v>
      </c>
      <c r="M733" s="2">
        <f>(Table2[[#This Row],[Adjusted revenue]]-Table2[[#This Row],[budget]])/Table2[[#This Row],[budget]]</f>
        <v>9</v>
      </c>
      <c r="N733" t="str">
        <f t="shared" si="34"/>
        <v>OK</v>
      </c>
      <c r="O733" s="2">
        <f t="shared" si="35"/>
        <v>1</v>
      </c>
    </row>
    <row r="734" spans="1:15" x14ac:dyDescent="0.3">
      <c r="A734" t="s">
        <v>752</v>
      </c>
      <c r="B734" s="1">
        <v>44819</v>
      </c>
      <c r="C734" s="1">
        <v>45414</v>
      </c>
      <c r="D734">
        <v>43026.77</v>
      </c>
      <c r="E734" s="2">
        <f>(Table2[[#This Row],[revenue]]-Table2[[#This Row],[budget]])/Table2[[#This Row],[budget]]</f>
        <v>4.7708533547835454</v>
      </c>
      <c r="F734" t="s">
        <v>18</v>
      </c>
      <c r="G734" t="s">
        <v>15</v>
      </c>
      <c r="H734" t="s">
        <v>25</v>
      </c>
      <c r="I734">
        <v>0.92</v>
      </c>
      <c r="J734">
        <v>248301.18</v>
      </c>
      <c r="K734">
        <f>Table2[[#This Row],[revenue]]/Table2[[#This Row],[budget]]</f>
        <v>5.7708533547835454</v>
      </c>
      <c r="L734" s="2">
        <f t="shared" si="33"/>
        <v>248301.18</v>
      </c>
      <c r="M734" s="2">
        <f>(Table2[[#This Row],[Adjusted revenue]]-Table2[[#This Row],[budget]])/Table2[[#This Row],[budget]]</f>
        <v>4.7708533547835454</v>
      </c>
      <c r="N734" t="str">
        <f t="shared" si="34"/>
        <v>OK</v>
      </c>
      <c r="O734" s="2">
        <f t="shared" si="35"/>
        <v>0.10965333784916753</v>
      </c>
    </row>
    <row r="735" spans="1:15" x14ac:dyDescent="0.3">
      <c r="A735" t="s">
        <v>753</v>
      </c>
      <c r="B735" s="1">
        <v>44911</v>
      </c>
      <c r="C735" s="1">
        <v>45323</v>
      </c>
      <c r="D735">
        <v>86687.38</v>
      </c>
      <c r="E735" s="2">
        <f>(Table2[[#This Row],[revenue]]-Table2[[#This Row],[budget]])/Table2[[#This Row],[budget]]</f>
        <v>2.3980330239534289</v>
      </c>
      <c r="F735" t="s">
        <v>11</v>
      </c>
      <c r="G735" t="s">
        <v>12</v>
      </c>
      <c r="H735" t="s">
        <v>25</v>
      </c>
      <c r="I735">
        <v>0.46</v>
      </c>
      <c r="J735">
        <v>294566.58</v>
      </c>
      <c r="K735">
        <f>Table2[[#This Row],[revenue]]/Table2[[#This Row],[budget]]</f>
        <v>3.3980330239534289</v>
      </c>
      <c r="L735" s="2">
        <f t="shared" si="33"/>
        <v>294566.58</v>
      </c>
      <c r="M735" s="2">
        <f>(Table2[[#This Row],[Adjusted revenue]]-Table2[[#This Row],[budget]])/Table2[[#This Row],[budget]]</f>
        <v>2.3980330239534289</v>
      </c>
      <c r="N735" t="str">
        <f t="shared" si="34"/>
        <v>OK</v>
      </c>
      <c r="O735" s="2">
        <f t="shared" si="35"/>
        <v>-0.38988778443085703</v>
      </c>
    </row>
    <row r="736" spans="1:15" x14ac:dyDescent="0.3">
      <c r="A736" t="s">
        <v>754</v>
      </c>
      <c r="B736" s="1">
        <v>44930</v>
      </c>
      <c r="C736" s="1">
        <v>45240</v>
      </c>
      <c r="D736">
        <v>41458.15</v>
      </c>
      <c r="E736" s="2">
        <f>(Table2[[#This Row],[revenue]]-Table2[[#This Row],[budget]])/Table2[[#This Row],[budget]]</f>
        <v>21.308885225221093</v>
      </c>
      <c r="F736" t="s">
        <v>11</v>
      </c>
      <c r="G736" t="s">
        <v>12</v>
      </c>
      <c r="H736" t="s">
        <v>19</v>
      </c>
      <c r="I736">
        <v>0.21</v>
      </c>
      <c r="J736">
        <v>924885.11</v>
      </c>
      <c r="K736">
        <f>Table2[[#This Row],[revenue]]/Table2[[#This Row],[budget]]</f>
        <v>22.308885225221097</v>
      </c>
      <c r="L736" s="2">
        <f t="shared" si="33"/>
        <v>414581.5</v>
      </c>
      <c r="M736" s="2">
        <f>(Table2[[#This Row],[Adjusted revenue]]-Table2[[#This Row],[budget]])/Table2[[#This Row],[budget]]</f>
        <v>9</v>
      </c>
      <c r="N736" t="str">
        <f t="shared" si="34"/>
        <v>OK</v>
      </c>
      <c r="O736" s="2">
        <f t="shared" si="35"/>
        <v>1</v>
      </c>
    </row>
    <row r="737" spans="1:15" x14ac:dyDescent="0.3">
      <c r="A737" t="s">
        <v>755</v>
      </c>
      <c r="B737" s="1">
        <v>45068</v>
      </c>
      <c r="C737" s="1">
        <v>45215</v>
      </c>
      <c r="D737">
        <v>78294.27</v>
      </c>
      <c r="E737" s="2">
        <f>(Table2[[#This Row],[revenue]]-Table2[[#This Row],[budget]])/Table2[[#This Row],[budget]]</f>
        <v>7.2161808265151457</v>
      </c>
      <c r="F737" t="s">
        <v>21</v>
      </c>
      <c r="G737" t="s">
        <v>12</v>
      </c>
      <c r="H737" t="s">
        <v>19</v>
      </c>
      <c r="I737">
        <v>0.56999999999999995</v>
      </c>
      <c r="J737">
        <v>643279.88</v>
      </c>
      <c r="K737">
        <f>Table2[[#This Row],[revenue]]/Table2[[#This Row],[budget]]</f>
        <v>8.2161808265151457</v>
      </c>
      <c r="L737" s="2">
        <f t="shared" si="33"/>
        <v>643279.88</v>
      </c>
      <c r="M737" s="2">
        <f>(Table2[[#This Row],[Adjusted revenue]]-Table2[[#This Row],[budget]])/Table2[[#This Row],[budget]]</f>
        <v>7.2161808265151457</v>
      </c>
      <c r="N737" t="str">
        <f t="shared" si="34"/>
        <v>OK</v>
      </c>
      <c r="O737" s="2">
        <f t="shared" si="35"/>
        <v>0.62445912137160953</v>
      </c>
    </row>
    <row r="738" spans="1:15" x14ac:dyDescent="0.3">
      <c r="A738" t="s">
        <v>756</v>
      </c>
      <c r="B738" s="1">
        <v>44856</v>
      </c>
      <c r="C738" s="1">
        <v>45465</v>
      </c>
      <c r="D738">
        <v>61204.36</v>
      </c>
      <c r="E738" s="2">
        <f>(Table2[[#This Row],[revenue]]-Table2[[#This Row],[budget]])/Table2[[#This Row],[budget]]</f>
        <v>2.8503557589688056</v>
      </c>
      <c r="F738" t="s">
        <v>23</v>
      </c>
      <c r="G738" t="s">
        <v>12</v>
      </c>
      <c r="H738" t="s">
        <v>16</v>
      </c>
      <c r="I738">
        <v>0.8</v>
      </c>
      <c r="J738">
        <v>235658.56</v>
      </c>
      <c r="K738">
        <f>Table2[[#This Row],[revenue]]/Table2[[#This Row],[budget]]</f>
        <v>3.8503557589688056</v>
      </c>
      <c r="L738" s="2">
        <f t="shared" si="33"/>
        <v>235658.56</v>
      </c>
      <c r="M738" s="2">
        <f>(Table2[[#This Row],[Adjusted revenue]]-Table2[[#This Row],[budget]])/Table2[[#This Row],[budget]]</f>
        <v>2.8503557589688056</v>
      </c>
      <c r="N738" t="str">
        <f t="shared" si="34"/>
        <v>OK</v>
      </c>
      <c r="O738" s="2">
        <f t="shared" si="35"/>
        <v>-0.29466194548025149</v>
      </c>
    </row>
    <row r="739" spans="1:15" x14ac:dyDescent="0.3">
      <c r="A739" t="s">
        <v>757</v>
      </c>
      <c r="B739" s="1">
        <v>45014</v>
      </c>
      <c r="C739" s="1">
        <v>45378</v>
      </c>
      <c r="D739">
        <v>75087.14</v>
      </c>
      <c r="E739" s="2">
        <f>(Table2[[#This Row],[revenue]]-Table2[[#This Row],[budget]])/Table2[[#This Row],[budget]]</f>
        <v>5.1795095671509133</v>
      </c>
      <c r="F739" t="s">
        <v>23</v>
      </c>
      <c r="G739" t="s">
        <v>15</v>
      </c>
      <c r="H739" t="s">
        <v>25</v>
      </c>
      <c r="I739">
        <v>0.2</v>
      </c>
      <c r="J739">
        <v>464001.7</v>
      </c>
      <c r="K739">
        <f>Table2[[#This Row],[revenue]]/Table2[[#This Row],[budget]]</f>
        <v>6.1795095671509133</v>
      </c>
      <c r="L739" s="2">
        <f t="shared" si="33"/>
        <v>464001.7</v>
      </c>
      <c r="M739" s="2">
        <f>(Table2[[#This Row],[Adjusted revenue]]-Table2[[#This Row],[budget]])/Table2[[#This Row],[budget]]</f>
        <v>5.1795095671509133</v>
      </c>
      <c r="N739" t="str">
        <f t="shared" si="34"/>
        <v>OK</v>
      </c>
      <c r="O739" s="2">
        <f t="shared" si="35"/>
        <v>0.19568622466335017</v>
      </c>
    </row>
    <row r="740" spans="1:15" x14ac:dyDescent="0.3">
      <c r="A740" t="s">
        <v>758</v>
      </c>
      <c r="B740" s="1">
        <v>44970</v>
      </c>
      <c r="C740" s="1">
        <v>45175</v>
      </c>
      <c r="D740">
        <v>87595.32</v>
      </c>
      <c r="E740" s="2">
        <f>(Table2[[#This Row],[revenue]]-Table2[[#This Row],[budget]])/Table2[[#This Row],[budget]]</f>
        <v>1.2235425362907515</v>
      </c>
      <c r="F740" t="s">
        <v>18</v>
      </c>
      <c r="G740" t="s">
        <v>15</v>
      </c>
      <c r="H740" t="s">
        <v>19</v>
      </c>
      <c r="I740">
        <v>0.8</v>
      </c>
      <c r="J740">
        <v>194771.92</v>
      </c>
      <c r="K740">
        <f>Table2[[#This Row],[revenue]]/Table2[[#This Row],[budget]]</f>
        <v>2.2235425362907515</v>
      </c>
      <c r="L740" s="2">
        <f t="shared" si="33"/>
        <v>194771.92</v>
      </c>
      <c r="M740" s="2">
        <f>(Table2[[#This Row],[Adjusted revenue]]-Table2[[#This Row],[budget]])/Table2[[#This Row],[budget]]</f>
        <v>1.2235425362907515</v>
      </c>
      <c r="N740" t="str">
        <f t="shared" si="34"/>
        <v>OK</v>
      </c>
      <c r="O740" s="2">
        <f t="shared" si="35"/>
        <v>-0.63714893972826281</v>
      </c>
    </row>
    <row r="741" spans="1:15" x14ac:dyDescent="0.3">
      <c r="A741" t="s">
        <v>759</v>
      </c>
      <c r="B741" s="1">
        <v>44948</v>
      </c>
      <c r="C741" s="1">
        <v>45251</v>
      </c>
      <c r="D741">
        <v>31000.36</v>
      </c>
      <c r="E741" s="2">
        <f>(Table2[[#This Row],[revenue]]-Table2[[#This Row],[budget]])/Table2[[#This Row],[budget]]</f>
        <v>11.492867179606947</v>
      </c>
      <c r="F741" t="s">
        <v>11</v>
      </c>
      <c r="G741" t="s">
        <v>15</v>
      </c>
      <c r="H741" t="s">
        <v>16</v>
      </c>
      <c r="I741">
        <v>0.28000000000000003</v>
      </c>
      <c r="J741">
        <v>387283.38</v>
      </c>
      <c r="K741">
        <f>Table2[[#This Row],[revenue]]/Table2[[#This Row],[budget]]</f>
        <v>12.492867179606947</v>
      </c>
      <c r="L741" s="2">
        <f t="shared" si="33"/>
        <v>310003.59999999998</v>
      </c>
      <c r="M741" s="2">
        <f>(Table2[[#This Row],[Adjusted revenue]]-Table2[[#This Row],[budget]])/Table2[[#This Row],[budget]]</f>
        <v>9</v>
      </c>
      <c r="N741" t="str">
        <f t="shared" si="34"/>
        <v>OK</v>
      </c>
      <c r="O741" s="2">
        <f t="shared" si="35"/>
        <v>1</v>
      </c>
    </row>
    <row r="742" spans="1:15" x14ac:dyDescent="0.3">
      <c r="A742" t="s">
        <v>760</v>
      </c>
      <c r="B742" s="1">
        <v>44945</v>
      </c>
      <c r="C742" s="1">
        <v>45305</v>
      </c>
      <c r="D742">
        <v>25100.93</v>
      </c>
      <c r="E742" s="2">
        <f>(Table2[[#This Row],[revenue]]-Table2[[#This Row],[budget]])/Table2[[#This Row],[budget]]</f>
        <v>9.6697341492924771</v>
      </c>
      <c r="F742" t="s">
        <v>21</v>
      </c>
      <c r="G742" t="s">
        <v>12</v>
      </c>
      <c r="H742" t="s">
        <v>19</v>
      </c>
      <c r="I742">
        <v>0.17</v>
      </c>
      <c r="J742">
        <v>267820.25</v>
      </c>
      <c r="K742">
        <f>Table2[[#This Row],[revenue]]/Table2[[#This Row],[budget]]</f>
        <v>10.669734149292477</v>
      </c>
      <c r="L742" s="2">
        <f t="shared" si="33"/>
        <v>251009.3</v>
      </c>
      <c r="M742" s="2">
        <f>(Table2[[#This Row],[Adjusted revenue]]-Table2[[#This Row],[budget]])/Table2[[#This Row],[budget]]</f>
        <v>9</v>
      </c>
      <c r="N742" t="str">
        <f t="shared" si="34"/>
        <v>OK</v>
      </c>
      <c r="O742" s="2">
        <f t="shared" si="35"/>
        <v>1</v>
      </c>
    </row>
    <row r="743" spans="1:15" x14ac:dyDescent="0.3">
      <c r="A743" t="s">
        <v>761</v>
      </c>
      <c r="B743" s="1">
        <v>44982</v>
      </c>
      <c r="C743" s="1">
        <v>45204</v>
      </c>
      <c r="D743">
        <v>40413.870000000003</v>
      </c>
      <c r="E743" s="2">
        <f>(Table2[[#This Row],[revenue]]-Table2[[#This Row],[budget]])/Table2[[#This Row],[budget]]</f>
        <v>1.368145144228949</v>
      </c>
      <c r="F743" t="s">
        <v>21</v>
      </c>
      <c r="G743" t="s">
        <v>12</v>
      </c>
      <c r="H743" t="s">
        <v>13</v>
      </c>
      <c r="I743">
        <v>0.4</v>
      </c>
      <c r="J743">
        <v>95705.91</v>
      </c>
      <c r="K743">
        <f>Table2[[#This Row],[revenue]]/Table2[[#This Row],[budget]]</f>
        <v>2.368145144228949</v>
      </c>
      <c r="L743" s="2">
        <f t="shared" si="33"/>
        <v>95705.91</v>
      </c>
      <c r="M743" s="2">
        <f>(Table2[[#This Row],[Adjusted revenue]]-Table2[[#This Row],[budget]])/Table2[[#This Row],[budget]]</f>
        <v>1.368145144228949</v>
      </c>
      <c r="N743" t="str">
        <f t="shared" si="34"/>
        <v>OK</v>
      </c>
      <c r="O743" s="2">
        <f t="shared" si="35"/>
        <v>-0.60670628542548444</v>
      </c>
    </row>
    <row r="744" spans="1:15" x14ac:dyDescent="0.3">
      <c r="A744" t="s">
        <v>762</v>
      </c>
      <c r="B744" s="1">
        <v>45079</v>
      </c>
      <c r="C744" s="1">
        <v>45256</v>
      </c>
      <c r="D744">
        <v>2667.65</v>
      </c>
      <c r="E744" s="2">
        <f>(Table2[[#This Row],[revenue]]-Table2[[#This Row],[budget]])/Table2[[#This Row],[budget]]</f>
        <v>321.9708282570802</v>
      </c>
      <c r="F744" t="s">
        <v>18</v>
      </c>
      <c r="G744" t="s">
        <v>12</v>
      </c>
      <c r="H744" t="s">
        <v>25</v>
      </c>
      <c r="I744">
        <v>0.1</v>
      </c>
      <c r="J744">
        <v>861573.13</v>
      </c>
      <c r="K744">
        <f>Table2[[#This Row],[revenue]]/Table2[[#This Row],[budget]]</f>
        <v>322.9708282570802</v>
      </c>
      <c r="L744" s="2">
        <f t="shared" si="33"/>
        <v>26676.5</v>
      </c>
      <c r="M744" s="2">
        <f>(Table2[[#This Row],[Adjusted revenue]]-Table2[[#This Row],[budget]])/Table2[[#This Row],[budget]]</f>
        <v>9</v>
      </c>
      <c r="N744" t="str">
        <f t="shared" si="34"/>
        <v>OK</v>
      </c>
      <c r="O744" s="2">
        <f t="shared" si="35"/>
        <v>1</v>
      </c>
    </row>
    <row r="745" spans="1:15" x14ac:dyDescent="0.3">
      <c r="A745" t="s">
        <v>763</v>
      </c>
      <c r="B745" s="1">
        <v>44942</v>
      </c>
      <c r="C745" s="1">
        <v>45151</v>
      </c>
      <c r="D745">
        <v>15210.7</v>
      </c>
      <c r="E745" s="2">
        <f>(Table2[[#This Row],[revenue]]-Table2[[#This Row],[budget]])/Table2[[#This Row],[budget]]</f>
        <v>23.599116411473503</v>
      </c>
      <c r="F745" t="s">
        <v>18</v>
      </c>
      <c r="G745" t="s">
        <v>15</v>
      </c>
      <c r="H745" t="s">
        <v>19</v>
      </c>
      <c r="I745">
        <v>0.79</v>
      </c>
      <c r="J745">
        <v>374169.78</v>
      </c>
      <c r="K745">
        <f>Table2[[#This Row],[revenue]]/Table2[[#This Row],[budget]]</f>
        <v>24.599116411473503</v>
      </c>
      <c r="L745" s="2">
        <f t="shared" si="33"/>
        <v>152107</v>
      </c>
      <c r="M745" s="2">
        <f>(Table2[[#This Row],[Adjusted revenue]]-Table2[[#This Row],[budget]])/Table2[[#This Row],[budget]]</f>
        <v>8.9999999999999982</v>
      </c>
      <c r="N745" t="str">
        <f t="shared" si="34"/>
        <v>OK</v>
      </c>
      <c r="O745" s="2">
        <f t="shared" si="35"/>
        <v>0.99999999999999956</v>
      </c>
    </row>
    <row r="746" spans="1:15" x14ac:dyDescent="0.3">
      <c r="A746" t="s">
        <v>764</v>
      </c>
      <c r="B746" s="1">
        <v>44855</v>
      </c>
      <c r="C746" s="1">
        <v>45363</v>
      </c>
      <c r="D746">
        <v>55331.1</v>
      </c>
      <c r="E746" s="2">
        <f>(Table2[[#This Row],[revenue]]-Table2[[#This Row],[budget]])/Table2[[#This Row],[budget]]</f>
        <v>5.3928000708462331</v>
      </c>
      <c r="F746" t="s">
        <v>21</v>
      </c>
      <c r="G746" t="s">
        <v>15</v>
      </c>
      <c r="H746" t="s">
        <v>19</v>
      </c>
      <c r="I746">
        <v>0.22</v>
      </c>
      <c r="J746">
        <v>353720.66</v>
      </c>
      <c r="K746">
        <f>Table2[[#This Row],[revenue]]/Table2[[#This Row],[budget]]</f>
        <v>6.3928000708462323</v>
      </c>
      <c r="L746" s="2">
        <f t="shared" si="33"/>
        <v>353720.66</v>
      </c>
      <c r="M746" s="2">
        <f>(Table2[[#This Row],[Adjusted revenue]]-Table2[[#This Row],[budget]])/Table2[[#This Row],[budget]]</f>
        <v>5.3928000708462331</v>
      </c>
      <c r="N746" t="str">
        <f t="shared" si="34"/>
        <v>OK</v>
      </c>
      <c r="O746" s="2">
        <f t="shared" si="35"/>
        <v>0.24058948859920704</v>
      </c>
    </row>
    <row r="747" spans="1:15" x14ac:dyDescent="0.3">
      <c r="A747" t="s">
        <v>765</v>
      </c>
      <c r="B747" s="1">
        <v>44950</v>
      </c>
      <c r="C747" s="1">
        <v>45288</v>
      </c>
      <c r="D747">
        <v>86461.82</v>
      </c>
      <c r="E747" s="2">
        <f>(Table2[[#This Row],[revenue]]-Table2[[#This Row],[budget]])/Table2[[#This Row],[budget]]</f>
        <v>8.4753377849321225</v>
      </c>
      <c r="F747" t="s">
        <v>23</v>
      </c>
      <c r="G747" t="s">
        <v>15</v>
      </c>
      <c r="H747" t="s">
        <v>13</v>
      </c>
      <c r="I747">
        <v>0.52</v>
      </c>
      <c r="J747">
        <v>819254.95</v>
      </c>
      <c r="K747">
        <f>Table2[[#This Row],[revenue]]/Table2[[#This Row],[budget]]</f>
        <v>9.4753377849321225</v>
      </c>
      <c r="L747" s="2">
        <f t="shared" si="33"/>
        <v>819254.95</v>
      </c>
      <c r="M747" s="2">
        <f>(Table2[[#This Row],[Adjusted revenue]]-Table2[[#This Row],[budget]])/Table2[[#This Row],[budget]]</f>
        <v>8.4753377849321225</v>
      </c>
      <c r="N747" t="str">
        <f t="shared" si="34"/>
        <v>OK</v>
      </c>
      <c r="O747" s="2">
        <f t="shared" si="35"/>
        <v>0.88954479682781518</v>
      </c>
    </row>
    <row r="748" spans="1:15" x14ac:dyDescent="0.3">
      <c r="A748" t="s">
        <v>766</v>
      </c>
      <c r="B748" s="1">
        <v>44980</v>
      </c>
      <c r="C748" s="1">
        <v>45366</v>
      </c>
      <c r="D748">
        <v>82520.55</v>
      </c>
      <c r="E748" s="2">
        <f>(Table2[[#This Row],[revenue]]-Table2[[#This Row],[budget]])/Table2[[#This Row],[budget]]</f>
        <v>8.9683507926207469</v>
      </c>
      <c r="F748" t="s">
        <v>21</v>
      </c>
      <c r="G748" t="s">
        <v>12</v>
      </c>
      <c r="H748" t="s">
        <v>19</v>
      </c>
      <c r="I748">
        <v>0.43</v>
      </c>
      <c r="J748">
        <v>822593.79</v>
      </c>
      <c r="K748">
        <f>Table2[[#This Row],[revenue]]/Table2[[#This Row],[budget]]</f>
        <v>9.9683507926207469</v>
      </c>
      <c r="L748" s="2">
        <f t="shared" si="33"/>
        <v>822593.79</v>
      </c>
      <c r="M748" s="2">
        <f>(Table2[[#This Row],[Adjusted revenue]]-Table2[[#This Row],[budget]])/Table2[[#This Row],[budget]]</f>
        <v>8.9683507926207469</v>
      </c>
      <c r="N748" t="str">
        <f t="shared" si="34"/>
        <v>OK</v>
      </c>
      <c r="O748" s="2">
        <f t="shared" si="35"/>
        <v>0.99333700897278887</v>
      </c>
    </row>
    <row r="749" spans="1:15" x14ac:dyDescent="0.3">
      <c r="A749" t="s">
        <v>767</v>
      </c>
      <c r="B749" s="1">
        <v>45059</v>
      </c>
      <c r="C749" s="1">
        <v>45356</v>
      </c>
      <c r="D749">
        <v>14593.14</v>
      </c>
      <c r="E749" s="2">
        <f>(Table2[[#This Row],[revenue]]-Table2[[#This Row],[budget]])/Table2[[#This Row],[budget]]</f>
        <v>51.889789997217868</v>
      </c>
      <c r="F749" t="s">
        <v>23</v>
      </c>
      <c r="G749" t="s">
        <v>15</v>
      </c>
      <c r="H749" t="s">
        <v>19</v>
      </c>
      <c r="I749">
        <v>0.28000000000000003</v>
      </c>
      <c r="J749">
        <v>771828.11</v>
      </c>
      <c r="K749">
        <f>Table2[[#This Row],[revenue]]/Table2[[#This Row],[budget]]</f>
        <v>52.889789997217875</v>
      </c>
      <c r="L749" s="2">
        <f t="shared" si="33"/>
        <v>145931.4</v>
      </c>
      <c r="M749" s="2">
        <f>(Table2[[#This Row],[Adjusted revenue]]-Table2[[#This Row],[budget]])/Table2[[#This Row],[budget]]</f>
        <v>9.0000000000000018</v>
      </c>
      <c r="N749" t="str">
        <f t="shared" si="34"/>
        <v>OK</v>
      </c>
      <c r="O749" s="2">
        <f t="shared" si="35"/>
        <v>1.0000000000000004</v>
      </c>
    </row>
    <row r="750" spans="1:15" x14ac:dyDescent="0.3">
      <c r="A750" t="s">
        <v>768</v>
      </c>
      <c r="B750" s="1">
        <v>44962</v>
      </c>
      <c r="C750" s="1">
        <v>45430</v>
      </c>
      <c r="D750">
        <v>3083.5</v>
      </c>
      <c r="E750" s="2">
        <f>(Table2[[#This Row],[revenue]]-Table2[[#This Row],[budget]])/Table2[[#This Row],[budget]]</f>
        <v>159.25787903356576</v>
      </c>
      <c r="F750" t="s">
        <v>23</v>
      </c>
      <c r="G750" t="s">
        <v>15</v>
      </c>
      <c r="H750" t="s">
        <v>19</v>
      </c>
      <c r="I750">
        <v>0.13</v>
      </c>
      <c r="J750">
        <v>494155.17</v>
      </c>
      <c r="K750">
        <f>Table2[[#This Row],[revenue]]/Table2[[#This Row],[budget]]</f>
        <v>160.25787903356576</v>
      </c>
      <c r="L750" s="2">
        <f t="shared" si="33"/>
        <v>30835</v>
      </c>
      <c r="M750" s="2">
        <f>(Table2[[#This Row],[Adjusted revenue]]-Table2[[#This Row],[budget]])/Table2[[#This Row],[budget]]</f>
        <v>9</v>
      </c>
      <c r="N750" t="str">
        <f t="shared" si="34"/>
        <v>OK</v>
      </c>
      <c r="O750" s="2">
        <f t="shared" si="35"/>
        <v>1</v>
      </c>
    </row>
    <row r="751" spans="1:15" x14ac:dyDescent="0.3">
      <c r="A751" t="s">
        <v>769</v>
      </c>
      <c r="B751" s="1">
        <v>44782</v>
      </c>
      <c r="C751" s="1">
        <v>45211</v>
      </c>
      <c r="D751">
        <v>67207.89</v>
      </c>
      <c r="E751" s="2">
        <f>(Table2[[#This Row],[revenue]]-Table2[[#This Row],[budget]])/Table2[[#This Row],[budget]]</f>
        <v>8.9825834436998395</v>
      </c>
      <c r="F751" t="s">
        <v>11</v>
      </c>
      <c r="G751" t="s">
        <v>15</v>
      </c>
      <c r="H751" t="s">
        <v>16</v>
      </c>
      <c r="I751">
        <v>0.74</v>
      </c>
      <c r="J751">
        <v>670908.37</v>
      </c>
      <c r="K751">
        <f>Table2[[#This Row],[revenue]]/Table2[[#This Row],[budget]]</f>
        <v>9.9825834436998395</v>
      </c>
      <c r="L751" s="2">
        <f t="shared" si="33"/>
        <v>670908.37</v>
      </c>
      <c r="M751" s="2">
        <f>(Table2[[#This Row],[Adjusted revenue]]-Table2[[#This Row],[budget]])/Table2[[#This Row],[budget]]</f>
        <v>8.9825834436998395</v>
      </c>
      <c r="N751" t="str">
        <f t="shared" si="34"/>
        <v>OK</v>
      </c>
      <c r="O751" s="2">
        <f t="shared" si="35"/>
        <v>0.99633335656838717</v>
      </c>
    </row>
    <row r="752" spans="1:15" x14ac:dyDescent="0.3">
      <c r="A752" t="s">
        <v>770</v>
      </c>
      <c r="B752" s="1">
        <v>45057</v>
      </c>
      <c r="C752" s="1">
        <v>45418</v>
      </c>
      <c r="D752">
        <v>57934.37</v>
      </c>
      <c r="E752" s="2">
        <f>(Table2[[#This Row],[revenue]]-Table2[[#This Row],[budget]])/Table2[[#This Row],[budget]]</f>
        <v>12.908071840601702</v>
      </c>
      <c r="F752" t="s">
        <v>23</v>
      </c>
      <c r="G752" t="s">
        <v>12</v>
      </c>
      <c r="H752" t="s">
        <v>16</v>
      </c>
      <c r="I752">
        <v>0.28000000000000003</v>
      </c>
      <c r="J752">
        <v>805755.38</v>
      </c>
      <c r="K752">
        <f>Table2[[#This Row],[revenue]]/Table2[[#This Row],[budget]]</f>
        <v>13.908071840601702</v>
      </c>
      <c r="L752" s="2">
        <f t="shared" si="33"/>
        <v>579343.70000000007</v>
      </c>
      <c r="M752" s="2">
        <f>(Table2[[#This Row],[Adjusted revenue]]-Table2[[#This Row],[budget]])/Table2[[#This Row],[budget]]</f>
        <v>9</v>
      </c>
      <c r="N752" t="str">
        <f t="shared" si="34"/>
        <v>OK</v>
      </c>
      <c r="O752" s="2">
        <f t="shared" si="35"/>
        <v>1</v>
      </c>
    </row>
    <row r="753" spans="1:15" x14ac:dyDescent="0.3">
      <c r="A753" t="s">
        <v>771</v>
      </c>
      <c r="B753" s="1">
        <v>44780</v>
      </c>
      <c r="C753" s="1">
        <v>45468</v>
      </c>
      <c r="D753">
        <v>21399.83</v>
      </c>
      <c r="E753" s="2">
        <f>(Table2[[#This Row],[revenue]]-Table2[[#This Row],[budget]])/Table2[[#This Row],[budget]]</f>
        <v>8.563622234382235</v>
      </c>
      <c r="F753" t="s">
        <v>23</v>
      </c>
      <c r="G753" t="s">
        <v>12</v>
      </c>
      <c r="H753" t="s">
        <v>16</v>
      </c>
      <c r="I753">
        <v>0.89</v>
      </c>
      <c r="J753">
        <v>204659.89</v>
      </c>
      <c r="K753">
        <f>Table2[[#This Row],[revenue]]/Table2[[#This Row],[budget]]</f>
        <v>9.563622234382235</v>
      </c>
      <c r="L753" s="2">
        <f t="shared" si="33"/>
        <v>204659.89</v>
      </c>
      <c r="M753" s="2">
        <f>(Table2[[#This Row],[Adjusted revenue]]-Table2[[#This Row],[budget]])/Table2[[#This Row],[budget]]</f>
        <v>8.563622234382235</v>
      </c>
      <c r="N753" t="str">
        <f t="shared" si="34"/>
        <v>OK</v>
      </c>
      <c r="O753" s="2">
        <f t="shared" si="35"/>
        <v>0.90813099671204944</v>
      </c>
    </row>
    <row r="754" spans="1:15" x14ac:dyDescent="0.3">
      <c r="A754" t="s">
        <v>772</v>
      </c>
      <c r="B754" s="1">
        <v>45102</v>
      </c>
      <c r="C754" s="1">
        <v>45404</v>
      </c>
      <c r="D754">
        <v>43101.14</v>
      </c>
      <c r="E754" s="2">
        <f>(Table2[[#This Row],[revenue]]-Table2[[#This Row],[budget]])/Table2[[#This Row],[budget]]</f>
        <v>9.9200044360775603</v>
      </c>
      <c r="F754" t="s">
        <v>21</v>
      </c>
      <c r="G754" t="s">
        <v>15</v>
      </c>
      <c r="H754" t="s">
        <v>19</v>
      </c>
      <c r="I754">
        <v>0.81</v>
      </c>
      <c r="J754">
        <v>470664.64</v>
      </c>
      <c r="K754">
        <f>Table2[[#This Row],[revenue]]/Table2[[#This Row],[budget]]</f>
        <v>10.920004436077562</v>
      </c>
      <c r="L754" s="2">
        <f t="shared" si="33"/>
        <v>431011.4</v>
      </c>
      <c r="M754" s="2">
        <f>(Table2[[#This Row],[Adjusted revenue]]-Table2[[#This Row],[budget]])/Table2[[#This Row],[budget]]</f>
        <v>9</v>
      </c>
      <c r="N754" t="str">
        <f t="shared" si="34"/>
        <v>OK</v>
      </c>
      <c r="O754" s="2">
        <f t="shared" si="35"/>
        <v>1</v>
      </c>
    </row>
    <row r="755" spans="1:15" x14ac:dyDescent="0.3">
      <c r="A755" t="s">
        <v>773</v>
      </c>
      <c r="B755" s="1">
        <v>44923</v>
      </c>
      <c r="C755" s="1">
        <v>45218</v>
      </c>
      <c r="D755">
        <v>44514.720000000001</v>
      </c>
      <c r="E755" s="2">
        <f>(Table2[[#This Row],[revenue]]-Table2[[#This Row],[budget]])/Table2[[#This Row],[budget]]</f>
        <v>8.0344402930086947</v>
      </c>
      <c r="F755" t="s">
        <v>18</v>
      </c>
      <c r="G755" t="s">
        <v>15</v>
      </c>
      <c r="H755" t="s">
        <v>19</v>
      </c>
      <c r="I755">
        <v>0.97</v>
      </c>
      <c r="J755">
        <v>402165.58</v>
      </c>
      <c r="K755">
        <f>Table2[[#This Row],[revenue]]/Table2[[#This Row],[budget]]</f>
        <v>9.0344402930086947</v>
      </c>
      <c r="L755" s="2">
        <f t="shared" si="33"/>
        <v>402165.58</v>
      </c>
      <c r="M755" s="2">
        <f>(Table2[[#This Row],[Adjusted revenue]]-Table2[[#This Row],[budget]])/Table2[[#This Row],[budget]]</f>
        <v>8.0344402930086947</v>
      </c>
      <c r="N755" t="str">
        <f t="shared" si="34"/>
        <v>OK</v>
      </c>
      <c r="O755" s="2">
        <f t="shared" si="35"/>
        <v>0.79672427221235687</v>
      </c>
    </row>
    <row r="756" spans="1:15" x14ac:dyDescent="0.3">
      <c r="A756" t="s">
        <v>774</v>
      </c>
      <c r="B756" s="1">
        <v>45038</v>
      </c>
      <c r="C756" s="1">
        <v>45457</v>
      </c>
      <c r="D756">
        <v>23901.39</v>
      </c>
      <c r="E756" s="2">
        <f>(Table2[[#This Row],[revenue]]-Table2[[#This Row],[budget]])/Table2[[#This Row],[budget]]</f>
        <v>37.415771635038801</v>
      </c>
      <c r="F756" t="s">
        <v>11</v>
      </c>
      <c r="G756" t="s">
        <v>15</v>
      </c>
      <c r="H756" t="s">
        <v>25</v>
      </c>
      <c r="I756">
        <v>0.25</v>
      </c>
      <c r="J756">
        <v>918190.34</v>
      </c>
      <c r="K756">
        <f>Table2[[#This Row],[revenue]]/Table2[[#This Row],[budget]]</f>
        <v>38.415771635038801</v>
      </c>
      <c r="L756" s="2">
        <f t="shared" si="33"/>
        <v>239013.9</v>
      </c>
      <c r="M756" s="2">
        <f>(Table2[[#This Row],[Adjusted revenue]]-Table2[[#This Row],[budget]])/Table2[[#This Row],[budget]]</f>
        <v>9</v>
      </c>
      <c r="N756" t="str">
        <f t="shared" si="34"/>
        <v>OK</v>
      </c>
      <c r="O756" s="2">
        <f t="shared" si="35"/>
        <v>1</v>
      </c>
    </row>
    <row r="757" spans="1:15" x14ac:dyDescent="0.3">
      <c r="A757" t="s">
        <v>775</v>
      </c>
      <c r="B757" s="1">
        <v>44811</v>
      </c>
      <c r="C757" s="1">
        <v>45250</v>
      </c>
      <c r="D757">
        <v>67575.94</v>
      </c>
      <c r="E757" s="2">
        <f>(Table2[[#This Row],[revenue]]-Table2[[#This Row],[budget]])/Table2[[#This Row],[budget]]</f>
        <v>13.664093610832493</v>
      </c>
      <c r="F757" t="s">
        <v>11</v>
      </c>
      <c r="G757" t="s">
        <v>12</v>
      </c>
      <c r="H757" t="s">
        <v>13</v>
      </c>
      <c r="I757">
        <v>0.51</v>
      </c>
      <c r="J757">
        <v>990939.91</v>
      </c>
      <c r="K757">
        <f>Table2[[#This Row],[revenue]]/Table2[[#This Row],[budget]]</f>
        <v>14.664093610832495</v>
      </c>
      <c r="L757" s="2">
        <f t="shared" si="33"/>
        <v>675759.4</v>
      </c>
      <c r="M757" s="2">
        <f>(Table2[[#This Row],[Adjusted revenue]]-Table2[[#This Row],[budget]])/Table2[[#This Row],[budget]]</f>
        <v>9</v>
      </c>
      <c r="N757" t="str">
        <f t="shared" si="34"/>
        <v>OK</v>
      </c>
      <c r="O757" s="2">
        <f t="shared" si="35"/>
        <v>1</v>
      </c>
    </row>
    <row r="758" spans="1:15" x14ac:dyDescent="0.3">
      <c r="A758" t="s">
        <v>776</v>
      </c>
      <c r="B758" s="1">
        <v>44996</v>
      </c>
      <c r="C758" s="1">
        <v>45236</v>
      </c>
      <c r="D758">
        <v>86627.199999999997</v>
      </c>
      <c r="E758" s="2">
        <f>(Table2[[#This Row],[revenue]]-Table2[[#This Row],[budget]])/Table2[[#This Row],[budget]]</f>
        <v>4.152941685752281</v>
      </c>
      <c r="F758" t="s">
        <v>21</v>
      </c>
      <c r="G758" t="s">
        <v>12</v>
      </c>
      <c r="H758" t="s">
        <v>16</v>
      </c>
      <c r="I758">
        <v>0.21</v>
      </c>
      <c r="J758">
        <v>446384.91</v>
      </c>
      <c r="K758">
        <f>Table2[[#This Row],[revenue]]/Table2[[#This Row],[budget]]</f>
        <v>5.152941685752281</v>
      </c>
      <c r="L758" s="2">
        <f t="shared" si="33"/>
        <v>446384.91</v>
      </c>
      <c r="M758" s="2">
        <f>(Table2[[#This Row],[Adjusted revenue]]-Table2[[#This Row],[budget]])/Table2[[#This Row],[budget]]</f>
        <v>4.152941685752281</v>
      </c>
      <c r="N758" t="str">
        <f t="shared" si="34"/>
        <v>OK</v>
      </c>
      <c r="O758" s="2">
        <f t="shared" si="35"/>
        <v>-2.0433329315309279E-2</v>
      </c>
    </row>
    <row r="759" spans="1:15" x14ac:dyDescent="0.3">
      <c r="A759" t="s">
        <v>777</v>
      </c>
      <c r="B759" s="1">
        <v>45138</v>
      </c>
      <c r="C759" s="1">
        <v>45231</v>
      </c>
      <c r="D759">
        <v>44640.33</v>
      </c>
      <c r="E759" s="2">
        <f>(Table2[[#This Row],[revenue]]-Table2[[#This Row],[budget]])/Table2[[#This Row],[budget]]</f>
        <v>19.957312591551183</v>
      </c>
      <c r="F759" t="s">
        <v>23</v>
      </c>
      <c r="G759" t="s">
        <v>15</v>
      </c>
      <c r="H759" t="s">
        <v>13</v>
      </c>
      <c r="I759">
        <v>0.69</v>
      </c>
      <c r="J759">
        <v>935541.35</v>
      </c>
      <c r="K759">
        <f>Table2[[#This Row],[revenue]]/Table2[[#This Row],[budget]]</f>
        <v>20.95731259155118</v>
      </c>
      <c r="L759" s="2">
        <f t="shared" si="33"/>
        <v>446403.30000000005</v>
      </c>
      <c r="M759" s="2">
        <f>(Table2[[#This Row],[Adjusted revenue]]-Table2[[#This Row],[budget]])/Table2[[#This Row],[budget]]</f>
        <v>9</v>
      </c>
      <c r="N759" t="str">
        <f t="shared" si="34"/>
        <v>OK</v>
      </c>
      <c r="O759" s="2">
        <f t="shared" si="35"/>
        <v>1</v>
      </c>
    </row>
    <row r="760" spans="1:15" x14ac:dyDescent="0.3">
      <c r="A760" t="s">
        <v>778</v>
      </c>
      <c r="B760" s="1">
        <v>44911</v>
      </c>
      <c r="C760" s="1">
        <v>45161</v>
      </c>
      <c r="D760">
        <v>64755.7</v>
      </c>
      <c r="E760" s="2">
        <f>(Table2[[#This Row],[revenue]]-Table2[[#This Row],[budget]])/Table2[[#This Row],[budget]]</f>
        <v>14.388500162920021</v>
      </c>
      <c r="F760" t="s">
        <v>21</v>
      </c>
      <c r="G760" t="s">
        <v>12</v>
      </c>
      <c r="H760" t="s">
        <v>25</v>
      </c>
      <c r="I760">
        <v>0.2</v>
      </c>
      <c r="J760">
        <v>996493.1</v>
      </c>
      <c r="K760">
        <f>Table2[[#This Row],[revenue]]/Table2[[#This Row],[budget]]</f>
        <v>15.388500162920021</v>
      </c>
      <c r="L760" s="2">
        <f t="shared" si="33"/>
        <v>647557</v>
      </c>
      <c r="M760" s="2">
        <f>(Table2[[#This Row],[Adjusted revenue]]-Table2[[#This Row],[budget]])/Table2[[#This Row],[budget]]</f>
        <v>9.0000000000000018</v>
      </c>
      <c r="N760" t="str">
        <f t="shared" si="34"/>
        <v>OK</v>
      </c>
      <c r="O760" s="2">
        <f t="shared" si="35"/>
        <v>1.0000000000000004</v>
      </c>
    </row>
    <row r="761" spans="1:15" x14ac:dyDescent="0.3">
      <c r="A761" t="s">
        <v>779</v>
      </c>
      <c r="B761" s="1">
        <v>44831</v>
      </c>
      <c r="C761" s="1">
        <v>45377</v>
      </c>
      <c r="D761">
        <v>95256.19</v>
      </c>
      <c r="E761" s="2">
        <f>(Table2[[#This Row],[revenue]]-Table2[[#This Row],[budget]])/Table2[[#This Row],[budget]]</f>
        <v>-0.1122577965799388</v>
      </c>
      <c r="F761" t="s">
        <v>18</v>
      </c>
      <c r="G761" t="s">
        <v>15</v>
      </c>
      <c r="H761" t="s">
        <v>25</v>
      </c>
      <c r="I761">
        <v>0.65</v>
      </c>
      <c r="J761">
        <v>84562.94</v>
      </c>
      <c r="K761">
        <f>Table2[[#This Row],[revenue]]/Table2[[#This Row],[budget]]</f>
        <v>0.88774220342006116</v>
      </c>
      <c r="L761" s="2">
        <f t="shared" si="33"/>
        <v>84562.94</v>
      </c>
      <c r="M761" s="2">
        <f>(Table2[[#This Row],[Adjusted revenue]]-Table2[[#This Row],[budget]])/Table2[[#This Row],[budget]]</f>
        <v>-0.1122577965799388</v>
      </c>
      <c r="N761" t="str">
        <f t="shared" si="34"/>
        <v>Failed</v>
      </c>
      <c r="O761" s="2">
        <f t="shared" si="35"/>
        <v>-0.91837006243788188</v>
      </c>
    </row>
    <row r="762" spans="1:15" x14ac:dyDescent="0.3">
      <c r="A762" t="s">
        <v>780</v>
      </c>
      <c r="B762" s="1">
        <v>44933</v>
      </c>
      <c r="C762" s="1">
        <v>45448</v>
      </c>
      <c r="D762">
        <v>82461.13</v>
      </c>
      <c r="E762" s="2">
        <f>(Table2[[#This Row],[revenue]]-Table2[[#This Row],[budget]])/Table2[[#This Row],[budget]]</f>
        <v>2.4664019277931306</v>
      </c>
      <c r="F762" t="s">
        <v>23</v>
      </c>
      <c r="G762" t="s">
        <v>12</v>
      </c>
      <c r="H762" t="s">
        <v>13</v>
      </c>
      <c r="I762">
        <v>0.8</v>
      </c>
      <c r="J762">
        <v>285843.42</v>
      </c>
      <c r="K762">
        <f>Table2[[#This Row],[revenue]]/Table2[[#This Row],[budget]]</f>
        <v>3.4664019277931306</v>
      </c>
      <c r="L762" s="2">
        <f t="shared" si="33"/>
        <v>285843.42</v>
      </c>
      <c r="M762" s="2">
        <f>(Table2[[#This Row],[Adjusted revenue]]-Table2[[#This Row],[budget]])/Table2[[#This Row],[budget]]</f>
        <v>2.4664019277931306</v>
      </c>
      <c r="N762" t="str">
        <f t="shared" si="34"/>
        <v>OK</v>
      </c>
      <c r="O762" s="2">
        <f t="shared" si="35"/>
        <v>-0.37549433099091989</v>
      </c>
    </row>
    <row r="763" spans="1:15" x14ac:dyDescent="0.3">
      <c r="A763" t="s">
        <v>781</v>
      </c>
      <c r="B763" s="1">
        <v>45040</v>
      </c>
      <c r="C763" s="1">
        <v>45209</v>
      </c>
      <c r="D763">
        <v>1407.21</v>
      </c>
      <c r="E763" s="2">
        <f>(Table2[[#This Row],[revenue]]-Table2[[#This Row],[budget]])/Table2[[#This Row],[budget]]</f>
        <v>78.630836904228929</v>
      </c>
      <c r="F763" t="s">
        <v>21</v>
      </c>
      <c r="G763" t="s">
        <v>12</v>
      </c>
      <c r="H763" t="s">
        <v>16</v>
      </c>
      <c r="I763">
        <v>0.56999999999999995</v>
      </c>
      <c r="J763">
        <v>112057.31</v>
      </c>
      <c r="K763">
        <f>Table2[[#This Row],[revenue]]/Table2[[#This Row],[budget]]</f>
        <v>79.630836904228929</v>
      </c>
      <c r="L763" s="2">
        <f t="shared" si="33"/>
        <v>14072.1</v>
      </c>
      <c r="M763" s="2">
        <f>(Table2[[#This Row],[Adjusted revenue]]-Table2[[#This Row],[budget]])/Table2[[#This Row],[budget]]</f>
        <v>9</v>
      </c>
      <c r="N763" t="str">
        <f t="shared" si="34"/>
        <v>OK</v>
      </c>
      <c r="O763" s="2">
        <f t="shared" si="35"/>
        <v>1</v>
      </c>
    </row>
    <row r="764" spans="1:15" x14ac:dyDescent="0.3">
      <c r="A764" t="s">
        <v>782</v>
      </c>
      <c r="B764" s="1">
        <v>45112</v>
      </c>
      <c r="C764" s="1">
        <v>45232</v>
      </c>
      <c r="D764">
        <v>26990.81</v>
      </c>
      <c r="E764" s="2">
        <f>(Table2[[#This Row],[revenue]]-Table2[[#This Row],[budget]])/Table2[[#This Row],[budget]]</f>
        <v>7.4629379407287137</v>
      </c>
      <c r="F764" t="s">
        <v>11</v>
      </c>
      <c r="G764" t="s">
        <v>15</v>
      </c>
      <c r="H764" t="s">
        <v>25</v>
      </c>
      <c r="I764">
        <v>0.75</v>
      </c>
      <c r="J764">
        <v>228421.55</v>
      </c>
      <c r="K764">
        <f>Table2[[#This Row],[revenue]]/Table2[[#This Row],[budget]]</f>
        <v>8.4629379407287146</v>
      </c>
      <c r="L764" s="2">
        <f t="shared" si="33"/>
        <v>228421.55</v>
      </c>
      <c r="M764" s="2">
        <f>(Table2[[#This Row],[Adjusted revenue]]-Table2[[#This Row],[budget]])/Table2[[#This Row],[budget]]</f>
        <v>7.4629379407287137</v>
      </c>
      <c r="N764" t="str">
        <f t="shared" si="34"/>
        <v>OK</v>
      </c>
      <c r="O764" s="2">
        <f t="shared" si="35"/>
        <v>0.67640798752183451</v>
      </c>
    </row>
    <row r="765" spans="1:15" x14ac:dyDescent="0.3">
      <c r="A765" t="s">
        <v>783</v>
      </c>
      <c r="B765" s="1">
        <v>44879</v>
      </c>
      <c r="C765" s="1">
        <v>45347</v>
      </c>
      <c r="D765">
        <v>43113.83</v>
      </c>
      <c r="E765" s="2">
        <f>(Table2[[#This Row],[revenue]]-Table2[[#This Row],[budget]])/Table2[[#This Row],[budget]]</f>
        <v>6.3744369266196008</v>
      </c>
      <c r="F765" t="s">
        <v>21</v>
      </c>
      <c r="G765" t="s">
        <v>12</v>
      </c>
      <c r="H765" t="s">
        <v>13</v>
      </c>
      <c r="I765">
        <v>0.33</v>
      </c>
      <c r="J765">
        <v>317940.21999999997</v>
      </c>
      <c r="K765">
        <f>Table2[[#This Row],[revenue]]/Table2[[#This Row],[budget]]</f>
        <v>7.3744369266196008</v>
      </c>
      <c r="L765" s="2">
        <f t="shared" si="33"/>
        <v>317940.21999999997</v>
      </c>
      <c r="M765" s="2">
        <f>(Table2[[#This Row],[Adjusted revenue]]-Table2[[#This Row],[budget]])/Table2[[#This Row],[budget]]</f>
        <v>6.3744369266196008</v>
      </c>
      <c r="N765" t="str">
        <f t="shared" si="34"/>
        <v>OK</v>
      </c>
      <c r="O765" s="2">
        <f t="shared" si="35"/>
        <v>0.44724987928833704</v>
      </c>
    </row>
    <row r="766" spans="1:15" x14ac:dyDescent="0.3">
      <c r="A766" t="s">
        <v>784</v>
      </c>
      <c r="B766" s="1">
        <v>45082</v>
      </c>
      <c r="C766" s="1">
        <v>45335</v>
      </c>
      <c r="D766">
        <v>99250.38</v>
      </c>
      <c r="E766" s="2">
        <f>(Table2[[#This Row],[revenue]]-Table2[[#This Row],[budget]])/Table2[[#This Row],[budget]]</f>
        <v>0.51011623330812417</v>
      </c>
      <c r="F766" t="s">
        <v>21</v>
      </c>
      <c r="G766" t="s">
        <v>12</v>
      </c>
      <c r="H766" t="s">
        <v>25</v>
      </c>
      <c r="I766">
        <v>0.37</v>
      </c>
      <c r="J766">
        <v>149879.60999999999</v>
      </c>
      <c r="K766">
        <f>Table2[[#This Row],[revenue]]/Table2[[#This Row],[budget]]</f>
        <v>1.5101162333081242</v>
      </c>
      <c r="L766" s="2">
        <f t="shared" si="33"/>
        <v>149879.60999999999</v>
      </c>
      <c r="M766" s="2">
        <f>(Table2[[#This Row],[Adjusted revenue]]-Table2[[#This Row],[budget]])/Table2[[#This Row],[budget]]</f>
        <v>0.51011623330812417</v>
      </c>
      <c r="N766" t="str">
        <f t="shared" si="34"/>
        <v>OK</v>
      </c>
      <c r="O766" s="2">
        <f t="shared" si="35"/>
        <v>-0.7873439508825002</v>
      </c>
    </row>
    <row r="767" spans="1:15" x14ac:dyDescent="0.3">
      <c r="A767" t="s">
        <v>785</v>
      </c>
      <c r="B767" s="1">
        <v>45135</v>
      </c>
      <c r="C767" s="1">
        <v>45367</v>
      </c>
      <c r="D767">
        <v>3884.46</v>
      </c>
      <c r="E767" s="2">
        <f>(Table2[[#This Row],[revenue]]-Table2[[#This Row],[budget]])/Table2[[#This Row],[budget]]</f>
        <v>163.23523475592489</v>
      </c>
      <c r="F767" t="s">
        <v>18</v>
      </c>
      <c r="G767" t="s">
        <v>12</v>
      </c>
      <c r="H767" t="s">
        <v>13</v>
      </c>
      <c r="I767">
        <v>0.86</v>
      </c>
      <c r="J767">
        <v>637965.19999999995</v>
      </c>
      <c r="K767">
        <f>Table2[[#This Row],[revenue]]/Table2[[#This Row],[budget]]</f>
        <v>164.23523475592486</v>
      </c>
      <c r="L767" s="2">
        <f t="shared" si="33"/>
        <v>38844.6</v>
      </c>
      <c r="M767" s="2">
        <f>(Table2[[#This Row],[Adjusted revenue]]-Table2[[#This Row],[budget]])/Table2[[#This Row],[budget]]</f>
        <v>9</v>
      </c>
      <c r="N767" t="str">
        <f t="shared" si="34"/>
        <v>OK</v>
      </c>
      <c r="O767" s="2">
        <f t="shared" si="35"/>
        <v>1</v>
      </c>
    </row>
    <row r="768" spans="1:15" x14ac:dyDescent="0.3">
      <c r="A768" t="s">
        <v>786</v>
      </c>
      <c r="B768" s="1">
        <v>45097</v>
      </c>
      <c r="C768" s="1">
        <v>45436</v>
      </c>
      <c r="D768">
        <v>1380.68</v>
      </c>
      <c r="E768" s="2">
        <f>(Table2[[#This Row],[revenue]]-Table2[[#This Row],[budget]])/Table2[[#This Row],[budget]]</f>
        <v>114.61068459020191</v>
      </c>
      <c r="F768" t="s">
        <v>18</v>
      </c>
      <c r="G768" t="s">
        <v>15</v>
      </c>
      <c r="H768" t="s">
        <v>16</v>
      </c>
      <c r="I768">
        <v>0.84</v>
      </c>
      <c r="J768">
        <v>159621.35999999999</v>
      </c>
      <c r="K768">
        <f>Table2[[#This Row],[revenue]]/Table2[[#This Row],[budget]]</f>
        <v>115.61068459020191</v>
      </c>
      <c r="L768" s="2">
        <f t="shared" si="33"/>
        <v>13806.800000000001</v>
      </c>
      <c r="M768" s="2">
        <f>(Table2[[#This Row],[Adjusted revenue]]-Table2[[#This Row],[budget]])/Table2[[#This Row],[budget]]</f>
        <v>9</v>
      </c>
      <c r="N768" t="str">
        <f t="shared" si="34"/>
        <v>OK</v>
      </c>
      <c r="O768" s="2">
        <f t="shared" si="35"/>
        <v>1</v>
      </c>
    </row>
    <row r="769" spans="1:15" x14ac:dyDescent="0.3">
      <c r="A769" t="s">
        <v>787</v>
      </c>
      <c r="B769" s="1">
        <v>45018</v>
      </c>
      <c r="C769" s="1">
        <v>45471</v>
      </c>
      <c r="D769">
        <v>36530.300000000003</v>
      </c>
      <c r="E769" s="2">
        <f>(Table2[[#This Row],[revenue]]-Table2[[#This Row],[budget]])/Table2[[#This Row],[budget]]</f>
        <v>11.787913321270286</v>
      </c>
      <c r="F769" t="s">
        <v>18</v>
      </c>
      <c r="G769" t="s">
        <v>15</v>
      </c>
      <c r="H769" t="s">
        <v>25</v>
      </c>
      <c r="I769">
        <v>0.13</v>
      </c>
      <c r="J769">
        <v>467146.31</v>
      </c>
      <c r="K769">
        <f>Table2[[#This Row],[revenue]]/Table2[[#This Row],[budget]]</f>
        <v>12.787913321270286</v>
      </c>
      <c r="L769" s="2">
        <f t="shared" si="33"/>
        <v>365303</v>
      </c>
      <c r="M769" s="2">
        <f>(Table2[[#This Row],[Adjusted revenue]]-Table2[[#This Row],[budget]])/Table2[[#This Row],[budget]]</f>
        <v>9</v>
      </c>
      <c r="N769" t="str">
        <f t="shared" si="34"/>
        <v>OK</v>
      </c>
      <c r="O769" s="2">
        <f t="shared" si="35"/>
        <v>1</v>
      </c>
    </row>
    <row r="770" spans="1:15" x14ac:dyDescent="0.3">
      <c r="A770" t="s">
        <v>788</v>
      </c>
      <c r="B770" s="1">
        <v>45079</v>
      </c>
      <c r="C770" s="1">
        <v>45478</v>
      </c>
      <c r="D770">
        <v>86154.71</v>
      </c>
      <c r="E770" s="2">
        <f>(Table2[[#This Row],[revenue]]-Table2[[#This Row],[budget]])/Table2[[#This Row],[budget]]</f>
        <v>10.22576119169805</v>
      </c>
      <c r="F770" t="s">
        <v>23</v>
      </c>
      <c r="G770" t="s">
        <v>12</v>
      </c>
      <c r="H770" t="s">
        <v>19</v>
      </c>
      <c r="I770">
        <v>0.8</v>
      </c>
      <c r="J770">
        <v>967152.2</v>
      </c>
      <c r="K770">
        <f>Table2[[#This Row],[revenue]]/Table2[[#This Row],[budget]]</f>
        <v>11.22576119169805</v>
      </c>
      <c r="L770" s="2">
        <f t="shared" ref="L770:L833" si="36">MIN(MAX(J770, D770*0.5), D770*10)</f>
        <v>861547.10000000009</v>
      </c>
      <c r="M770" s="2">
        <f>(Table2[[#This Row],[Adjusted revenue]]-Table2[[#This Row],[budget]])/Table2[[#This Row],[budget]]</f>
        <v>9</v>
      </c>
      <c r="N770" t="str">
        <f t="shared" ref="N770:N833" si="37">IF(M770&lt;0.5,"Failed",IF(M770&gt;10,"Suspicious","OK"))</f>
        <v>OK</v>
      </c>
      <c r="O770" s="2">
        <f t="shared" ref="O770:O833" si="38">((M770 - (-0.5)) / (9 - (-0.5))) * (1 - (-1)) + (-1)</f>
        <v>1</v>
      </c>
    </row>
    <row r="771" spans="1:15" x14ac:dyDescent="0.3">
      <c r="A771" t="s">
        <v>789</v>
      </c>
      <c r="B771" s="1">
        <v>44800</v>
      </c>
      <c r="C771" s="1">
        <v>45233</v>
      </c>
      <c r="D771">
        <v>88536.97</v>
      </c>
      <c r="E771" s="2">
        <f>(Table2[[#This Row],[revenue]]-Table2[[#This Row],[budget]])/Table2[[#This Row],[budget]]</f>
        <v>1.5917264844279173</v>
      </c>
      <c r="F771" t="s">
        <v>11</v>
      </c>
      <c r="G771" t="s">
        <v>12</v>
      </c>
      <c r="H771" t="s">
        <v>19</v>
      </c>
      <c r="I771">
        <v>0.92</v>
      </c>
      <c r="J771">
        <v>229463.61</v>
      </c>
      <c r="K771">
        <f>Table2[[#This Row],[revenue]]/Table2[[#This Row],[budget]]</f>
        <v>2.5917264844279173</v>
      </c>
      <c r="L771" s="2">
        <f t="shared" si="36"/>
        <v>229463.61</v>
      </c>
      <c r="M771" s="2">
        <f>(Table2[[#This Row],[Adjusted revenue]]-Table2[[#This Row],[budget]])/Table2[[#This Row],[budget]]</f>
        <v>1.5917264844279173</v>
      </c>
      <c r="N771" t="str">
        <f t="shared" si="37"/>
        <v>OK</v>
      </c>
      <c r="O771" s="2">
        <f t="shared" si="38"/>
        <v>-0.55963652959412269</v>
      </c>
    </row>
    <row r="772" spans="1:15" x14ac:dyDescent="0.3">
      <c r="A772" t="s">
        <v>790</v>
      </c>
      <c r="B772" s="1">
        <v>44812</v>
      </c>
      <c r="C772" s="1">
        <v>45287</v>
      </c>
      <c r="D772">
        <v>35256.99</v>
      </c>
      <c r="E772" s="2">
        <f>(Table2[[#This Row],[revenue]]-Table2[[#This Row],[budget]])/Table2[[#This Row],[budget]]</f>
        <v>15.740632992209488</v>
      </c>
      <c r="F772" t="s">
        <v>11</v>
      </c>
      <c r="G772" t="s">
        <v>12</v>
      </c>
      <c r="H772" t="s">
        <v>13</v>
      </c>
      <c r="I772">
        <v>0.7</v>
      </c>
      <c r="J772">
        <v>590224.32999999996</v>
      </c>
      <c r="K772">
        <f>Table2[[#This Row],[revenue]]/Table2[[#This Row],[budget]]</f>
        <v>16.740632992209488</v>
      </c>
      <c r="L772" s="2">
        <f t="shared" si="36"/>
        <v>352569.89999999997</v>
      </c>
      <c r="M772" s="2">
        <f>(Table2[[#This Row],[Adjusted revenue]]-Table2[[#This Row],[budget]])/Table2[[#This Row],[budget]]</f>
        <v>9</v>
      </c>
      <c r="N772" t="str">
        <f t="shared" si="37"/>
        <v>OK</v>
      </c>
      <c r="O772" s="2">
        <f t="shared" si="38"/>
        <v>1</v>
      </c>
    </row>
    <row r="773" spans="1:15" x14ac:dyDescent="0.3">
      <c r="A773" t="s">
        <v>791</v>
      </c>
      <c r="B773" s="1">
        <v>44867</v>
      </c>
      <c r="C773" s="1">
        <v>45490</v>
      </c>
      <c r="D773">
        <v>61599.99</v>
      </c>
      <c r="E773" s="2">
        <f>(Table2[[#This Row],[revenue]]-Table2[[#This Row],[budget]])/Table2[[#This Row],[budget]]</f>
        <v>5.4275253940787982</v>
      </c>
      <c r="F773" t="s">
        <v>21</v>
      </c>
      <c r="G773" t="s">
        <v>15</v>
      </c>
      <c r="H773" t="s">
        <v>13</v>
      </c>
      <c r="I773">
        <v>0.93</v>
      </c>
      <c r="J773">
        <v>395935.5</v>
      </c>
      <c r="K773">
        <f>Table2[[#This Row],[revenue]]/Table2[[#This Row],[budget]]</f>
        <v>6.4275253940787982</v>
      </c>
      <c r="L773" s="2">
        <f t="shared" si="36"/>
        <v>395935.5</v>
      </c>
      <c r="M773" s="2">
        <f>(Table2[[#This Row],[Adjusted revenue]]-Table2[[#This Row],[budget]])/Table2[[#This Row],[budget]]</f>
        <v>5.4275253940787982</v>
      </c>
      <c r="N773" t="str">
        <f t="shared" si="37"/>
        <v>OK</v>
      </c>
      <c r="O773" s="2">
        <f t="shared" si="38"/>
        <v>0.24790008296395749</v>
      </c>
    </row>
    <row r="774" spans="1:15" x14ac:dyDescent="0.3">
      <c r="A774" t="s">
        <v>792</v>
      </c>
      <c r="B774" s="1">
        <v>44845</v>
      </c>
      <c r="C774" s="1">
        <v>45458</v>
      </c>
      <c r="D774">
        <v>75404.87</v>
      </c>
      <c r="E774" s="2">
        <f>(Table2[[#This Row],[revenue]]-Table2[[#This Row],[budget]])/Table2[[#This Row],[budget]]</f>
        <v>0.75474501845835706</v>
      </c>
      <c r="F774" t="s">
        <v>11</v>
      </c>
      <c r="G774" t="s">
        <v>15</v>
      </c>
      <c r="H774" t="s">
        <v>25</v>
      </c>
      <c r="I774">
        <v>0.55000000000000004</v>
      </c>
      <c r="J774">
        <v>132316.32</v>
      </c>
      <c r="K774">
        <f>Table2[[#This Row],[revenue]]/Table2[[#This Row],[budget]]</f>
        <v>1.7547450184583571</v>
      </c>
      <c r="L774" s="2">
        <f t="shared" si="36"/>
        <v>132316.32</v>
      </c>
      <c r="M774" s="2">
        <f>(Table2[[#This Row],[Adjusted revenue]]-Table2[[#This Row],[budget]])/Table2[[#This Row],[budget]]</f>
        <v>0.75474501845835706</v>
      </c>
      <c r="N774" t="str">
        <f t="shared" si="37"/>
        <v>OK</v>
      </c>
      <c r="O774" s="2">
        <f t="shared" si="38"/>
        <v>-0.73584315400876688</v>
      </c>
    </row>
    <row r="775" spans="1:15" x14ac:dyDescent="0.3">
      <c r="A775" t="s">
        <v>793</v>
      </c>
      <c r="B775" s="1">
        <v>44953</v>
      </c>
      <c r="C775" s="1">
        <v>45376</v>
      </c>
      <c r="D775">
        <v>36063.47</v>
      </c>
      <c r="E775" s="2">
        <f>(Table2[[#This Row],[revenue]]-Table2[[#This Row],[budget]])/Table2[[#This Row],[budget]]</f>
        <v>19.283612198160629</v>
      </c>
      <c r="F775" t="s">
        <v>18</v>
      </c>
      <c r="G775" t="s">
        <v>15</v>
      </c>
      <c r="H775" t="s">
        <v>16</v>
      </c>
      <c r="I775">
        <v>0.67</v>
      </c>
      <c r="J775">
        <v>731497.44</v>
      </c>
      <c r="K775">
        <f>Table2[[#This Row],[revenue]]/Table2[[#This Row],[budget]]</f>
        <v>20.283612198160629</v>
      </c>
      <c r="L775" s="2">
        <f t="shared" si="36"/>
        <v>360634.7</v>
      </c>
      <c r="M775" s="2">
        <f>(Table2[[#This Row],[Adjusted revenue]]-Table2[[#This Row],[budget]])/Table2[[#This Row],[budget]]</f>
        <v>9</v>
      </c>
      <c r="N775" t="str">
        <f t="shared" si="37"/>
        <v>OK</v>
      </c>
      <c r="O775" s="2">
        <f t="shared" si="38"/>
        <v>1</v>
      </c>
    </row>
    <row r="776" spans="1:15" x14ac:dyDescent="0.3">
      <c r="A776" t="s">
        <v>794</v>
      </c>
      <c r="B776" s="1">
        <v>44872</v>
      </c>
      <c r="C776" s="1">
        <v>45389</v>
      </c>
      <c r="D776">
        <v>17378.68</v>
      </c>
      <c r="E776" s="2">
        <f>(Table2[[#This Row],[revenue]]-Table2[[#This Row],[budget]])/Table2[[#This Row],[budget]]</f>
        <v>41.976842890254034</v>
      </c>
      <c r="F776" t="s">
        <v>18</v>
      </c>
      <c r="G776" t="s">
        <v>12</v>
      </c>
      <c r="H776" t="s">
        <v>25</v>
      </c>
      <c r="I776">
        <v>0.88</v>
      </c>
      <c r="J776">
        <v>746880.8</v>
      </c>
      <c r="K776">
        <f>Table2[[#This Row],[revenue]]/Table2[[#This Row],[budget]]</f>
        <v>42.976842890254041</v>
      </c>
      <c r="L776" s="2">
        <f t="shared" si="36"/>
        <v>173786.8</v>
      </c>
      <c r="M776" s="2">
        <f>(Table2[[#This Row],[Adjusted revenue]]-Table2[[#This Row],[budget]])/Table2[[#This Row],[budget]]</f>
        <v>9</v>
      </c>
      <c r="N776" t="str">
        <f t="shared" si="37"/>
        <v>OK</v>
      </c>
      <c r="O776" s="2">
        <f t="shared" si="38"/>
        <v>1</v>
      </c>
    </row>
    <row r="777" spans="1:15" x14ac:dyDescent="0.3">
      <c r="A777" t="s">
        <v>795</v>
      </c>
      <c r="B777" s="1">
        <v>45044</v>
      </c>
      <c r="C777" s="1">
        <v>45344</v>
      </c>
      <c r="D777">
        <v>70575.100000000006</v>
      </c>
      <c r="E777" s="2">
        <f>(Table2[[#This Row],[revenue]]-Table2[[#This Row],[budget]])/Table2[[#This Row],[budget]]</f>
        <v>1.3963542382511678</v>
      </c>
      <c r="F777" t="s">
        <v>23</v>
      </c>
      <c r="G777" t="s">
        <v>12</v>
      </c>
      <c r="H777" t="s">
        <v>19</v>
      </c>
      <c r="I777">
        <v>0.62</v>
      </c>
      <c r="J777">
        <v>169122.94</v>
      </c>
      <c r="K777">
        <f>Table2[[#This Row],[revenue]]/Table2[[#This Row],[budget]]</f>
        <v>2.3963542382511678</v>
      </c>
      <c r="L777" s="2">
        <f t="shared" si="36"/>
        <v>169122.94</v>
      </c>
      <c r="M777" s="2">
        <f>(Table2[[#This Row],[Adjusted revenue]]-Table2[[#This Row],[budget]])/Table2[[#This Row],[budget]]</f>
        <v>1.3963542382511678</v>
      </c>
      <c r="N777" t="str">
        <f t="shared" si="37"/>
        <v>OK</v>
      </c>
      <c r="O777" s="2">
        <f t="shared" si="38"/>
        <v>-0.60076752878922779</v>
      </c>
    </row>
    <row r="778" spans="1:15" x14ac:dyDescent="0.3">
      <c r="A778" t="s">
        <v>796</v>
      </c>
      <c r="B778" s="1">
        <v>44949</v>
      </c>
      <c r="C778" s="1">
        <v>45208</v>
      </c>
      <c r="D778">
        <v>75677.679999999993</v>
      </c>
      <c r="E778" s="2">
        <f>(Table2[[#This Row],[revenue]]-Table2[[#This Row],[budget]])/Table2[[#This Row],[budget]]</f>
        <v>6.94939128683649</v>
      </c>
      <c r="F778" t="s">
        <v>23</v>
      </c>
      <c r="G778" t="s">
        <v>12</v>
      </c>
      <c r="H778" t="s">
        <v>19</v>
      </c>
      <c r="I778">
        <v>0.16</v>
      </c>
      <c r="J778">
        <v>601591.49</v>
      </c>
      <c r="K778">
        <f>Table2[[#This Row],[revenue]]/Table2[[#This Row],[budget]]</f>
        <v>7.9493912868364891</v>
      </c>
      <c r="L778" s="2">
        <f t="shared" si="36"/>
        <v>601591.49</v>
      </c>
      <c r="M778" s="2">
        <f>(Table2[[#This Row],[Adjusted revenue]]-Table2[[#This Row],[budget]])/Table2[[#This Row],[budget]]</f>
        <v>6.94939128683649</v>
      </c>
      <c r="N778" t="str">
        <f t="shared" si="37"/>
        <v>OK</v>
      </c>
      <c r="O778" s="2">
        <f t="shared" si="38"/>
        <v>0.56829290249189257</v>
      </c>
    </row>
    <row r="779" spans="1:15" x14ac:dyDescent="0.3">
      <c r="A779" t="s">
        <v>797</v>
      </c>
      <c r="B779" s="1">
        <v>44949</v>
      </c>
      <c r="C779" s="1">
        <v>45203</v>
      </c>
      <c r="D779">
        <v>20309.3</v>
      </c>
      <c r="E779" s="2">
        <f>(Table2[[#This Row],[revenue]]-Table2[[#This Row],[budget]])/Table2[[#This Row],[budget]]</f>
        <v>41.09420462546715</v>
      </c>
      <c r="F779" t="s">
        <v>21</v>
      </c>
      <c r="G779" t="s">
        <v>12</v>
      </c>
      <c r="H779" t="s">
        <v>16</v>
      </c>
      <c r="I779">
        <v>0.84</v>
      </c>
      <c r="J779">
        <v>854903.83</v>
      </c>
      <c r="K779">
        <f>Table2[[#This Row],[revenue]]/Table2[[#This Row],[budget]]</f>
        <v>42.09420462546715</v>
      </c>
      <c r="L779" s="2">
        <f t="shared" si="36"/>
        <v>203093</v>
      </c>
      <c r="M779" s="2">
        <f>(Table2[[#This Row],[Adjusted revenue]]-Table2[[#This Row],[budget]])/Table2[[#This Row],[budget]]</f>
        <v>9.0000000000000018</v>
      </c>
      <c r="N779" t="str">
        <f t="shared" si="37"/>
        <v>OK</v>
      </c>
      <c r="O779" s="2">
        <f t="shared" si="38"/>
        <v>1.0000000000000004</v>
      </c>
    </row>
    <row r="780" spans="1:15" x14ac:dyDescent="0.3">
      <c r="A780" t="s">
        <v>798</v>
      </c>
      <c r="B780" s="1">
        <v>45090</v>
      </c>
      <c r="C780" s="1">
        <v>45408</v>
      </c>
      <c r="D780">
        <v>76484.11</v>
      </c>
      <c r="E780" s="2">
        <f>(Table2[[#This Row],[revenue]]-Table2[[#This Row],[budget]])/Table2[[#This Row],[budget]]</f>
        <v>-0.68140820361248888</v>
      </c>
      <c r="F780" t="s">
        <v>18</v>
      </c>
      <c r="G780" t="s">
        <v>12</v>
      </c>
      <c r="H780" t="s">
        <v>19</v>
      </c>
      <c r="I780">
        <v>0.41</v>
      </c>
      <c r="J780">
        <v>24367.21</v>
      </c>
      <c r="K780">
        <f>Table2[[#This Row],[revenue]]/Table2[[#This Row],[budget]]</f>
        <v>0.31859179638751106</v>
      </c>
      <c r="L780" s="2">
        <f t="shared" si="36"/>
        <v>38242.055</v>
      </c>
      <c r="M780" s="2">
        <f>(Table2[[#This Row],[Adjusted revenue]]-Table2[[#This Row],[budget]])/Table2[[#This Row],[budget]]</f>
        <v>-0.5</v>
      </c>
      <c r="N780" t="str">
        <f t="shared" si="37"/>
        <v>Failed</v>
      </c>
      <c r="O780" s="2">
        <f t="shared" si="38"/>
        <v>-1</v>
      </c>
    </row>
    <row r="781" spans="1:15" x14ac:dyDescent="0.3">
      <c r="A781" t="s">
        <v>799</v>
      </c>
      <c r="B781" s="1">
        <v>44887</v>
      </c>
      <c r="C781" s="1">
        <v>45399</v>
      </c>
      <c r="D781">
        <v>20983.45</v>
      </c>
      <c r="E781" s="2">
        <f>(Table2[[#This Row],[revenue]]-Table2[[#This Row],[budget]])/Table2[[#This Row],[budget]]</f>
        <v>33.056771407942932</v>
      </c>
      <c r="F781" t="s">
        <v>21</v>
      </c>
      <c r="G781" t="s">
        <v>15</v>
      </c>
      <c r="H781" t="s">
        <v>16</v>
      </c>
      <c r="I781">
        <v>0.94</v>
      </c>
      <c r="J781">
        <v>714628.56</v>
      </c>
      <c r="K781">
        <f>Table2[[#This Row],[revenue]]/Table2[[#This Row],[budget]]</f>
        <v>34.056771407942925</v>
      </c>
      <c r="L781" s="2">
        <f t="shared" si="36"/>
        <v>209834.5</v>
      </c>
      <c r="M781" s="2">
        <f>(Table2[[#This Row],[Adjusted revenue]]-Table2[[#This Row],[budget]])/Table2[[#This Row],[budget]]</f>
        <v>9</v>
      </c>
      <c r="N781" t="str">
        <f t="shared" si="37"/>
        <v>OK</v>
      </c>
      <c r="O781" s="2">
        <f t="shared" si="38"/>
        <v>1</v>
      </c>
    </row>
    <row r="782" spans="1:15" x14ac:dyDescent="0.3">
      <c r="A782" t="s">
        <v>800</v>
      </c>
      <c r="B782" s="1">
        <v>44809</v>
      </c>
      <c r="C782" s="1">
        <v>45209</v>
      </c>
      <c r="D782">
        <v>23498.46</v>
      </c>
      <c r="E782" s="2">
        <f>(Table2[[#This Row],[revenue]]-Table2[[#This Row],[budget]])/Table2[[#This Row],[budget]]</f>
        <v>27.077678281895921</v>
      </c>
      <c r="F782" t="s">
        <v>18</v>
      </c>
      <c r="G782" t="s">
        <v>15</v>
      </c>
      <c r="H782" t="s">
        <v>13</v>
      </c>
      <c r="I782">
        <v>0.32</v>
      </c>
      <c r="J782">
        <v>659782.19999999995</v>
      </c>
      <c r="K782">
        <f>Table2[[#This Row],[revenue]]/Table2[[#This Row],[budget]]</f>
        <v>28.077678281895921</v>
      </c>
      <c r="L782" s="2">
        <f t="shared" si="36"/>
        <v>234984.59999999998</v>
      </c>
      <c r="M782" s="2">
        <f>(Table2[[#This Row],[Adjusted revenue]]-Table2[[#This Row],[budget]])/Table2[[#This Row],[budget]]</f>
        <v>9</v>
      </c>
      <c r="N782" t="str">
        <f t="shared" si="37"/>
        <v>OK</v>
      </c>
      <c r="O782" s="2">
        <f t="shared" si="38"/>
        <v>1</v>
      </c>
    </row>
    <row r="783" spans="1:15" x14ac:dyDescent="0.3">
      <c r="A783" t="s">
        <v>801</v>
      </c>
      <c r="B783" s="1">
        <v>45003</v>
      </c>
      <c r="C783" s="1">
        <v>45233</v>
      </c>
      <c r="D783">
        <v>40761.620000000003</v>
      </c>
      <c r="E783" s="2">
        <f>(Table2[[#This Row],[revenue]]-Table2[[#This Row],[budget]])/Table2[[#This Row],[budget]]</f>
        <v>12.481276504712032</v>
      </c>
      <c r="F783" t="s">
        <v>11</v>
      </c>
      <c r="G783" t="s">
        <v>12</v>
      </c>
      <c r="H783" t="s">
        <v>25</v>
      </c>
      <c r="I783">
        <v>0.74</v>
      </c>
      <c r="J783">
        <v>549518.67000000004</v>
      </c>
      <c r="K783">
        <f>Table2[[#This Row],[revenue]]/Table2[[#This Row],[budget]]</f>
        <v>13.481276504712032</v>
      </c>
      <c r="L783" s="2">
        <f t="shared" si="36"/>
        <v>407616.2</v>
      </c>
      <c r="M783" s="2">
        <f>(Table2[[#This Row],[Adjusted revenue]]-Table2[[#This Row],[budget]])/Table2[[#This Row],[budget]]</f>
        <v>9</v>
      </c>
      <c r="N783" t="str">
        <f t="shared" si="37"/>
        <v>OK</v>
      </c>
      <c r="O783" s="2">
        <f t="shared" si="38"/>
        <v>1</v>
      </c>
    </row>
    <row r="784" spans="1:15" x14ac:dyDescent="0.3">
      <c r="A784" t="s">
        <v>802</v>
      </c>
      <c r="B784" s="1">
        <v>44951</v>
      </c>
      <c r="C784" s="1">
        <v>45154</v>
      </c>
      <c r="D784">
        <v>50624.24</v>
      </c>
      <c r="E784" s="2">
        <f>(Table2[[#This Row],[revenue]]-Table2[[#This Row],[budget]])/Table2[[#This Row],[budget]]</f>
        <v>-0.72188026921490578</v>
      </c>
      <c r="F784" t="s">
        <v>21</v>
      </c>
      <c r="G784" t="s">
        <v>15</v>
      </c>
      <c r="H784" t="s">
        <v>25</v>
      </c>
      <c r="I784">
        <v>0.57999999999999996</v>
      </c>
      <c r="J784">
        <v>14079.6</v>
      </c>
      <c r="K784">
        <f>Table2[[#This Row],[revenue]]/Table2[[#This Row],[budget]]</f>
        <v>0.27811973078509428</v>
      </c>
      <c r="L784" s="2">
        <f t="shared" si="36"/>
        <v>25312.12</v>
      </c>
      <c r="M784" s="2">
        <f>(Table2[[#This Row],[Adjusted revenue]]-Table2[[#This Row],[budget]])/Table2[[#This Row],[budget]]</f>
        <v>-0.5</v>
      </c>
      <c r="N784" t="str">
        <f t="shared" si="37"/>
        <v>Failed</v>
      </c>
      <c r="O784" s="2">
        <f t="shared" si="38"/>
        <v>-1</v>
      </c>
    </row>
    <row r="785" spans="1:15" x14ac:dyDescent="0.3">
      <c r="A785" t="s">
        <v>803</v>
      </c>
      <c r="B785" s="1">
        <v>45077</v>
      </c>
      <c r="C785" s="1">
        <v>45416</v>
      </c>
      <c r="D785">
        <v>29528.87</v>
      </c>
      <c r="E785" s="2">
        <f>(Table2[[#This Row],[revenue]]-Table2[[#This Row],[budget]])/Table2[[#This Row],[budget]]</f>
        <v>17.641775320220518</v>
      </c>
      <c r="F785" t="s">
        <v>18</v>
      </c>
      <c r="G785" t="s">
        <v>15</v>
      </c>
      <c r="H785" t="s">
        <v>16</v>
      </c>
      <c r="I785">
        <v>0.78</v>
      </c>
      <c r="J785">
        <v>550470.56000000006</v>
      </c>
      <c r="K785">
        <f>Table2[[#This Row],[revenue]]/Table2[[#This Row],[budget]]</f>
        <v>18.641775320220518</v>
      </c>
      <c r="L785" s="2">
        <f t="shared" si="36"/>
        <v>295288.7</v>
      </c>
      <c r="M785" s="2">
        <f>(Table2[[#This Row],[Adjusted revenue]]-Table2[[#This Row],[budget]])/Table2[[#This Row],[budget]]</f>
        <v>9</v>
      </c>
      <c r="N785" t="str">
        <f t="shared" si="37"/>
        <v>OK</v>
      </c>
      <c r="O785" s="2">
        <f t="shared" si="38"/>
        <v>1</v>
      </c>
    </row>
    <row r="786" spans="1:15" x14ac:dyDescent="0.3">
      <c r="A786" t="s">
        <v>804</v>
      </c>
      <c r="B786" s="1">
        <v>45133</v>
      </c>
      <c r="C786" s="1">
        <v>45345</v>
      </c>
      <c r="D786">
        <v>71620.59</v>
      </c>
      <c r="E786" s="2">
        <f>(Table2[[#This Row],[revenue]]-Table2[[#This Row],[budget]])/Table2[[#This Row],[budget]]</f>
        <v>11.178668452745224</v>
      </c>
      <c r="F786" t="s">
        <v>11</v>
      </c>
      <c r="G786" t="s">
        <v>15</v>
      </c>
      <c r="H786" t="s">
        <v>25</v>
      </c>
      <c r="I786">
        <v>0.38</v>
      </c>
      <c r="J786">
        <v>872243.42</v>
      </c>
      <c r="K786">
        <f>Table2[[#This Row],[revenue]]/Table2[[#This Row],[budget]]</f>
        <v>12.178668452745224</v>
      </c>
      <c r="L786" s="2">
        <f t="shared" si="36"/>
        <v>716205.89999999991</v>
      </c>
      <c r="M786" s="2">
        <f>(Table2[[#This Row],[Adjusted revenue]]-Table2[[#This Row],[budget]])/Table2[[#This Row],[budget]]</f>
        <v>9</v>
      </c>
      <c r="N786" t="str">
        <f t="shared" si="37"/>
        <v>OK</v>
      </c>
      <c r="O786" s="2">
        <f t="shared" si="38"/>
        <v>1</v>
      </c>
    </row>
    <row r="787" spans="1:15" x14ac:dyDescent="0.3">
      <c r="A787" t="s">
        <v>805</v>
      </c>
      <c r="B787" s="1">
        <v>45091</v>
      </c>
      <c r="C787" s="1">
        <v>45188</v>
      </c>
      <c r="D787">
        <v>65007.53</v>
      </c>
      <c r="E787" s="2">
        <f>(Table2[[#This Row],[revenue]]-Table2[[#This Row],[budget]])/Table2[[#This Row],[budget]]</f>
        <v>5.6013535662714773</v>
      </c>
      <c r="F787" t="s">
        <v>11</v>
      </c>
      <c r="G787" t="s">
        <v>12</v>
      </c>
      <c r="H787" t="s">
        <v>16</v>
      </c>
      <c r="I787">
        <v>0.99</v>
      </c>
      <c r="J787">
        <v>429137.69</v>
      </c>
      <c r="K787">
        <f>Table2[[#This Row],[revenue]]/Table2[[#This Row],[budget]]</f>
        <v>6.6013535662714764</v>
      </c>
      <c r="L787" s="2">
        <f t="shared" si="36"/>
        <v>429137.69</v>
      </c>
      <c r="M787" s="2">
        <f>(Table2[[#This Row],[Adjusted revenue]]-Table2[[#This Row],[budget]])/Table2[[#This Row],[budget]]</f>
        <v>5.6013535662714773</v>
      </c>
      <c r="N787" t="str">
        <f t="shared" si="37"/>
        <v>OK</v>
      </c>
      <c r="O787" s="2">
        <f t="shared" si="38"/>
        <v>0.28449548763610055</v>
      </c>
    </row>
    <row r="788" spans="1:15" x14ac:dyDescent="0.3">
      <c r="A788" t="s">
        <v>806</v>
      </c>
      <c r="B788" s="1">
        <v>44985</v>
      </c>
      <c r="C788" s="1">
        <v>45408</v>
      </c>
      <c r="D788">
        <v>88865.19</v>
      </c>
      <c r="E788" s="2">
        <f>(Table2[[#This Row],[revenue]]-Table2[[#This Row],[budget]])/Table2[[#This Row],[budget]]</f>
        <v>3.2691399185665388</v>
      </c>
      <c r="F788" t="s">
        <v>11</v>
      </c>
      <c r="G788" t="s">
        <v>12</v>
      </c>
      <c r="H788" t="s">
        <v>25</v>
      </c>
      <c r="I788">
        <v>0.4</v>
      </c>
      <c r="J788">
        <v>379377.93</v>
      </c>
      <c r="K788">
        <f>Table2[[#This Row],[revenue]]/Table2[[#This Row],[budget]]</f>
        <v>4.2691399185665384</v>
      </c>
      <c r="L788" s="2">
        <f t="shared" si="36"/>
        <v>379377.93</v>
      </c>
      <c r="M788" s="2">
        <f>(Table2[[#This Row],[Adjusted revenue]]-Table2[[#This Row],[budget]])/Table2[[#This Row],[budget]]</f>
        <v>3.2691399185665388</v>
      </c>
      <c r="N788" t="str">
        <f t="shared" si="37"/>
        <v>OK</v>
      </c>
      <c r="O788" s="2">
        <f t="shared" si="38"/>
        <v>-0.20649685924914973</v>
      </c>
    </row>
    <row r="789" spans="1:15" x14ac:dyDescent="0.3">
      <c r="A789" t="s">
        <v>807</v>
      </c>
      <c r="B789" s="1">
        <v>45112</v>
      </c>
      <c r="C789" s="1">
        <v>45417</v>
      </c>
      <c r="D789">
        <v>29838.85</v>
      </c>
      <c r="E789" s="2">
        <f>(Table2[[#This Row],[revenue]]-Table2[[#This Row],[budget]])/Table2[[#This Row],[budget]]</f>
        <v>23.23829403613075</v>
      </c>
      <c r="F789" t="s">
        <v>21</v>
      </c>
      <c r="G789" t="s">
        <v>15</v>
      </c>
      <c r="H789" t="s">
        <v>19</v>
      </c>
      <c r="I789">
        <v>0.4</v>
      </c>
      <c r="J789">
        <v>723242.82</v>
      </c>
      <c r="K789">
        <f>Table2[[#This Row],[revenue]]/Table2[[#This Row],[budget]]</f>
        <v>24.23829403613075</v>
      </c>
      <c r="L789" s="2">
        <f t="shared" si="36"/>
        <v>298388.5</v>
      </c>
      <c r="M789" s="2">
        <f>(Table2[[#This Row],[Adjusted revenue]]-Table2[[#This Row],[budget]])/Table2[[#This Row],[budget]]</f>
        <v>9.0000000000000018</v>
      </c>
      <c r="N789" t="str">
        <f t="shared" si="37"/>
        <v>OK</v>
      </c>
      <c r="O789" s="2">
        <f t="shared" si="38"/>
        <v>1.0000000000000004</v>
      </c>
    </row>
    <row r="790" spans="1:15" x14ac:dyDescent="0.3">
      <c r="A790" t="s">
        <v>808</v>
      </c>
      <c r="B790" s="1">
        <v>44828</v>
      </c>
      <c r="C790" s="1">
        <v>45451</v>
      </c>
      <c r="D790">
        <v>82727.289999999994</v>
      </c>
      <c r="E790" s="2">
        <f>(Table2[[#This Row],[revenue]]-Table2[[#This Row],[budget]])/Table2[[#This Row],[budget]]</f>
        <v>8.7186999598318771</v>
      </c>
      <c r="F790" t="s">
        <v>18</v>
      </c>
      <c r="G790" t="s">
        <v>12</v>
      </c>
      <c r="H790" t="s">
        <v>13</v>
      </c>
      <c r="I790">
        <v>0.21</v>
      </c>
      <c r="J790">
        <v>804001.71</v>
      </c>
      <c r="K790">
        <f>Table2[[#This Row],[revenue]]/Table2[[#This Row],[budget]]</f>
        <v>9.7186999598318771</v>
      </c>
      <c r="L790" s="2">
        <f t="shared" si="36"/>
        <v>804001.71</v>
      </c>
      <c r="M790" s="2">
        <f>(Table2[[#This Row],[Adjusted revenue]]-Table2[[#This Row],[budget]])/Table2[[#This Row],[budget]]</f>
        <v>8.7186999598318771</v>
      </c>
      <c r="N790" t="str">
        <f t="shared" si="37"/>
        <v>OK</v>
      </c>
      <c r="O790" s="2">
        <f t="shared" si="38"/>
        <v>0.94077893891197406</v>
      </c>
    </row>
    <row r="791" spans="1:15" x14ac:dyDescent="0.3">
      <c r="A791" t="s">
        <v>809</v>
      </c>
      <c r="B791" s="1">
        <v>44989</v>
      </c>
      <c r="C791" s="1">
        <v>45239</v>
      </c>
      <c r="D791">
        <v>40776.29</v>
      </c>
      <c r="E791" s="2">
        <f>(Table2[[#This Row],[revenue]]-Table2[[#This Row],[budget]])/Table2[[#This Row],[budget]]</f>
        <v>19.438098218351886</v>
      </c>
      <c r="F791" t="s">
        <v>11</v>
      </c>
      <c r="G791" t="s">
        <v>15</v>
      </c>
      <c r="H791" t="s">
        <v>16</v>
      </c>
      <c r="I791">
        <v>0.2</v>
      </c>
      <c r="J791">
        <v>833389.82</v>
      </c>
      <c r="K791">
        <f>Table2[[#This Row],[revenue]]/Table2[[#This Row],[budget]]</f>
        <v>20.43809821835189</v>
      </c>
      <c r="L791" s="2">
        <f t="shared" si="36"/>
        <v>407762.9</v>
      </c>
      <c r="M791" s="2">
        <f>(Table2[[#This Row],[Adjusted revenue]]-Table2[[#This Row],[budget]])/Table2[[#This Row],[budget]]</f>
        <v>9.0000000000000018</v>
      </c>
      <c r="N791" t="str">
        <f t="shared" si="37"/>
        <v>OK</v>
      </c>
      <c r="O791" s="2">
        <f t="shared" si="38"/>
        <v>1.0000000000000004</v>
      </c>
    </row>
    <row r="792" spans="1:15" x14ac:dyDescent="0.3">
      <c r="A792" t="s">
        <v>810</v>
      </c>
      <c r="B792" s="1">
        <v>44799</v>
      </c>
      <c r="C792" s="1">
        <v>45294</v>
      </c>
      <c r="D792">
        <v>28192.89</v>
      </c>
      <c r="E792" s="2">
        <f>(Table2[[#This Row],[revenue]]-Table2[[#This Row],[budget]])/Table2[[#This Row],[budget]]</f>
        <v>30.650965190159649</v>
      </c>
      <c r="F792" t="s">
        <v>23</v>
      </c>
      <c r="G792" t="s">
        <v>15</v>
      </c>
      <c r="H792" t="s">
        <v>13</v>
      </c>
      <c r="I792">
        <v>0.1</v>
      </c>
      <c r="J792">
        <v>892332.18</v>
      </c>
      <c r="K792">
        <f>Table2[[#This Row],[revenue]]/Table2[[#This Row],[budget]]</f>
        <v>31.650965190159649</v>
      </c>
      <c r="L792" s="2">
        <f t="shared" si="36"/>
        <v>281928.90000000002</v>
      </c>
      <c r="M792" s="2">
        <f>(Table2[[#This Row],[Adjusted revenue]]-Table2[[#This Row],[budget]])/Table2[[#This Row],[budget]]</f>
        <v>9</v>
      </c>
      <c r="N792" t="str">
        <f t="shared" si="37"/>
        <v>OK</v>
      </c>
      <c r="O792" s="2">
        <f t="shared" si="38"/>
        <v>1</v>
      </c>
    </row>
    <row r="793" spans="1:15" x14ac:dyDescent="0.3">
      <c r="A793" t="s">
        <v>811</v>
      </c>
      <c r="B793" s="1">
        <v>44862</v>
      </c>
      <c r="C793" s="1">
        <v>45416</v>
      </c>
      <c r="D793">
        <v>11711.34</v>
      </c>
      <c r="E793" s="2">
        <f>(Table2[[#This Row],[revenue]]-Table2[[#This Row],[budget]])/Table2[[#This Row],[budget]]</f>
        <v>82.299548984146995</v>
      </c>
      <c r="F793" t="s">
        <v>23</v>
      </c>
      <c r="G793" t="s">
        <v>12</v>
      </c>
      <c r="H793" t="s">
        <v>13</v>
      </c>
      <c r="I793">
        <v>0.26</v>
      </c>
      <c r="J793">
        <v>975549.34</v>
      </c>
      <c r="K793">
        <f>Table2[[#This Row],[revenue]]/Table2[[#This Row],[budget]]</f>
        <v>83.299548984146981</v>
      </c>
      <c r="L793" s="2">
        <f t="shared" si="36"/>
        <v>117113.4</v>
      </c>
      <c r="M793" s="2">
        <f>(Table2[[#This Row],[Adjusted revenue]]-Table2[[#This Row],[budget]])/Table2[[#This Row],[budget]]</f>
        <v>9</v>
      </c>
      <c r="N793" t="str">
        <f t="shared" si="37"/>
        <v>OK</v>
      </c>
      <c r="O793" s="2">
        <f t="shared" si="38"/>
        <v>1</v>
      </c>
    </row>
    <row r="794" spans="1:15" x14ac:dyDescent="0.3">
      <c r="A794" t="s">
        <v>812</v>
      </c>
      <c r="B794" s="1">
        <v>44919</v>
      </c>
      <c r="C794" s="1">
        <v>45267</v>
      </c>
      <c r="D794">
        <v>46790.73</v>
      </c>
      <c r="E794" s="2">
        <f>(Table2[[#This Row],[revenue]]-Table2[[#This Row],[budget]])/Table2[[#This Row],[budget]]</f>
        <v>16.284596542947718</v>
      </c>
      <c r="F794" t="s">
        <v>23</v>
      </c>
      <c r="G794" t="s">
        <v>15</v>
      </c>
      <c r="H794" t="s">
        <v>16</v>
      </c>
      <c r="I794">
        <v>0.79</v>
      </c>
      <c r="J794">
        <v>808758.89</v>
      </c>
      <c r="K794">
        <f>Table2[[#This Row],[revenue]]/Table2[[#This Row],[budget]]</f>
        <v>17.284596542947714</v>
      </c>
      <c r="L794" s="2">
        <f t="shared" si="36"/>
        <v>467907.30000000005</v>
      </c>
      <c r="M794" s="2">
        <f>(Table2[[#This Row],[Adjusted revenue]]-Table2[[#This Row],[budget]])/Table2[[#This Row],[budget]]</f>
        <v>9</v>
      </c>
      <c r="N794" t="str">
        <f t="shared" si="37"/>
        <v>OK</v>
      </c>
      <c r="O794" s="2">
        <f t="shared" si="38"/>
        <v>1</v>
      </c>
    </row>
    <row r="795" spans="1:15" x14ac:dyDescent="0.3">
      <c r="A795" t="s">
        <v>813</v>
      </c>
      <c r="B795" s="1">
        <v>44842</v>
      </c>
      <c r="C795" s="1">
        <v>45482</v>
      </c>
      <c r="D795">
        <v>43946.75</v>
      </c>
      <c r="E795" s="2">
        <f>(Table2[[#This Row],[revenue]]-Table2[[#This Row],[budget]])/Table2[[#This Row],[budget]]</f>
        <v>15.817386041061056</v>
      </c>
      <c r="F795" t="s">
        <v>11</v>
      </c>
      <c r="G795" t="s">
        <v>12</v>
      </c>
      <c r="H795" t="s">
        <v>19</v>
      </c>
      <c r="I795">
        <v>0</v>
      </c>
      <c r="J795">
        <v>739069.46</v>
      </c>
      <c r="K795">
        <f>Table2[[#This Row],[revenue]]/Table2[[#This Row],[budget]]</f>
        <v>16.817386041061056</v>
      </c>
      <c r="L795" s="2">
        <f t="shared" si="36"/>
        <v>439467.5</v>
      </c>
      <c r="M795" s="2">
        <f>(Table2[[#This Row],[Adjusted revenue]]-Table2[[#This Row],[budget]])/Table2[[#This Row],[budget]]</f>
        <v>9</v>
      </c>
      <c r="N795" t="str">
        <f t="shared" si="37"/>
        <v>OK</v>
      </c>
      <c r="O795" s="2">
        <f t="shared" si="38"/>
        <v>1</v>
      </c>
    </row>
    <row r="796" spans="1:15" x14ac:dyDescent="0.3">
      <c r="A796" t="s">
        <v>814</v>
      </c>
      <c r="B796" s="1">
        <v>44814</v>
      </c>
      <c r="C796" s="1">
        <v>45254</v>
      </c>
      <c r="D796">
        <v>49546.42</v>
      </c>
      <c r="E796" s="2">
        <f>(Table2[[#This Row],[revenue]]-Table2[[#This Row],[budget]])/Table2[[#This Row],[budget]]</f>
        <v>15.90871671454769</v>
      </c>
      <c r="F796" t="s">
        <v>23</v>
      </c>
      <c r="G796" t="s">
        <v>15</v>
      </c>
      <c r="H796" t="s">
        <v>13</v>
      </c>
      <c r="I796">
        <v>0.26</v>
      </c>
      <c r="J796">
        <v>837766.38</v>
      </c>
      <c r="K796">
        <f>Table2[[#This Row],[revenue]]/Table2[[#This Row],[budget]]</f>
        <v>16.90871671454769</v>
      </c>
      <c r="L796" s="2">
        <f t="shared" si="36"/>
        <v>495464.19999999995</v>
      </c>
      <c r="M796" s="2">
        <f>(Table2[[#This Row],[Adjusted revenue]]-Table2[[#This Row],[budget]])/Table2[[#This Row],[budget]]</f>
        <v>9</v>
      </c>
      <c r="N796" t="str">
        <f t="shared" si="37"/>
        <v>OK</v>
      </c>
      <c r="O796" s="2">
        <f t="shared" si="38"/>
        <v>1</v>
      </c>
    </row>
    <row r="797" spans="1:15" x14ac:dyDescent="0.3">
      <c r="A797" t="s">
        <v>815</v>
      </c>
      <c r="B797" s="1">
        <v>44787</v>
      </c>
      <c r="C797" s="1">
        <v>45296</v>
      </c>
      <c r="D797">
        <v>9472.4500000000007</v>
      </c>
      <c r="E797" s="2">
        <f>(Table2[[#This Row],[revenue]]-Table2[[#This Row],[budget]])/Table2[[#This Row],[budget]]</f>
        <v>72.384910978680281</v>
      </c>
      <c r="F797" t="s">
        <v>18</v>
      </c>
      <c r="G797" t="s">
        <v>12</v>
      </c>
      <c r="H797" t="s">
        <v>19</v>
      </c>
      <c r="I797">
        <v>0.77</v>
      </c>
      <c r="J797">
        <v>695134.9</v>
      </c>
      <c r="K797">
        <f>Table2[[#This Row],[revenue]]/Table2[[#This Row],[budget]]</f>
        <v>73.384910978680281</v>
      </c>
      <c r="L797" s="2">
        <f t="shared" si="36"/>
        <v>94724.5</v>
      </c>
      <c r="M797" s="2">
        <f>(Table2[[#This Row],[Adjusted revenue]]-Table2[[#This Row],[budget]])/Table2[[#This Row],[budget]]</f>
        <v>9</v>
      </c>
      <c r="N797" t="str">
        <f t="shared" si="37"/>
        <v>OK</v>
      </c>
      <c r="O797" s="2">
        <f t="shared" si="38"/>
        <v>1</v>
      </c>
    </row>
    <row r="798" spans="1:15" x14ac:dyDescent="0.3">
      <c r="A798" t="s">
        <v>816</v>
      </c>
      <c r="B798" s="1">
        <v>44795</v>
      </c>
      <c r="C798" s="1">
        <v>45247</v>
      </c>
      <c r="D798">
        <v>41792.480000000003</v>
      </c>
      <c r="E798" s="2">
        <f>(Table2[[#This Row],[revenue]]-Table2[[#This Row],[budget]])/Table2[[#This Row],[budget]]</f>
        <v>17.194673778631945</v>
      </c>
      <c r="F798" t="s">
        <v>18</v>
      </c>
      <c r="G798" t="s">
        <v>15</v>
      </c>
      <c r="H798" t="s">
        <v>16</v>
      </c>
      <c r="I798">
        <v>0.28000000000000003</v>
      </c>
      <c r="J798">
        <v>760400.54</v>
      </c>
      <c r="K798">
        <f>Table2[[#This Row],[revenue]]/Table2[[#This Row],[budget]]</f>
        <v>18.194673778631945</v>
      </c>
      <c r="L798" s="2">
        <f t="shared" si="36"/>
        <v>417924.80000000005</v>
      </c>
      <c r="M798" s="2">
        <f>(Table2[[#This Row],[Adjusted revenue]]-Table2[[#This Row],[budget]])/Table2[[#This Row],[budget]]</f>
        <v>9</v>
      </c>
      <c r="N798" t="str">
        <f t="shared" si="37"/>
        <v>OK</v>
      </c>
      <c r="O798" s="2">
        <f t="shared" si="38"/>
        <v>1</v>
      </c>
    </row>
    <row r="799" spans="1:15" x14ac:dyDescent="0.3">
      <c r="A799" t="s">
        <v>817</v>
      </c>
      <c r="B799" s="1">
        <v>45084</v>
      </c>
      <c r="C799" s="1">
        <v>45222</v>
      </c>
      <c r="D799">
        <v>92997.45</v>
      </c>
      <c r="E799" s="2">
        <f>(Table2[[#This Row],[revenue]]-Table2[[#This Row],[budget]])/Table2[[#This Row],[budget]]</f>
        <v>7.376798826204376</v>
      </c>
      <c r="F799" t="s">
        <v>18</v>
      </c>
      <c r="G799" t="s">
        <v>12</v>
      </c>
      <c r="H799" t="s">
        <v>25</v>
      </c>
      <c r="I799">
        <v>0.51</v>
      </c>
      <c r="J799">
        <v>779020.93</v>
      </c>
      <c r="K799">
        <f>Table2[[#This Row],[revenue]]/Table2[[#This Row],[budget]]</f>
        <v>8.3767988262043751</v>
      </c>
      <c r="L799" s="2">
        <f t="shared" si="36"/>
        <v>779020.93</v>
      </c>
      <c r="M799" s="2">
        <f>(Table2[[#This Row],[Adjusted revenue]]-Table2[[#This Row],[budget]])/Table2[[#This Row],[budget]]</f>
        <v>7.376798826204376</v>
      </c>
      <c r="N799" t="str">
        <f t="shared" si="37"/>
        <v>OK</v>
      </c>
      <c r="O799" s="2">
        <f t="shared" si="38"/>
        <v>0.658273437095658</v>
      </c>
    </row>
    <row r="800" spans="1:15" x14ac:dyDescent="0.3">
      <c r="A800" t="s">
        <v>818</v>
      </c>
      <c r="B800" s="1">
        <v>45034</v>
      </c>
      <c r="C800" s="1">
        <v>45328</v>
      </c>
      <c r="D800">
        <v>92913.24</v>
      </c>
      <c r="E800" s="2">
        <f>(Table2[[#This Row],[revenue]]-Table2[[#This Row],[budget]])/Table2[[#This Row],[budget]]</f>
        <v>2.5808284158425643</v>
      </c>
      <c r="F800" t="s">
        <v>18</v>
      </c>
      <c r="G800" t="s">
        <v>15</v>
      </c>
      <c r="H800" t="s">
        <v>19</v>
      </c>
      <c r="I800">
        <v>0.63</v>
      </c>
      <c r="J800">
        <v>332706.37</v>
      </c>
      <c r="K800">
        <f>Table2[[#This Row],[revenue]]/Table2[[#This Row],[budget]]</f>
        <v>3.5808284158425643</v>
      </c>
      <c r="L800" s="2">
        <f t="shared" si="36"/>
        <v>332706.37</v>
      </c>
      <c r="M800" s="2">
        <f>(Table2[[#This Row],[Adjusted revenue]]-Table2[[#This Row],[budget]])/Table2[[#This Row],[budget]]</f>
        <v>2.5808284158425643</v>
      </c>
      <c r="N800" t="str">
        <f t="shared" si="37"/>
        <v>OK</v>
      </c>
      <c r="O800" s="2">
        <f t="shared" si="38"/>
        <v>-0.35140454403314436</v>
      </c>
    </row>
    <row r="801" spans="1:15" x14ac:dyDescent="0.3">
      <c r="A801" t="s">
        <v>819</v>
      </c>
      <c r="B801" s="1">
        <v>44847</v>
      </c>
      <c r="C801" s="1">
        <v>45327</v>
      </c>
      <c r="D801">
        <v>15036.97</v>
      </c>
      <c r="E801" s="2">
        <f>(Table2[[#This Row],[revenue]]-Table2[[#This Row],[budget]])/Table2[[#This Row],[budget]]</f>
        <v>26.162834001796906</v>
      </c>
      <c r="F801" t="s">
        <v>23</v>
      </c>
      <c r="G801" t="s">
        <v>12</v>
      </c>
      <c r="H801" t="s">
        <v>25</v>
      </c>
      <c r="I801">
        <v>0.66</v>
      </c>
      <c r="J801">
        <v>408446.71999999997</v>
      </c>
      <c r="K801">
        <f>Table2[[#This Row],[revenue]]/Table2[[#This Row],[budget]]</f>
        <v>27.162834001796902</v>
      </c>
      <c r="L801" s="2">
        <f t="shared" si="36"/>
        <v>150369.69999999998</v>
      </c>
      <c r="M801" s="2">
        <f>(Table2[[#This Row],[Adjusted revenue]]-Table2[[#This Row],[budget]])/Table2[[#This Row],[budget]]</f>
        <v>9</v>
      </c>
      <c r="N801" t="str">
        <f t="shared" si="37"/>
        <v>OK</v>
      </c>
      <c r="O801" s="2">
        <f t="shared" si="38"/>
        <v>1</v>
      </c>
    </row>
    <row r="802" spans="1:15" x14ac:dyDescent="0.3">
      <c r="A802" t="s">
        <v>820</v>
      </c>
      <c r="B802" s="1">
        <v>44821</v>
      </c>
      <c r="C802" s="1">
        <v>45504</v>
      </c>
      <c r="D802">
        <v>95291.59</v>
      </c>
      <c r="E802" s="2">
        <f>(Table2[[#This Row],[revenue]]-Table2[[#This Row],[budget]])/Table2[[#This Row],[budget]]</f>
        <v>7.446123104882604</v>
      </c>
      <c r="F802" t="s">
        <v>23</v>
      </c>
      <c r="G802" t="s">
        <v>12</v>
      </c>
      <c r="H802" t="s">
        <v>13</v>
      </c>
      <c r="I802">
        <v>0.27</v>
      </c>
      <c r="J802">
        <v>804844.5</v>
      </c>
      <c r="K802">
        <f>Table2[[#This Row],[revenue]]/Table2[[#This Row],[budget]]</f>
        <v>8.446123104882604</v>
      </c>
      <c r="L802" s="2">
        <f t="shared" si="36"/>
        <v>804844.5</v>
      </c>
      <c r="M802" s="2">
        <f>(Table2[[#This Row],[Adjusted revenue]]-Table2[[#This Row],[budget]])/Table2[[#This Row],[budget]]</f>
        <v>7.446123104882604</v>
      </c>
      <c r="N802" t="str">
        <f t="shared" si="37"/>
        <v>OK</v>
      </c>
      <c r="O802" s="2">
        <f t="shared" si="38"/>
        <v>0.6728680220805483</v>
      </c>
    </row>
    <row r="803" spans="1:15" x14ac:dyDescent="0.3">
      <c r="A803" t="s">
        <v>821</v>
      </c>
      <c r="B803" s="1">
        <v>44852</v>
      </c>
      <c r="C803" s="1">
        <v>45329</v>
      </c>
      <c r="D803">
        <v>29617.85</v>
      </c>
      <c r="E803" s="2">
        <f>(Table2[[#This Row],[revenue]]-Table2[[#This Row],[budget]])/Table2[[#This Row],[budget]]</f>
        <v>15.968063178117252</v>
      </c>
      <c r="F803" t="s">
        <v>18</v>
      </c>
      <c r="G803" t="s">
        <v>12</v>
      </c>
      <c r="H803" t="s">
        <v>19</v>
      </c>
      <c r="I803">
        <v>0.7</v>
      </c>
      <c r="J803">
        <v>502557.55</v>
      </c>
      <c r="K803">
        <f>Table2[[#This Row],[revenue]]/Table2[[#This Row],[budget]]</f>
        <v>16.968063178117252</v>
      </c>
      <c r="L803" s="2">
        <f t="shared" si="36"/>
        <v>296178.5</v>
      </c>
      <c r="M803" s="2">
        <f>(Table2[[#This Row],[Adjusted revenue]]-Table2[[#This Row],[budget]])/Table2[[#This Row],[budget]]</f>
        <v>9.0000000000000018</v>
      </c>
      <c r="N803" t="str">
        <f t="shared" si="37"/>
        <v>OK</v>
      </c>
      <c r="O803" s="2">
        <f t="shared" si="38"/>
        <v>1.0000000000000004</v>
      </c>
    </row>
    <row r="804" spans="1:15" x14ac:dyDescent="0.3">
      <c r="A804" t="s">
        <v>822</v>
      </c>
      <c r="B804" s="1">
        <v>44780</v>
      </c>
      <c r="C804" s="1">
        <v>45362</v>
      </c>
      <c r="D804">
        <v>8752.77</v>
      </c>
      <c r="E804" s="2">
        <f>(Table2[[#This Row],[revenue]]-Table2[[#This Row],[budget]])/Table2[[#This Row],[budget]]</f>
        <v>99.227001280737412</v>
      </c>
      <c r="F804" t="s">
        <v>11</v>
      </c>
      <c r="G804" t="s">
        <v>15</v>
      </c>
      <c r="H804" t="s">
        <v>19</v>
      </c>
      <c r="I804">
        <v>0.2</v>
      </c>
      <c r="J804">
        <v>877263.89</v>
      </c>
      <c r="K804">
        <f>Table2[[#This Row],[revenue]]/Table2[[#This Row],[budget]]</f>
        <v>100.22700128073741</v>
      </c>
      <c r="L804" s="2">
        <f t="shared" si="36"/>
        <v>87527.700000000012</v>
      </c>
      <c r="M804" s="2">
        <f>(Table2[[#This Row],[Adjusted revenue]]-Table2[[#This Row],[budget]])/Table2[[#This Row],[budget]]</f>
        <v>9</v>
      </c>
      <c r="N804" t="str">
        <f t="shared" si="37"/>
        <v>OK</v>
      </c>
      <c r="O804" s="2">
        <f t="shared" si="38"/>
        <v>1</v>
      </c>
    </row>
    <row r="805" spans="1:15" x14ac:dyDescent="0.3">
      <c r="A805" t="s">
        <v>823</v>
      </c>
      <c r="B805" s="1">
        <v>44940</v>
      </c>
      <c r="C805" s="1">
        <v>45280</v>
      </c>
      <c r="D805">
        <v>41771.199999999997</v>
      </c>
      <c r="E805" s="2">
        <f>(Table2[[#This Row],[revenue]]-Table2[[#This Row],[budget]])/Table2[[#This Row],[budget]]</f>
        <v>20.267888401578123</v>
      </c>
      <c r="F805" t="s">
        <v>21</v>
      </c>
      <c r="G805" t="s">
        <v>15</v>
      </c>
      <c r="H805" t="s">
        <v>13</v>
      </c>
      <c r="I805">
        <v>0.7</v>
      </c>
      <c r="J805">
        <v>888385.22</v>
      </c>
      <c r="K805">
        <f>Table2[[#This Row],[revenue]]/Table2[[#This Row],[budget]]</f>
        <v>21.267888401578123</v>
      </c>
      <c r="L805" s="2">
        <f t="shared" si="36"/>
        <v>417712</v>
      </c>
      <c r="M805" s="2">
        <f>(Table2[[#This Row],[Adjusted revenue]]-Table2[[#This Row],[budget]])/Table2[[#This Row],[budget]]</f>
        <v>9</v>
      </c>
      <c r="N805" t="str">
        <f t="shared" si="37"/>
        <v>OK</v>
      </c>
      <c r="O805" s="2">
        <f t="shared" si="38"/>
        <v>1</v>
      </c>
    </row>
    <row r="806" spans="1:15" x14ac:dyDescent="0.3">
      <c r="A806" t="s">
        <v>824</v>
      </c>
      <c r="B806" s="1">
        <v>44878</v>
      </c>
      <c r="C806" s="1">
        <v>45277</v>
      </c>
      <c r="D806">
        <v>53289.5</v>
      </c>
      <c r="E806" s="2">
        <f>(Table2[[#This Row],[revenue]]-Table2[[#This Row],[budget]])/Table2[[#This Row],[budget]]</f>
        <v>14.837722815939349</v>
      </c>
      <c r="F806" t="s">
        <v>21</v>
      </c>
      <c r="G806" t="s">
        <v>15</v>
      </c>
      <c r="H806" t="s">
        <v>25</v>
      </c>
      <c r="I806">
        <v>0.1</v>
      </c>
      <c r="J806">
        <v>843984.33</v>
      </c>
      <c r="K806">
        <f>Table2[[#This Row],[revenue]]/Table2[[#This Row],[budget]]</f>
        <v>15.837722815939349</v>
      </c>
      <c r="L806" s="2">
        <f t="shared" si="36"/>
        <v>532895</v>
      </c>
      <c r="M806" s="2">
        <f>(Table2[[#This Row],[Adjusted revenue]]-Table2[[#This Row],[budget]])/Table2[[#This Row],[budget]]</f>
        <v>9</v>
      </c>
      <c r="N806" t="str">
        <f t="shared" si="37"/>
        <v>OK</v>
      </c>
      <c r="O806" s="2">
        <f t="shared" si="38"/>
        <v>1</v>
      </c>
    </row>
    <row r="807" spans="1:15" x14ac:dyDescent="0.3">
      <c r="A807" t="s">
        <v>825</v>
      </c>
      <c r="B807" s="1">
        <v>44941</v>
      </c>
      <c r="C807" s="1">
        <v>45480</v>
      </c>
      <c r="D807">
        <v>85490.69</v>
      </c>
      <c r="E807" s="2">
        <f>(Table2[[#This Row],[revenue]]-Table2[[#This Row],[budget]])/Table2[[#This Row],[budget]]</f>
        <v>1.1154034433457021</v>
      </c>
      <c r="F807" t="s">
        <v>18</v>
      </c>
      <c r="G807" t="s">
        <v>15</v>
      </c>
      <c r="H807" t="s">
        <v>25</v>
      </c>
      <c r="I807">
        <v>0.59</v>
      </c>
      <c r="J807">
        <v>180847.3</v>
      </c>
      <c r="K807">
        <f>Table2[[#This Row],[revenue]]/Table2[[#This Row],[budget]]</f>
        <v>2.1154034433457021</v>
      </c>
      <c r="L807" s="2">
        <f t="shared" si="36"/>
        <v>180847.3</v>
      </c>
      <c r="M807" s="2">
        <f>(Table2[[#This Row],[Adjusted revenue]]-Table2[[#This Row],[budget]])/Table2[[#This Row],[budget]]</f>
        <v>1.1154034433457021</v>
      </c>
      <c r="N807" t="str">
        <f t="shared" si="37"/>
        <v>OK</v>
      </c>
      <c r="O807" s="2">
        <f t="shared" si="38"/>
        <v>-0.65991506455879956</v>
      </c>
    </row>
    <row r="808" spans="1:15" x14ac:dyDescent="0.3">
      <c r="A808" t="s">
        <v>826</v>
      </c>
      <c r="B808" s="1">
        <v>45073</v>
      </c>
      <c r="C808" s="1">
        <v>45166</v>
      </c>
      <c r="D808">
        <v>95518.8</v>
      </c>
      <c r="E808" s="2">
        <f>(Table2[[#This Row],[revenue]]-Table2[[#This Row],[budget]])/Table2[[#This Row],[budget]]</f>
        <v>3.1521639719091947</v>
      </c>
      <c r="F808" t="s">
        <v>21</v>
      </c>
      <c r="G808" t="s">
        <v>15</v>
      </c>
      <c r="H808" t="s">
        <v>25</v>
      </c>
      <c r="I808">
        <v>0.46</v>
      </c>
      <c r="J808">
        <v>396609.72</v>
      </c>
      <c r="K808">
        <f>Table2[[#This Row],[revenue]]/Table2[[#This Row],[budget]]</f>
        <v>4.1521639719091947</v>
      </c>
      <c r="L808" s="2">
        <f t="shared" si="36"/>
        <v>396609.72</v>
      </c>
      <c r="M808" s="2">
        <f>(Table2[[#This Row],[Adjusted revenue]]-Table2[[#This Row],[budget]])/Table2[[#This Row],[budget]]</f>
        <v>3.1521639719091947</v>
      </c>
      <c r="N808" t="str">
        <f t="shared" si="37"/>
        <v>OK</v>
      </c>
      <c r="O808" s="2">
        <f t="shared" si="38"/>
        <v>-0.23112337433490637</v>
      </c>
    </row>
    <row r="809" spans="1:15" x14ac:dyDescent="0.3">
      <c r="A809" t="s">
        <v>827</v>
      </c>
      <c r="B809" s="1">
        <v>44810</v>
      </c>
      <c r="C809" s="1">
        <v>45389</v>
      </c>
      <c r="D809">
        <v>20179.61</v>
      </c>
      <c r="E809" s="2">
        <f>(Table2[[#This Row],[revenue]]-Table2[[#This Row],[budget]])/Table2[[#This Row],[budget]]</f>
        <v>15.231175924609047</v>
      </c>
      <c r="F809" t="s">
        <v>21</v>
      </c>
      <c r="G809" t="s">
        <v>12</v>
      </c>
      <c r="H809" t="s">
        <v>16</v>
      </c>
      <c r="I809">
        <v>0.46</v>
      </c>
      <c r="J809">
        <v>327538.8</v>
      </c>
      <c r="K809">
        <f>Table2[[#This Row],[revenue]]/Table2[[#This Row],[budget]]</f>
        <v>16.231175924609047</v>
      </c>
      <c r="L809" s="2">
        <f t="shared" si="36"/>
        <v>201796.1</v>
      </c>
      <c r="M809" s="2">
        <f>(Table2[[#This Row],[Adjusted revenue]]-Table2[[#This Row],[budget]])/Table2[[#This Row],[budget]]</f>
        <v>9</v>
      </c>
      <c r="N809" t="str">
        <f t="shared" si="37"/>
        <v>OK</v>
      </c>
      <c r="O809" s="2">
        <f t="shared" si="38"/>
        <v>1</v>
      </c>
    </row>
    <row r="810" spans="1:15" x14ac:dyDescent="0.3">
      <c r="A810" t="s">
        <v>828</v>
      </c>
      <c r="B810" s="1">
        <v>45030</v>
      </c>
      <c r="C810" s="1">
        <v>45368</v>
      </c>
      <c r="D810">
        <v>15550.45</v>
      </c>
      <c r="E810" s="2">
        <f>(Table2[[#This Row],[revenue]]-Table2[[#This Row],[budget]])/Table2[[#This Row],[budget]]</f>
        <v>54.34797899739236</v>
      </c>
      <c r="F810" t="s">
        <v>21</v>
      </c>
      <c r="G810" t="s">
        <v>15</v>
      </c>
      <c r="H810" t="s">
        <v>19</v>
      </c>
      <c r="I810">
        <v>0.23</v>
      </c>
      <c r="J810">
        <v>860685.98</v>
      </c>
      <c r="K810">
        <f>Table2[[#This Row],[revenue]]/Table2[[#This Row],[budget]]</f>
        <v>55.347978997392353</v>
      </c>
      <c r="L810" s="2">
        <f t="shared" si="36"/>
        <v>155504.5</v>
      </c>
      <c r="M810" s="2">
        <f>(Table2[[#This Row],[Adjusted revenue]]-Table2[[#This Row],[budget]])/Table2[[#This Row],[budget]]</f>
        <v>8.9999999999999982</v>
      </c>
      <c r="N810" t="str">
        <f t="shared" si="37"/>
        <v>OK</v>
      </c>
      <c r="O810" s="2">
        <f t="shared" si="38"/>
        <v>0.99999999999999956</v>
      </c>
    </row>
    <row r="811" spans="1:15" x14ac:dyDescent="0.3">
      <c r="A811" t="s">
        <v>829</v>
      </c>
      <c r="B811" s="1">
        <v>45083</v>
      </c>
      <c r="C811" s="1">
        <v>45446</v>
      </c>
      <c r="D811">
        <v>26004.11</v>
      </c>
      <c r="E811" s="2">
        <f>(Table2[[#This Row],[revenue]]-Table2[[#This Row],[budget]])/Table2[[#This Row],[budget]]</f>
        <v>15.08560031471948</v>
      </c>
      <c r="F811" t="s">
        <v>11</v>
      </c>
      <c r="G811" t="s">
        <v>12</v>
      </c>
      <c r="H811" t="s">
        <v>13</v>
      </c>
      <c r="I811">
        <v>0.88</v>
      </c>
      <c r="J811">
        <v>418291.72</v>
      </c>
      <c r="K811">
        <f>Table2[[#This Row],[revenue]]/Table2[[#This Row],[budget]]</f>
        <v>16.085600314719478</v>
      </c>
      <c r="L811" s="2">
        <f t="shared" si="36"/>
        <v>260041.1</v>
      </c>
      <c r="M811" s="2">
        <f>(Table2[[#This Row],[Adjusted revenue]]-Table2[[#This Row],[budget]])/Table2[[#This Row],[budget]]</f>
        <v>9</v>
      </c>
      <c r="N811" t="str">
        <f t="shared" si="37"/>
        <v>OK</v>
      </c>
      <c r="O811" s="2">
        <f t="shared" si="38"/>
        <v>1</v>
      </c>
    </row>
    <row r="812" spans="1:15" x14ac:dyDescent="0.3">
      <c r="A812" t="s">
        <v>830</v>
      </c>
      <c r="B812" s="1">
        <v>44809</v>
      </c>
      <c r="C812" s="1">
        <v>45235</v>
      </c>
      <c r="D812">
        <v>66562.100000000006</v>
      </c>
      <c r="E812" s="2">
        <f>(Table2[[#This Row],[revenue]]-Table2[[#This Row],[budget]])/Table2[[#This Row],[budget]]</f>
        <v>10.453698125509861</v>
      </c>
      <c r="F812" t="s">
        <v>11</v>
      </c>
      <c r="G812" t="s">
        <v>12</v>
      </c>
      <c r="H812" t="s">
        <v>16</v>
      </c>
      <c r="I812">
        <v>0.6</v>
      </c>
      <c r="J812">
        <v>762382.2</v>
      </c>
      <c r="K812">
        <f>Table2[[#This Row],[revenue]]/Table2[[#This Row],[budget]]</f>
        <v>11.453698125509861</v>
      </c>
      <c r="L812" s="2">
        <f t="shared" si="36"/>
        <v>665621</v>
      </c>
      <c r="M812" s="2">
        <f>(Table2[[#This Row],[Adjusted revenue]]-Table2[[#This Row],[budget]])/Table2[[#This Row],[budget]]</f>
        <v>9</v>
      </c>
      <c r="N812" t="str">
        <f t="shared" si="37"/>
        <v>OK</v>
      </c>
      <c r="O812" s="2">
        <f t="shared" si="38"/>
        <v>1</v>
      </c>
    </row>
    <row r="813" spans="1:15" x14ac:dyDescent="0.3">
      <c r="A813" t="s">
        <v>831</v>
      </c>
      <c r="B813" s="1">
        <v>44842</v>
      </c>
      <c r="C813" s="1">
        <v>45219</v>
      </c>
      <c r="D813">
        <v>8494.1200000000008</v>
      </c>
      <c r="E813" s="2">
        <f>(Table2[[#This Row],[revenue]]-Table2[[#This Row],[budget]])/Table2[[#This Row],[budget]]</f>
        <v>23.590095265901589</v>
      </c>
      <c r="F813" t="s">
        <v>18</v>
      </c>
      <c r="G813" t="s">
        <v>15</v>
      </c>
      <c r="H813" t="s">
        <v>19</v>
      </c>
      <c r="I813">
        <v>0.93</v>
      </c>
      <c r="J813">
        <v>208871.22</v>
      </c>
      <c r="K813">
        <f>Table2[[#This Row],[revenue]]/Table2[[#This Row],[budget]]</f>
        <v>24.590095265901585</v>
      </c>
      <c r="L813" s="2">
        <f t="shared" si="36"/>
        <v>84941.200000000012</v>
      </c>
      <c r="M813" s="2">
        <f>(Table2[[#This Row],[Adjusted revenue]]-Table2[[#This Row],[budget]])/Table2[[#This Row],[budget]]</f>
        <v>9.0000000000000018</v>
      </c>
      <c r="N813" t="str">
        <f t="shared" si="37"/>
        <v>OK</v>
      </c>
      <c r="O813" s="2">
        <f t="shared" si="38"/>
        <v>1.0000000000000004</v>
      </c>
    </row>
    <row r="814" spans="1:15" x14ac:dyDescent="0.3">
      <c r="A814" t="s">
        <v>832</v>
      </c>
      <c r="B814" s="1">
        <v>44847</v>
      </c>
      <c r="C814" s="1">
        <v>45354</v>
      </c>
      <c r="D814">
        <v>24132.55</v>
      </c>
      <c r="E814" s="2">
        <f>(Table2[[#This Row],[revenue]]-Table2[[#This Row],[budget]])/Table2[[#This Row],[budget]]</f>
        <v>0.3899571325864859</v>
      </c>
      <c r="F814" t="s">
        <v>23</v>
      </c>
      <c r="G814" t="s">
        <v>15</v>
      </c>
      <c r="H814" t="s">
        <v>19</v>
      </c>
      <c r="I814">
        <v>0.65</v>
      </c>
      <c r="J814">
        <v>33543.21</v>
      </c>
      <c r="K814">
        <f>Table2[[#This Row],[revenue]]/Table2[[#This Row],[budget]]</f>
        <v>1.3899571325864859</v>
      </c>
      <c r="L814" s="2">
        <f t="shared" si="36"/>
        <v>33543.21</v>
      </c>
      <c r="M814" s="2">
        <f>(Table2[[#This Row],[Adjusted revenue]]-Table2[[#This Row],[budget]])/Table2[[#This Row],[budget]]</f>
        <v>0.3899571325864859</v>
      </c>
      <c r="N814" t="str">
        <f t="shared" si="37"/>
        <v>Failed</v>
      </c>
      <c r="O814" s="2">
        <f t="shared" si="38"/>
        <v>-0.81264060366600299</v>
      </c>
    </row>
    <row r="815" spans="1:15" x14ac:dyDescent="0.3">
      <c r="A815" t="s">
        <v>833</v>
      </c>
      <c r="B815" s="1">
        <v>44990</v>
      </c>
      <c r="C815" s="1">
        <v>45400</v>
      </c>
      <c r="D815">
        <v>99324.9</v>
      </c>
      <c r="E815" s="2">
        <f>(Table2[[#This Row],[revenue]]-Table2[[#This Row],[budget]])/Table2[[#This Row],[budget]]</f>
        <v>4.1704119510817534</v>
      </c>
      <c r="F815" t="s">
        <v>11</v>
      </c>
      <c r="G815" t="s">
        <v>12</v>
      </c>
      <c r="H815" t="s">
        <v>13</v>
      </c>
      <c r="I815">
        <v>0.85</v>
      </c>
      <c r="J815">
        <v>513550.65</v>
      </c>
      <c r="K815">
        <f>Table2[[#This Row],[revenue]]/Table2[[#This Row],[budget]]</f>
        <v>5.1704119510817534</v>
      </c>
      <c r="L815" s="2">
        <f t="shared" si="36"/>
        <v>513550.65</v>
      </c>
      <c r="M815" s="2">
        <f>(Table2[[#This Row],[Adjusted revenue]]-Table2[[#This Row],[budget]])/Table2[[#This Row],[budget]]</f>
        <v>4.1704119510817534</v>
      </c>
      <c r="N815" t="str">
        <f t="shared" si="37"/>
        <v>OK</v>
      </c>
      <c r="O815" s="2">
        <f t="shared" si="38"/>
        <v>-1.6755378719630842E-2</v>
      </c>
    </row>
    <row r="816" spans="1:15" x14ac:dyDescent="0.3">
      <c r="A816" t="s">
        <v>834</v>
      </c>
      <c r="B816" s="1">
        <v>44879</v>
      </c>
      <c r="C816" s="1">
        <v>45466</v>
      </c>
      <c r="D816">
        <v>5702.93</v>
      </c>
      <c r="E816" s="2">
        <f>(Table2[[#This Row],[revenue]]-Table2[[#This Row],[budget]])/Table2[[#This Row],[budget]]</f>
        <v>165.90028985100639</v>
      </c>
      <c r="F816" t="s">
        <v>23</v>
      </c>
      <c r="G816" t="s">
        <v>15</v>
      </c>
      <c r="H816" t="s">
        <v>13</v>
      </c>
      <c r="I816">
        <v>0.88</v>
      </c>
      <c r="J816">
        <v>951820.67</v>
      </c>
      <c r="K816">
        <f>Table2[[#This Row],[revenue]]/Table2[[#This Row],[budget]]</f>
        <v>166.90028985100642</v>
      </c>
      <c r="L816" s="2">
        <f t="shared" si="36"/>
        <v>57029.3</v>
      </c>
      <c r="M816" s="2">
        <f>(Table2[[#This Row],[Adjusted revenue]]-Table2[[#This Row],[budget]])/Table2[[#This Row],[budget]]</f>
        <v>9</v>
      </c>
      <c r="N816" t="str">
        <f t="shared" si="37"/>
        <v>OK</v>
      </c>
      <c r="O816" s="2">
        <f t="shared" si="38"/>
        <v>1</v>
      </c>
    </row>
    <row r="817" spans="1:15" x14ac:dyDescent="0.3">
      <c r="A817" t="s">
        <v>835</v>
      </c>
      <c r="B817" s="1">
        <v>45051</v>
      </c>
      <c r="C817" s="1">
        <v>45155</v>
      </c>
      <c r="D817">
        <v>11068.74</v>
      </c>
      <c r="E817" s="2">
        <f>(Table2[[#This Row],[revenue]]-Table2[[#This Row],[budget]])/Table2[[#This Row],[budget]]</f>
        <v>66.494665156106294</v>
      </c>
      <c r="F817" t="s">
        <v>18</v>
      </c>
      <c r="G817" t="s">
        <v>15</v>
      </c>
      <c r="H817" t="s">
        <v>16</v>
      </c>
      <c r="I817">
        <v>0.86</v>
      </c>
      <c r="J817">
        <v>747080.9</v>
      </c>
      <c r="K817">
        <f>Table2[[#This Row],[revenue]]/Table2[[#This Row],[budget]]</f>
        <v>67.494665156106294</v>
      </c>
      <c r="L817" s="2">
        <f t="shared" si="36"/>
        <v>110687.4</v>
      </c>
      <c r="M817" s="2">
        <f>(Table2[[#This Row],[Adjusted revenue]]-Table2[[#This Row],[budget]])/Table2[[#This Row],[budget]]</f>
        <v>9</v>
      </c>
      <c r="N817" t="str">
        <f t="shared" si="37"/>
        <v>OK</v>
      </c>
      <c r="O817" s="2">
        <f t="shared" si="38"/>
        <v>1</v>
      </c>
    </row>
    <row r="818" spans="1:15" x14ac:dyDescent="0.3">
      <c r="A818" t="s">
        <v>836</v>
      </c>
      <c r="B818" s="1">
        <v>44875</v>
      </c>
      <c r="C818" s="1">
        <v>45279</v>
      </c>
      <c r="D818">
        <v>47307.68</v>
      </c>
      <c r="E818" s="2">
        <f>(Table2[[#This Row],[revenue]]-Table2[[#This Row],[budget]])/Table2[[#This Row],[budget]]</f>
        <v>15.434215332478784</v>
      </c>
      <c r="F818" t="s">
        <v>18</v>
      </c>
      <c r="G818" t="s">
        <v>12</v>
      </c>
      <c r="H818" t="s">
        <v>25</v>
      </c>
      <c r="I818">
        <v>0.85</v>
      </c>
      <c r="J818">
        <v>777464.6</v>
      </c>
      <c r="K818">
        <f>Table2[[#This Row],[revenue]]/Table2[[#This Row],[budget]]</f>
        <v>16.434215332478786</v>
      </c>
      <c r="L818" s="2">
        <f t="shared" si="36"/>
        <v>473076.8</v>
      </c>
      <c r="M818" s="2">
        <f>(Table2[[#This Row],[Adjusted revenue]]-Table2[[#This Row],[budget]])/Table2[[#This Row],[budget]]</f>
        <v>9</v>
      </c>
      <c r="N818" t="str">
        <f t="shared" si="37"/>
        <v>OK</v>
      </c>
      <c r="O818" s="2">
        <f t="shared" si="38"/>
        <v>1</v>
      </c>
    </row>
    <row r="819" spans="1:15" x14ac:dyDescent="0.3">
      <c r="A819" t="s">
        <v>837</v>
      </c>
      <c r="B819" s="1">
        <v>45114</v>
      </c>
      <c r="C819" s="1">
        <v>45208</v>
      </c>
      <c r="D819">
        <v>5211.43</v>
      </c>
      <c r="E819" s="2">
        <f>(Table2[[#This Row],[revenue]]-Table2[[#This Row],[budget]])/Table2[[#This Row],[budget]]</f>
        <v>83.324198924287572</v>
      </c>
      <c r="F819" t="s">
        <v>23</v>
      </c>
      <c r="G819" t="s">
        <v>15</v>
      </c>
      <c r="H819" t="s">
        <v>13</v>
      </c>
      <c r="I819">
        <v>0.89</v>
      </c>
      <c r="J819">
        <v>439449.66</v>
      </c>
      <c r="K819">
        <f>Table2[[#This Row],[revenue]]/Table2[[#This Row],[budget]]</f>
        <v>84.324198924287572</v>
      </c>
      <c r="L819" s="2">
        <f t="shared" si="36"/>
        <v>52114.3</v>
      </c>
      <c r="M819" s="2">
        <f>(Table2[[#This Row],[Adjusted revenue]]-Table2[[#This Row],[budget]])/Table2[[#This Row],[budget]]</f>
        <v>9</v>
      </c>
      <c r="N819" t="str">
        <f t="shared" si="37"/>
        <v>OK</v>
      </c>
      <c r="O819" s="2">
        <f t="shared" si="38"/>
        <v>1</v>
      </c>
    </row>
    <row r="820" spans="1:15" x14ac:dyDescent="0.3">
      <c r="A820" t="s">
        <v>838</v>
      </c>
      <c r="B820" s="1">
        <v>44867</v>
      </c>
      <c r="C820" s="1">
        <v>45228</v>
      </c>
      <c r="D820">
        <v>66488.960000000006</v>
      </c>
      <c r="E820" s="2">
        <f>(Table2[[#This Row],[revenue]]-Table2[[#This Row],[budget]])/Table2[[#This Row],[budget]]</f>
        <v>6.3472612596136253</v>
      </c>
      <c r="F820" t="s">
        <v>21</v>
      </c>
      <c r="G820" t="s">
        <v>15</v>
      </c>
      <c r="H820" t="s">
        <v>16</v>
      </c>
      <c r="I820">
        <v>0.53</v>
      </c>
      <c r="J820">
        <v>488511.76</v>
      </c>
      <c r="K820">
        <f>Table2[[#This Row],[revenue]]/Table2[[#This Row],[budget]]</f>
        <v>7.3472612596136253</v>
      </c>
      <c r="L820" s="2">
        <f t="shared" si="36"/>
        <v>488511.76</v>
      </c>
      <c r="M820" s="2">
        <f>(Table2[[#This Row],[Adjusted revenue]]-Table2[[#This Row],[budget]])/Table2[[#This Row],[budget]]</f>
        <v>6.3472612596136253</v>
      </c>
      <c r="N820" t="str">
        <f t="shared" si="37"/>
        <v>OK</v>
      </c>
      <c r="O820" s="2">
        <f t="shared" si="38"/>
        <v>0.44152868623444741</v>
      </c>
    </row>
    <row r="821" spans="1:15" x14ac:dyDescent="0.3">
      <c r="A821" t="s">
        <v>839</v>
      </c>
      <c r="B821" s="1">
        <v>44963</v>
      </c>
      <c r="C821" s="1">
        <v>45181</v>
      </c>
      <c r="D821">
        <v>41529.519999999997</v>
      </c>
      <c r="E821" s="2">
        <f>(Table2[[#This Row],[revenue]]-Table2[[#This Row],[budget]])/Table2[[#This Row],[budget]]</f>
        <v>21.318427229594757</v>
      </c>
      <c r="F821" t="s">
        <v>18</v>
      </c>
      <c r="G821" t="s">
        <v>15</v>
      </c>
      <c r="H821" t="s">
        <v>19</v>
      </c>
      <c r="I821">
        <v>0.79</v>
      </c>
      <c r="J821">
        <v>926873.57</v>
      </c>
      <c r="K821">
        <f>Table2[[#This Row],[revenue]]/Table2[[#This Row],[budget]]</f>
        <v>22.318427229594757</v>
      </c>
      <c r="L821" s="2">
        <f t="shared" si="36"/>
        <v>415295.19999999995</v>
      </c>
      <c r="M821" s="2">
        <f>(Table2[[#This Row],[Adjusted revenue]]-Table2[[#This Row],[budget]])/Table2[[#This Row],[budget]]</f>
        <v>9</v>
      </c>
      <c r="N821" t="str">
        <f t="shared" si="37"/>
        <v>OK</v>
      </c>
      <c r="O821" s="2">
        <f t="shared" si="38"/>
        <v>1</v>
      </c>
    </row>
    <row r="822" spans="1:15" x14ac:dyDescent="0.3">
      <c r="A822" t="s">
        <v>840</v>
      </c>
      <c r="B822" s="1">
        <v>44962</v>
      </c>
      <c r="C822" s="1">
        <v>45439</v>
      </c>
      <c r="D822">
        <v>59471.38</v>
      </c>
      <c r="E822" s="2">
        <f>(Table2[[#This Row],[revenue]]-Table2[[#This Row],[budget]])/Table2[[#This Row],[budget]]</f>
        <v>3.1631771450401862</v>
      </c>
      <c r="F822" t="s">
        <v>11</v>
      </c>
      <c r="G822" t="s">
        <v>12</v>
      </c>
      <c r="H822" t="s">
        <v>19</v>
      </c>
      <c r="I822">
        <v>0.16</v>
      </c>
      <c r="J822">
        <v>247589.89</v>
      </c>
      <c r="K822">
        <f>Table2[[#This Row],[revenue]]/Table2[[#This Row],[budget]]</f>
        <v>4.1631771450401862</v>
      </c>
      <c r="L822" s="2">
        <f t="shared" si="36"/>
        <v>247589.89</v>
      </c>
      <c r="M822" s="2">
        <f>(Table2[[#This Row],[Adjusted revenue]]-Table2[[#This Row],[budget]])/Table2[[#This Row],[budget]]</f>
        <v>3.1631771450401862</v>
      </c>
      <c r="N822" t="str">
        <f t="shared" si="37"/>
        <v>OK</v>
      </c>
      <c r="O822" s="2">
        <f t="shared" si="38"/>
        <v>-0.22880481157048715</v>
      </c>
    </row>
    <row r="823" spans="1:15" x14ac:dyDescent="0.3">
      <c r="A823" t="s">
        <v>841</v>
      </c>
      <c r="B823" s="1">
        <v>45117</v>
      </c>
      <c r="C823" s="1">
        <v>45428</v>
      </c>
      <c r="D823">
        <v>37054.160000000003</v>
      </c>
      <c r="E823" s="2">
        <f>(Table2[[#This Row],[revenue]]-Table2[[#This Row],[budget]])/Table2[[#This Row],[budget]]</f>
        <v>-0.8388315913786738</v>
      </c>
      <c r="F823" t="s">
        <v>11</v>
      </c>
      <c r="G823" t="s">
        <v>12</v>
      </c>
      <c r="H823" t="s">
        <v>25</v>
      </c>
      <c r="I823">
        <v>0.6</v>
      </c>
      <c r="J823">
        <v>5971.96</v>
      </c>
      <c r="K823">
        <f>Table2[[#This Row],[revenue]]/Table2[[#This Row],[budget]]</f>
        <v>0.16116840862132617</v>
      </c>
      <c r="L823" s="2">
        <f t="shared" si="36"/>
        <v>18527.080000000002</v>
      </c>
      <c r="M823" s="2">
        <f>(Table2[[#This Row],[Adjusted revenue]]-Table2[[#This Row],[budget]])/Table2[[#This Row],[budget]]</f>
        <v>-0.5</v>
      </c>
      <c r="N823" t="str">
        <f t="shared" si="37"/>
        <v>Failed</v>
      </c>
      <c r="O823" s="2">
        <f t="shared" si="38"/>
        <v>-1</v>
      </c>
    </row>
    <row r="824" spans="1:15" x14ac:dyDescent="0.3">
      <c r="A824" t="s">
        <v>842</v>
      </c>
      <c r="B824" s="1">
        <v>44979</v>
      </c>
      <c r="C824" s="1">
        <v>45159</v>
      </c>
      <c r="D824">
        <v>46184.9</v>
      </c>
      <c r="E824" s="2">
        <f>(Table2[[#This Row],[revenue]]-Table2[[#This Row],[budget]])/Table2[[#This Row],[budget]]</f>
        <v>17.846409973822613</v>
      </c>
      <c r="F824" t="s">
        <v>18</v>
      </c>
      <c r="G824" t="s">
        <v>15</v>
      </c>
      <c r="H824" t="s">
        <v>25</v>
      </c>
      <c r="I824">
        <v>0.2</v>
      </c>
      <c r="J824">
        <v>870419.56</v>
      </c>
      <c r="K824">
        <f>Table2[[#This Row],[revenue]]/Table2[[#This Row],[budget]]</f>
        <v>18.846409973822613</v>
      </c>
      <c r="L824" s="2">
        <f t="shared" si="36"/>
        <v>461849</v>
      </c>
      <c r="M824" s="2">
        <f>(Table2[[#This Row],[Adjusted revenue]]-Table2[[#This Row],[budget]])/Table2[[#This Row],[budget]]</f>
        <v>9</v>
      </c>
      <c r="N824" t="str">
        <f t="shared" si="37"/>
        <v>OK</v>
      </c>
      <c r="O824" s="2">
        <f t="shared" si="38"/>
        <v>1</v>
      </c>
    </row>
    <row r="825" spans="1:15" x14ac:dyDescent="0.3">
      <c r="A825" t="s">
        <v>843</v>
      </c>
      <c r="B825" s="1">
        <v>44817</v>
      </c>
      <c r="C825" s="1">
        <v>45498</v>
      </c>
      <c r="D825">
        <v>35711.19</v>
      </c>
      <c r="E825" s="2">
        <f>(Table2[[#This Row],[revenue]]-Table2[[#This Row],[budget]])/Table2[[#This Row],[budget]]</f>
        <v>17.754561245368748</v>
      </c>
      <c r="F825" t="s">
        <v>21</v>
      </c>
      <c r="G825" t="s">
        <v>15</v>
      </c>
      <c r="H825" t="s">
        <v>16</v>
      </c>
      <c r="I825">
        <v>0.39</v>
      </c>
      <c r="J825">
        <v>669747.69999999995</v>
      </c>
      <c r="K825">
        <f>Table2[[#This Row],[revenue]]/Table2[[#This Row],[budget]]</f>
        <v>18.754561245368745</v>
      </c>
      <c r="L825" s="2">
        <f t="shared" si="36"/>
        <v>357111.9</v>
      </c>
      <c r="M825" s="2">
        <f>(Table2[[#This Row],[Adjusted revenue]]-Table2[[#This Row],[budget]])/Table2[[#This Row],[budget]]</f>
        <v>9</v>
      </c>
      <c r="N825" t="str">
        <f t="shared" si="37"/>
        <v>OK</v>
      </c>
      <c r="O825" s="2">
        <f t="shared" si="38"/>
        <v>1</v>
      </c>
    </row>
    <row r="826" spans="1:15" x14ac:dyDescent="0.3">
      <c r="A826" t="s">
        <v>844</v>
      </c>
      <c r="B826" s="1">
        <v>44997</v>
      </c>
      <c r="C826" s="1">
        <v>45503</v>
      </c>
      <c r="D826">
        <v>16505.53</v>
      </c>
      <c r="E826" s="2">
        <f>(Table2[[#This Row],[revenue]]-Table2[[#This Row],[budget]])/Table2[[#This Row],[budget]]</f>
        <v>23.306409427628196</v>
      </c>
      <c r="F826" t="s">
        <v>18</v>
      </c>
      <c r="G826" t="s">
        <v>15</v>
      </c>
      <c r="H826" t="s">
        <v>19</v>
      </c>
      <c r="I826">
        <v>0.28999999999999998</v>
      </c>
      <c r="J826">
        <v>401190.17</v>
      </c>
      <c r="K826">
        <f>Table2[[#This Row],[revenue]]/Table2[[#This Row],[budget]]</f>
        <v>24.306409427628196</v>
      </c>
      <c r="L826" s="2">
        <f t="shared" si="36"/>
        <v>165055.29999999999</v>
      </c>
      <c r="M826" s="2">
        <f>(Table2[[#This Row],[Adjusted revenue]]-Table2[[#This Row],[budget]])/Table2[[#This Row],[budget]]</f>
        <v>9</v>
      </c>
      <c r="N826" t="str">
        <f t="shared" si="37"/>
        <v>OK</v>
      </c>
      <c r="O826" s="2">
        <f t="shared" si="38"/>
        <v>1</v>
      </c>
    </row>
    <row r="827" spans="1:15" x14ac:dyDescent="0.3">
      <c r="A827" t="s">
        <v>845</v>
      </c>
      <c r="B827" s="1">
        <v>44963</v>
      </c>
      <c r="C827" s="1">
        <v>45297</v>
      </c>
      <c r="D827">
        <v>9929.7999999999993</v>
      </c>
      <c r="E827" s="2">
        <f>(Table2[[#This Row],[revenue]]-Table2[[#This Row],[budget]])/Table2[[#This Row],[budget]]</f>
        <v>96.699097665612598</v>
      </c>
      <c r="F827" t="s">
        <v>11</v>
      </c>
      <c r="G827" t="s">
        <v>15</v>
      </c>
      <c r="H827" t="s">
        <v>16</v>
      </c>
      <c r="I827">
        <v>0.65</v>
      </c>
      <c r="J827">
        <v>970132.5</v>
      </c>
      <c r="K827">
        <f>Table2[[#This Row],[revenue]]/Table2[[#This Row],[budget]]</f>
        <v>97.699097665612612</v>
      </c>
      <c r="L827" s="2">
        <f t="shared" si="36"/>
        <v>99298</v>
      </c>
      <c r="M827" s="2">
        <f>(Table2[[#This Row],[Adjusted revenue]]-Table2[[#This Row],[budget]])/Table2[[#This Row],[budget]]</f>
        <v>9</v>
      </c>
      <c r="N827" t="str">
        <f t="shared" si="37"/>
        <v>OK</v>
      </c>
      <c r="O827" s="2">
        <f t="shared" si="38"/>
        <v>1</v>
      </c>
    </row>
    <row r="828" spans="1:15" x14ac:dyDescent="0.3">
      <c r="A828" t="s">
        <v>846</v>
      </c>
      <c r="B828" s="1">
        <v>44825</v>
      </c>
      <c r="C828" s="1">
        <v>45287</v>
      </c>
      <c r="D828">
        <v>11092.23</v>
      </c>
      <c r="E828" s="2">
        <f>(Table2[[#This Row],[revenue]]-Table2[[#This Row],[budget]])/Table2[[#This Row],[budget]]</f>
        <v>8.4026863849739861</v>
      </c>
      <c r="F828" t="s">
        <v>23</v>
      </c>
      <c r="G828" t="s">
        <v>15</v>
      </c>
      <c r="H828" t="s">
        <v>19</v>
      </c>
      <c r="I828">
        <v>0.83</v>
      </c>
      <c r="J828">
        <v>104296.76</v>
      </c>
      <c r="K828">
        <f>Table2[[#This Row],[revenue]]/Table2[[#This Row],[budget]]</f>
        <v>9.4026863849739861</v>
      </c>
      <c r="L828" s="2">
        <f t="shared" si="36"/>
        <v>104296.76</v>
      </c>
      <c r="M828" s="2">
        <f>(Table2[[#This Row],[Adjusted revenue]]-Table2[[#This Row],[budget]])/Table2[[#This Row],[budget]]</f>
        <v>8.4026863849739861</v>
      </c>
      <c r="N828" t="str">
        <f t="shared" si="37"/>
        <v>OK</v>
      </c>
      <c r="O828" s="2">
        <f t="shared" si="38"/>
        <v>0.87424976525768128</v>
      </c>
    </row>
    <row r="829" spans="1:15" x14ac:dyDescent="0.3">
      <c r="A829" t="s">
        <v>847</v>
      </c>
      <c r="B829" s="1">
        <v>45081</v>
      </c>
      <c r="C829" s="1">
        <v>45334</v>
      </c>
      <c r="D829">
        <v>56406.79</v>
      </c>
      <c r="E829" s="2">
        <f>(Table2[[#This Row],[revenue]]-Table2[[#This Row],[budget]])/Table2[[#This Row],[budget]]</f>
        <v>1.6565406398768656</v>
      </c>
      <c r="F829" t="s">
        <v>18</v>
      </c>
      <c r="G829" t="s">
        <v>15</v>
      </c>
      <c r="H829" t="s">
        <v>25</v>
      </c>
      <c r="I829">
        <v>0.7</v>
      </c>
      <c r="J829">
        <v>149846.93</v>
      </c>
      <c r="K829">
        <f>Table2[[#This Row],[revenue]]/Table2[[#This Row],[budget]]</f>
        <v>2.6565406398768658</v>
      </c>
      <c r="L829" s="2">
        <f t="shared" si="36"/>
        <v>149846.93</v>
      </c>
      <c r="M829" s="2">
        <f>(Table2[[#This Row],[Adjusted revenue]]-Table2[[#This Row],[budget]])/Table2[[#This Row],[budget]]</f>
        <v>1.6565406398768656</v>
      </c>
      <c r="N829" t="str">
        <f t="shared" si="37"/>
        <v>OK</v>
      </c>
      <c r="O829" s="2">
        <f t="shared" si="38"/>
        <v>-0.5459914442364493</v>
      </c>
    </row>
    <row r="830" spans="1:15" x14ac:dyDescent="0.3">
      <c r="A830" t="s">
        <v>848</v>
      </c>
      <c r="B830" s="1">
        <v>44949</v>
      </c>
      <c r="C830" s="1">
        <v>45225</v>
      </c>
      <c r="D830">
        <v>94020.1</v>
      </c>
      <c r="E830" s="2">
        <f>(Table2[[#This Row],[revenue]]-Table2[[#This Row],[budget]])/Table2[[#This Row],[budget]]</f>
        <v>1.6966923030288203</v>
      </c>
      <c r="F830" t="s">
        <v>23</v>
      </c>
      <c r="G830" t="s">
        <v>12</v>
      </c>
      <c r="H830" t="s">
        <v>25</v>
      </c>
      <c r="I830">
        <v>0.47</v>
      </c>
      <c r="J830">
        <v>253543.28</v>
      </c>
      <c r="K830">
        <f>Table2[[#This Row],[revenue]]/Table2[[#This Row],[budget]]</f>
        <v>2.6966923030288203</v>
      </c>
      <c r="L830" s="2">
        <f t="shared" si="36"/>
        <v>253543.28</v>
      </c>
      <c r="M830" s="2">
        <f>(Table2[[#This Row],[Adjusted revenue]]-Table2[[#This Row],[budget]])/Table2[[#This Row],[budget]]</f>
        <v>1.6966923030288203</v>
      </c>
      <c r="N830" t="str">
        <f t="shared" si="37"/>
        <v>OK</v>
      </c>
      <c r="O830" s="2">
        <f t="shared" si="38"/>
        <v>-0.53753846252024839</v>
      </c>
    </row>
    <row r="831" spans="1:15" x14ac:dyDescent="0.3">
      <c r="A831" t="s">
        <v>849</v>
      </c>
      <c r="B831" s="1">
        <v>44819</v>
      </c>
      <c r="C831" s="1">
        <v>45434</v>
      </c>
      <c r="D831">
        <v>45583.71</v>
      </c>
      <c r="E831" s="2">
        <f>(Table2[[#This Row],[revenue]]-Table2[[#This Row],[budget]])/Table2[[#This Row],[budget]]</f>
        <v>20.042580781599394</v>
      </c>
      <c r="F831" t="s">
        <v>23</v>
      </c>
      <c r="G831" t="s">
        <v>15</v>
      </c>
      <c r="H831" t="s">
        <v>13</v>
      </c>
      <c r="I831">
        <v>0</v>
      </c>
      <c r="J831">
        <v>959198.9</v>
      </c>
      <c r="K831">
        <f>Table2[[#This Row],[revenue]]/Table2[[#This Row],[budget]]</f>
        <v>21.042580781599394</v>
      </c>
      <c r="L831" s="2">
        <f t="shared" si="36"/>
        <v>455837.1</v>
      </c>
      <c r="M831" s="2">
        <f>(Table2[[#This Row],[Adjusted revenue]]-Table2[[#This Row],[budget]])/Table2[[#This Row],[budget]]</f>
        <v>9</v>
      </c>
      <c r="N831" t="str">
        <f t="shared" si="37"/>
        <v>OK</v>
      </c>
      <c r="O831" s="2">
        <f t="shared" si="38"/>
        <v>1</v>
      </c>
    </row>
    <row r="832" spans="1:15" x14ac:dyDescent="0.3">
      <c r="A832" t="s">
        <v>850</v>
      </c>
      <c r="B832" s="1">
        <v>44830</v>
      </c>
      <c r="C832" s="1">
        <v>45252</v>
      </c>
      <c r="D832">
        <v>94235.4</v>
      </c>
      <c r="E832" s="2">
        <f>(Table2[[#This Row],[revenue]]-Table2[[#This Row],[budget]])/Table2[[#This Row],[budget]]</f>
        <v>0.4670220532835857</v>
      </c>
      <c r="F832" t="s">
        <v>23</v>
      </c>
      <c r="G832" t="s">
        <v>12</v>
      </c>
      <c r="H832" t="s">
        <v>16</v>
      </c>
      <c r="I832">
        <v>0.16</v>
      </c>
      <c r="J832">
        <v>138245.41</v>
      </c>
      <c r="K832">
        <f>Table2[[#This Row],[revenue]]/Table2[[#This Row],[budget]]</f>
        <v>1.4670220532835856</v>
      </c>
      <c r="L832" s="2">
        <f t="shared" si="36"/>
        <v>138245.41</v>
      </c>
      <c r="M832" s="2">
        <f>(Table2[[#This Row],[Adjusted revenue]]-Table2[[#This Row],[budget]])/Table2[[#This Row],[budget]]</f>
        <v>0.4670220532835857</v>
      </c>
      <c r="N832" t="str">
        <f t="shared" si="37"/>
        <v>Failed</v>
      </c>
      <c r="O832" s="2">
        <f t="shared" si="38"/>
        <v>-0.79641640983503459</v>
      </c>
    </row>
    <row r="833" spans="1:15" x14ac:dyDescent="0.3">
      <c r="A833" t="s">
        <v>851</v>
      </c>
      <c r="B833" s="1">
        <v>45107</v>
      </c>
      <c r="C833" s="1">
        <v>45224</v>
      </c>
      <c r="D833">
        <v>20557.580000000002</v>
      </c>
      <c r="E833" s="2">
        <f>(Table2[[#This Row],[revenue]]-Table2[[#This Row],[budget]])/Table2[[#This Row],[budget]]</f>
        <v>40.402276921699929</v>
      </c>
      <c r="F833" t="s">
        <v>21</v>
      </c>
      <c r="G833" t="s">
        <v>12</v>
      </c>
      <c r="H833" t="s">
        <v>16</v>
      </c>
      <c r="I833">
        <v>0.8</v>
      </c>
      <c r="J833">
        <v>851130.62</v>
      </c>
      <c r="K833">
        <f>Table2[[#This Row],[revenue]]/Table2[[#This Row],[budget]]</f>
        <v>41.402276921699922</v>
      </c>
      <c r="L833" s="2">
        <f t="shared" si="36"/>
        <v>205575.80000000002</v>
      </c>
      <c r="M833" s="2">
        <f>(Table2[[#This Row],[Adjusted revenue]]-Table2[[#This Row],[budget]])/Table2[[#This Row],[budget]]</f>
        <v>9</v>
      </c>
      <c r="N833" t="str">
        <f t="shared" si="37"/>
        <v>OK</v>
      </c>
      <c r="O833" s="2">
        <f t="shared" si="38"/>
        <v>1</v>
      </c>
    </row>
    <row r="834" spans="1:15" x14ac:dyDescent="0.3">
      <c r="A834" t="s">
        <v>852</v>
      </c>
      <c r="B834" s="1">
        <v>44782</v>
      </c>
      <c r="C834" s="1">
        <v>45221</v>
      </c>
      <c r="D834">
        <v>35179.9</v>
      </c>
      <c r="E834" s="2">
        <f>(Table2[[#This Row],[revenue]]-Table2[[#This Row],[budget]])/Table2[[#This Row],[budget]]</f>
        <v>2.3968078362928829</v>
      </c>
      <c r="F834" t="s">
        <v>21</v>
      </c>
      <c r="G834" t="s">
        <v>12</v>
      </c>
      <c r="H834" t="s">
        <v>25</v>
      </c>
      <c r="I834">
        <v>0.53</v>
      </c>
      <c r="J834">
        <v>119499.36</v>
      </c>
      <c r="K834">
        <f>Table2[[#This Row],[revenue]]/Table2[[#This Row],[budget]]</f>
        <v>3.3968078362928829</v>
      </c>
      <c r="L834" s="2">
        <f t="shared" ref="L834:L897" si="39">MIN(MAX(J834, D834*0.5), D834*10)</f>
        <v>119499.36</v>
      </c>
      <c r="M834" s="2">
        <f>(Table2[[#This Row],[Adjusted revenue]]-Table2[[#This Row],[budget]])/Table2[[#This Row],[budget]]</f>
        <v>2.3968078362928829</v>
      </c>
      <c r="N834" t="str">
        <f t="shared" ref="N834:N897" si="40">IF(M834&lt;0.5,"Failed",IF(M834&gt;10,"Suspicious","OK"))</f>
        <v>OK</v>
      </c>
      <c r="O834" s="2">
        <f t="shared" ref="O834:O897" si="41">((M834 - (-0.5)) / (9 - (-0.5))) * (1 - (-1)) + (-1)</f>
        <v>-0.39014571867518255</v>
      </c>
    </row>
    <row r="835" spans="1:15" x14ac:dyDescent="0.3">
      <c r="A835" t="s">
        <v>853</v>
      </c>
      <c r="B835" s="1">
        <v>45062</v>
      </c>
      <c r="C835" s="1">
        <v>45175</v>
      </c>
      <c r="D835">
        <v>24546.35</v>
      </c>
      <c r="E835" s="2">
        <f>(Table2[[#This Row],[revenue]]-Table2[[#This Row],[budget]])/Table2[[#This Row],[budget]]</f>
        <v>15.935745640390529</v>
      </c>
      <c r="F835" t="s">
        <v>21</v>
      </c>
      <c r="G835" t="s">
        <v>15</v>
      </c>
      <c r="H835" t="s">
        <v>16</v>
      </c>
      <c r="I835">
        <v>0.14000000000000001</v>
      </c>
      <c r="J835">
        <v>415710.74</v>
      </c>
      <c r="K835">
        <f>Table2[[#This Row],[revenue]]/Table2[[#This Row],[budget]]</f>
        <v>16.935745640390529</v>
      </c>
      <c r="L835" s="2">
        <f t="shared" si="39"/>
        <v>245463.5</v>
      </c>
      <c r="M835" s="2">
        <f>(Table2[[#This Row],[Adjusted revenue]]-Table2[[#This Row],[budget]])/Table2[[#This Row],[budget]]</f>
        <v>9</v>
      </c>
      <c r="N835" t="str">
        <f t="shared" si="40"/>
        <v>OK</v>
      </c>
      <c r="O835" s="2">
        <f t="shared" si="41"/>
        <v>1</v>
      </c>
    </row>
    <row r="836" spans="1:15" x14ac:dyDescent="0.3">
      <c r="A836" t="s">
        <v>854</v>
      </c>
      <c r="B836" s="1">
        <v>44826</v>
      </c>
      <c r="C836" s="1">
        <v>45267</v>
      </c>
      <c r="D836">
        <v>11545.73</v>
      </c>
      <c r="E836" s="2">
        <f>(Table2[[#This Row],[revenue]]-Table2[[#This Row],[budget]])/Table2[[#This Row],[budget]]</f>
        <v>1.6015384042412217</v>
      </c>
      <c r="F836" t="s">
        <v>23</v>
      </c>
      <c r="G836" t="s">
        <v>15</v>
      </c>
      <c r="H836" t="s">
        <v>16</v>
      </c>
      <c r="I836">
        <v>0.5</v>
      </c>
      <c r="J836">
        <v>30036.66</v>
      </c>
      <c r="K836">
        <f>Table2[[#This Row],[revenue]]/Table2[[#This Row],[budget]]</f>
        <v>2.6015384042412215</v>
      </c>
      <c r="L836" s="2">
        <f t="shared" si="39"/>
        <v>30036.66</v>
      </c>
      <c r="M836" s="2">
        <f>(Table2[[#This Row],[Adjusted revenue]]-Table2[[#This Row],[budget]])/Table2[[#This Row],[budget]]</f>
        <v>1.6015384042412217</v>
      </c>
      <c r="N836" t="str">
        <f t="shared" si="40"/>
        <v>OK</v>
      </c>
      <c r="O836" s="2">
        <f t="shared" si="41"/>
        <v>-0.55757086226500596</v>
      </c>
    </row>
    <row r="837" spans="1:15" x14ac:dyDescent="0.3">
      <c r="A837" t="s">
        <v>855</v>
      </c>
      <c r="B837" s="1">
        <v>44871</v>
      </c>
      <c r="C837" s="1">
        <v>45384</v>
      </c>
      <c r="D837">
        <v>1378.61</v>
      </c>
      <c r="E837" s="2">
        <f>(Table2[[#This Row],[revenue]]-Table2[[#This Row],[budget]])/Table2[[#This Row],[budget]]</f>
        <v>624.89346515693353</v>
      </c>
      <c r="F837" t="s">
        <v>11</v>
      </c>
      <c r="G837" t="s">
        <v>12</v>
      </c>
      <c r="H837" t="s">
        <v>13</v>
      </c>
      <c r="I837">
        <v>0.66</v>
      </c>
      <c r="J837">
        <v>862862.99</v>
      </c>
      <c r="K837">
        <f>Table2[[#This Row],[revenue]]/Table2[[#This Row],[budget]]</f>
        <v>625.89346515693342</v>
      </c>
      <c r="L837" s="2">
        <f t="shared" si="39"/>
        <v>13786.099999999999</v>
      </c>
      <c r="M837" s="2">
        <f>(Table2[[#This Row],[Adjusted revenue]]-Table2[[#This Row],[budget]])/Table2[[#This Row],[budget]]</f>
        <v>9</v>
      </c>
      <c r="N837" t="str">
        <f t="shared" si="40"/>
        <v>OK</v>
      </c>
      <c r="O837" s="2">
        <f t="shared" si="41"/>
        <v>1</v>
      </c>
    </row>
    <row r="838" spans="1:15" x14ac:dyDescent="0.3">
      <c r="A838" t="s">
        <v>856</v>
      </c>
      <c r="B838" s="1">
        <v>44935</v>
      </c>
      <c r="C838" s="1">
        <v>45230</v>
      </c>
      <c r="D838">
        <v>41687.29</v>
      </c>
      <c r="E838" s="2">
        <f>(Table2[[#This Row],[revenue]]-Table2[[#This Row],[budget]])/Table2[[#This Row],[budget]]</f>
        <v>6.3534540144010325</v>
      </c>
      <c r="F838" t="s">
        <v>23</v>
      </c>
      <c r="G838" t="s">
        <v>12</v>
      </c>
      <c r="H838" t="s">
        <v>13</v>
      </c>
      <c r="I838">
        <v>0.97</v>
      </c>
      <c r="J838">
        <v>306545.57</v>
      </c>
      <c r="K838">
        <f>Table2[[#This Row],[revenue]]/Table2[[#This Row],[budget]]</f>
        <v>7.3534540144010316</v>
      </c>
      <c r="L838" s="2">
        <f t="shared" si="39"/>
        <v>306545.57</v>
      </c>
      <c r="M838" s="2">
        <f>(Table2[[#This Row],[Adjusted revenue]]-Table2[[#This Row],[budget]])/Table2[[#This Row],[budget]]</f>
        <v>6.3534540144010325</v>
      </c>
      <c r="N838" t="str">
        <f t="shared" si="40"/>
        <v>OK</v>
      </c>
      <c r="O838" s="2">
        <f t="shared" si="41"/>
        <v>0.44283242408442791</v>
      </c>
    </row>
    <row r="839" spans="1:15" x14ac:dyDescent="0.3">
      <c r="A839" t="s">
        <v>857</v>
      </c>
      <c r="B839" s="1">
        <v>45068</v>
      </c>
      <c r="C839" s="1">
        <v>45260</v>
      </c>
      <c r="D839">
        <v>78922.22</v>
      </c>
      <c r="E839" s="2">
        <f>(Table2[[#This Row],[revenue]]-Table2[[#This Row],[budget]])/Table2[[#This Row],[budget]]</f>
        <v>9.394970516541477</v>
      </c>
      <c r="F839" t="s">
        <v>18</v>
      </c>
      <c r="G839" t="s">
        <v>15</v>
      </c>
      <c r="H839" t="s">
        <v>13</v>
      </c>
      <c r="I839">
        <v>0.5</v>
      </c>
      <c r="J839">
        <v>820394.15</v>
      </c>
      <c r="K839">
        <f>Table2[[#This Row],[revenue]]/Table2[[#This Row],[budget]]</f>
        <v>10.394970516541475</v>
      </c>
      <c r="L839" s="2">
        <f t="shared" si="39"/>
        <v>789222.2</v>
      </c>
      <c r="M839" s="2">
        <f>(Table2[[#This Row],[Adjusted revenue]]-Table2[[#This Row],[budget]])/Table2[[#This Row],[budget]]</f>
        <v>9</v>
      </c>
      <c r="N839" t="str">
        <f t="shared" si="40"/>
        <v>OK</v>
      </c>
      <c r="O839" s="2">
        <f t="shared" si="41"/>
        <v>1</v>
      </c>
    </row>
    <row r="840" spans="1:15" x14ac:dyDescent="0.3">
      <c r="A840" t="s">
        <v>858</v>
      </c>
      <c r="B840" s="1">
        <v>44807</v>
      </c>
      <c r="C840" s="1">
        <v>45265</v>
      </c>
      <c r="D840">
        <v>29965.35</v>
      </c>
      <c r="E840" s="2">
        <f>(Table2[[#This Row],[revenue]]-Table2[[#This Row],[budget]])/Table2[[#This Row],[budget]]</f>
        <v>25.700418650207659</v>
      </c>
      <c r="F840" t="s">
        <v>11</v>
      </c>
      <c r="G840" t="s">
        <v>12</v>
      </c>
      <c r="H840" t="s">
        <v>13</v>
      </c>
      <c r="I840">
        <v>0.69</v>
      </c>
      <c r="J840">
        <v>800087.39</v>
      </c>
      <c r="K840">
        <f>Table2[[#This Row],[revenue]]/Table2[[#This Row],[budget]]</f>
        <v>26.700418650207659</v>
      </c>
      <c r="L840" s="2">
        <f t="shared" si="39"/>
        <v>299653.5</v>
      </c>
      <c r="M840" s="2">
        <f>(Table2[[#This Row],[Adjusted revenue]]-Table2[[#This Row],[budget]])/Table2[[#This Row],[budget]]</f>
        <v>9.0000000000000018</v>
      </c>
      <c r="N840" t="str">
        <f t="shared" si="40"/>
        <v>OK</v>
      </c>
      <c r="O840" s="2">
        <f t="shared" si="41"/>
        <v>1.0000000000000004</v>
      </c>
    </row>
    <row r="841" spans="1:15" x14ac:dyDescent="0.3">
      <c r="A841" t="s">
        <v>859</v>
      </c>
      <c r="B841" s="1">
        <v>44823</v>
      </c>
      <c r="C841" s="1">
        <v>45240</v>
      </c>
      <c r="D841">
        <v>44016.46</v>
      </c>
      <c r="E841" s="2">
        <f>(Table2[[#This Row],[revenue]]-Table2[[#This Row],[budget]])/Table2[[#This Row],[budget]]</f>
        <v>10.728505654475621</v>
      </c>
      <c r="F841" t="s">
        <v>21</v>
      </c>
      <c r="G841" t="s">
        <v>15</v>
      </c>
      <c r="H841" t="s">
        <v>13</v>
      </c>
      <c r="I841">
        <v>0.46</v>
      </c>
      <c r="J841">
        <v>516247.3</v>
      </c>
      <c r="K841">
        <f>Table2[[#This Row],[revenue]]/Table2[[#This Row],[budget]]</f>
        <v>11.728505654475621</v>
      </c>
      <c r="L841" s="2">
        <f t="shared" si="39"/>
        <v>440164.6</v>
      </c>
      <c r="M841" s="2">
        <f>(Table2[[#This Row],[Adjusted revenue]]-Table2[[#This Row],[budget]])/Table2[[#This Row],[budget]]</f>
        <v>9</v>
      </c>
      <c r="N841" t="str">
        <f t="shared" si="40"/>
        <v>OK</v>
      </c>
      <c r="O841" s="2">
        <f t="shared" si="41"/>
        <v>1</v>
      </c>
    </row>
    <row r="842" spans="1:15" x14ac:dyDescent="0.3">
      <c r="A842" t="s">
        <v>860</v>
      </c>
      <c r="B842" s="1">
        <v>45080</v>
      </c>
      <c r="C842" s="1">
        <v>45360</v>
      </c>
      <c r="D842">
        <v>79189.2</v>
      </c>
      <c r="E842" s="2">
        <f>(Table2[[#This Row],[revenue]]-Table2[[#This Row],[budget]])/Table2[[#This Row],[budget]]</f>
        <v>-0.87906949432498371</v>
      </c>
      <c r="F842" t="s">
        <v>21</v>
      </c>
      <c r="G842" t="s">
        <v>12</v>
      </c>
      <c r="H842" t="s">
        <v>25</v>
      </c>
      <c r="I842">
        <v>0.15</v>
      </c>
      <c r="J842">
        <v>9576.39</v>
      </c>
      <c r="K842">
        <f>Table2[[#This Row],[revenue]]/Table2[[#This Row],[budget]]</f>
        <v>0.12093050567501629</v>
      </c>
      <c r="L842" s="2">
        <f t="shared" si="39"/>
        <v>39594.6</v>
      </c>
      <c r="M842" s="2">
        <f>(Table2[[#This Row],[Adjusted revenue]]-Table2[[#This Row],[budget]])/Table2[[#This Row],[budget]]</f>
        <v>-0.5</v>
      </c>
      <c r="N842" t="str">
        <f t="shared" si="40"/>
        <v>Failed</v>
      </c>
      <c r="O842" s="2">
        <f t="shared" si="41"/>
        <v>-1</v>
      </c>
    </row>
    <row r="843" spans="1:15" x14ac:dyDescent="0.3">
      <c r="A843" t="s">
        <v>861</v>
      </c>
      <c r="B843" s="1">
        <v>45098</v>
      </c>
      <c r="C843" s="1">
        <v>45177</v>
      </c>
      <c r="D843">
        <v>65347.8</v>
      </c>
      <c r="E843" s="2">
        <f>(Table2[[#This Row],[revenue]]-Table2[[#This Row],[budget]])/Table2[[#This Row],[budget]]</f>
        <v>12.287353667606252</v>
      </c>
      <c r="F843" t="s">
        <v>18</v>
      </c>
      <c r="G843" t="s">
        <v>12</v>
      </c>
      <c r="H843" t="s">
        <v>16</v>
      </c>
      <c r="I843">
        <v>0.8</v>
      </c>
      <c r="J843">
        <v>868299.33</v>
      </c>
      <c r="K843">
        <f>Table2[[#This Row],[revenue]]/Table2[[#This Row],[budget]]</f>
        <v>13.287353667606252</v>
      </c>
      <c r="L843" s="2">
        <f t="shared" si="39"/>
        <v>653478</v>
      </c>
      <c r="M843" s="2">
        <f>(Table2[[#This Row],[Adjusted revenue]]-Table2[[#This Row],[budget]])/Table2[[#This Row],[budget]]</f>
        <v>8.9999999999999982</v>
      </c>
      <c r="N843" t="str">
        <f t="shared" si="40"/>
        <v>OK</v>
      </c>
      <c r="O843" s="2">
        <f t="shared" si="41"/>
        <v>0.99999999999999956</v>
      </c>
    </row>
    <row r="844" spans="1:15" x14ac:dyDescent="0.3">
      <c r="A844" t="s">
        <v>862</v>
      </c>
      <c r="B844" s="1">
        <v>45045</v>
      </c>
      <c r="C844" s="1">
        <v>45420</v>
      </c>
      <c r="D844">
        <v>64165.51</v>
      </c>
      <c r="E844" s="2">
        <f>(Table2[[#This Row],[revenue]]-Table2[[#This Row],[budget]])/Table2[[#This Row],[budget]]</f>
        <v>3.5236899075531385</v>
      </c>
      <c r="F844" t="s">
        <v>18</v>
      </c>
      <c r="G844" t="s">
        <v>12</v>
      </c>
      <c r="H844" t="s">
        <v>16</v>
      </c>
      <c r="I844">
        <v>0.44</v>
      </c>
      <c r="J844">
        <v>290264.87</v>
      </c>
      <c r="K844">
        <f>Table2[[#This Row],[revenue]]/Table2[[#This Row],[budget]]</f>
        <v>4.5236899075531385</v>
      </c>
      <c r="L844" s="2">
        <f t="shared" si="39"/>
        <v>290264.87</v>
      </c>
      <c r="M844" s="2">
        <f>(Table2[[#This Row],[Adjusted revenue]]-Table2[[#This Row],[budget]])/Table2[[#This Row],[budget]]</f>
        <v>3.5236899075531385</v>
      </c>
      <c r="N844" t="str">
        <f t="shared" si="40"/>
        <v>OK</v>
      </c>
      <c r="O844" s="2">
        <f t="shared" si="41"/>
        <v>-0.15290738788354974</v>
      </c>
    </row>
    <row r="845" spans="1:15" x14ac:dyDescent="0.3">
      <c r="A845" t="s">
        <v>863</v>
      </c>
      <c r="B845" s="1">
        <v>45075</v>
      </c>
      <c r="C845" s="1">
        <v>45241</v>
      </c>
      <c r="D845">
        <v>55991.95</v>
      </c>
      <c r="E845" s="2">
        <f>(Table2[[#This Row],[revenue]]-Table2[[#This Row],[budget]])/Table2[[#This Row],[budget]]</f>
        <v>16.377426397901843</v>
      </c>
      <c r="F845" t="s">
        <v>23</v>
      </c>
      <c r="G845" t="s">
        <v>12</v>
      </c>
      <c r="H845" t="s">
        <v>13</v>
      </c>
      <c r="I845">
        <v>0.72</v>
      </c>
      <c r="J845">
        <v>972995.99</v>
      </c>
      <c r="K845">
        <f>Table2[[#This Row],[revenue]]/Table2[[#This Row],[budget]]</f>
        <v>17.377426397901843</v>
      </c>
      <c r="L845" s="2">
        <f t="shared" si="39"/>
        <v>559919.5</v>
      </c>
      <c r="M845" s="2">
        <f>(Table2[[#This Row],[Adjusted revenue]]-Table2[[#This Row],[budget]])/Table2[[#This Row],[budget]]</f>
        <v>9</v>
      </c>
      <c r="N845" t="str">
        <f t="shared" si="40"/>
        <v>OK</v>
      </c>
      <c r="O845" s="2">
        <f t="shared" si="41"/>
        <v>1</v>
      </c>
    </row>
    <row r="846" spans="1:15" x14ac:dyDescent="0.3">
      <c r="A846" t="s">
        <v>864</v>
      </c>
      <c r="B846" s="1">
        <v>45041</v>
      </c>
      <c r="C846" s="1">
        <v>45364</v>
      </c>
      <c r="D846">
        <v>88094.67</v>
      </c>
      <c r="E846" s="2">
        <f>(Table2[[#This Row],[revenue]]-Table2[[#This Row],[budget]])/Table2[[#This Row],[budget]]</f>
        <v>2.3588660925797216</v>
      </c>
      <c r="F846" t="s">
        <v>11</v>
      </c>
      <c r="G846" t="s">
        <v>12</v>
      </c>
      <c r="H846" t="s">
        <v>19</v>
      </c>
      <c r="I846">
        <v>0.24</v>
      </c>
      <c r="J846">
        <v>295898.2</v>
      </c>
      <c r="K846">
        <f>Table2[[#This Row],[revenue]]/Table2[[#This Row],[budget]]</f>
        <v>3.3588660925797216</v>
      </c>
      <c r="L846" s="2">
        <f t="shared" si="39"/>
        <v>295898.2</v>
      </c>
      <c r="M846" s="2">
        <f>(Table2[[#This Row],[Adjusted revenue]]-Table2[[#This Row],[budget]])/Table2[[#This Row],[budget]]</f>
        <v>2.3588660925797216</v>
      </c>
      <c r="N846" t="str">
        <f t="shared" si="40"/>
        <v>OK</v>
      </c>
      <c r="O846" s="2">
        <f t="shared" si="41"/>
        <v>-0.3981334541937428</v>
      </c>
    </row>
    <row r="847" spans="1:15" x14ac:dyDescent="0.3">
      <c r="A847" t="s">
        <v>865</v>
      </c>
      <c r="B847" s="1">
        <v>44881</v>
      </c>
      <c r="C847" s="1">
        <v>45392</v>
      </c>
      <c r="D847">
        <v>23030.51</v>
      </c>
      <c r="E847" s="2">
        <f>(Table2[[#This Row],[revenue]]-Table2[[#This Row],[budget]])/Table2[[#This Row],[budget]]</f>
        <v>-0.38522030124387163</v>
      </c>
      <c r="F847" t="s">
        <v>23</v>
      </c>
      <c r="G847" t="s">
        <v>15</v>
      </c>
      <c r="H847" t="s">
        <v>25</v>
      </c>
      <c r="I847">
        <v>0.9</v>
      </c>
      <c r="J847">
        <v>14158.69</v>
      </c>
      <c r="K847">
        <f>Table2[[#This Row],[revenue]]/Table2[[#This Row],[budget]]</f>
        <v>0.61477969875612837</v>
      </c>
      <c r="L847" s="2">
        <f t="shared" si="39"/>
        <v>14158.69</v>
      </c>
      <c r="M847" s="2">
        <f>(Table2[[#This Row],[Adjusted revenue]]-Table2[[#This Row],[budget]])/Table2[[#This Row],[budget]]</f>
        <v>-0.38522030124387163</v>
      </c>
      <c r="N847" t="str">
        <f t="shared" si="40"/>
        <v>Failed</v>
      </c>
      <c r="O847" s="2">
        <f t="shared" si="41"/>
        <v>-0.97583585289344665</v>
      </c>
    </row>
    <row r="848" spans="1:15" x14ac:dyDescent="0.3">
      <c r="A848" t="s">
        <v>866</v>
      </c>
      <c r="B848" s="1">
        <v>45015</v>
      </c>
      <c r="C848" s="1">
        <v>45386</v>
      </c>
      <c r="D848">
        <v>44207.35</v>
      </c>
      <c r="E848" s="2">
        <f>(Table2[[#This Row],[revenue]]-Table2[[#This Row],[budget]])/Table2[[#This Row],[budget]]</f>
        <v>18.579679623411039</v>
      </c>
      <c r="F848" t="s">
        <v>23</v>
      </c>
      <c r="G848" t="s">
        <v>15</v>
      </c>
      <c r="H848" t="s">
        <v>13</v>
      </c>
      <c r="I848">
        <v>0.51</v>
      </c>
      <c r="J848">
        <v>865565.75</v>
      </c>
      <c r="K848">
        <f>Table2[[#This Row],[revenue]]/Table2[[#This Row],[budget]]</f>
        <v>19.579679623411039</v>
      </c>
      <c r="L848" s="2">
        <f t="shared" si="39"/>
        <v>442073.5</v>
      </c>
      <c r="M848" s="2">
        <f>(Table2[[#This Row],[Adjusted revenue]]-Table2[[#This Row],[budget]])/Table2[[#This Row],[budget]]</f>
        <v>9</v>
      </c>
      <c r="N848" t="str">
        <f t="shared" si="40"/>
        <v>OK</v>
      </c>
      <c r="O848" s="2">
        <f t="shared" si="41"/>
        <v>1</v>
      </c>
    </row>
    <row r="849" spans="1:15" x14ac:dyDescent="0.3">
      <c r="A849" t="s">
        <v>867</v>
      </c>
      <c r="B849" s="1">
        <v>44935</v>
      </c>
      <c r="C849" s="1">
        <v>45165</v>
      </c>
      <c r="D849">
        <v>40594.89</v>
      </c>
      <c r="E849" s="2">
        <f>(Table2[[#This Row],[revenue]]-Table2[[#This Row],[budget]])/Table2[[#This Row],[budget]]</f>
        <v>6.7184224418393548</v>
      </c>
      <c r="F849" t="s">
        <v>11</v>
      </c>
      <c r="G849" t="s">
        <v>15</v>
      </c>
      <c r="H849" t="s">
        <v>25</v>
      </c>
      <c r="I849">
        <v>0.86</v>
      </c>
      <c r="J849">
        <v>313328.51</v>
      </c>
      <c r="K849">
        <f>Table2[[#This Row],[revenue]]/Table2[[#This Row],[budget]]</f>
        <v>7.7184224418393548</v>
      </c>
      <c r="L849" s="2">
        <f t="shared" si="39"/>
        <v>313328.51</v>
      </c>
      <c r="M849" s="2">
        <f>(Table2[[#This Row],[Adjusted revenue]]-Table2[[#This Row],[budget]])/Table2[[#This Row],[budget]]</f>
        <v>6.7184224418393548</v>
      </c>
      <c r="N849" t="str">
        <f t="shared" si="40"/>
        <v>OK</v>
      </c>
      <c r="O849" s="2">
        <f t="shared" si="41"/>
        <v>0.51966788249249585</v>
      </c>
    </row>
    <row r="850" spans="1:15" x14ac:dyDescent="0.3">
      <c r="A850" t="s">
        <v>868</v>
      </c>
      <c r="B850" s="1">
        <v>44997</v>
      </c>
      <c r="C850" s="1">
        <v>45259</v>
      </c>
      <c r="D850">
        <v>55314.879999999997</v>
      </c>
      <c r="E850" s="2">
        <f>(Table2[[#This Row],[revenue]]-Table2[[#This Row],[budget]])/Table2[[#This Row],[budget]]</f>
        <v>5.406898650055826</v>
      </c>
      <c r="F850" t="s">
        <v>23</v>
      </c>
      <c r="G850" t="s">
        <v>12</v>
      </c>
      <c r="H850" t="s">
        <v>19</v>
      </c>
      <c r="I850">
        <v>0.34</v>
      </c>
      <c r="J850">
        <v>354396.83</v>
      </c>
      <c r="K850">
        <f>Table2[[#This Row],[revenue]]/Table2[[#This Row],[budget]]</f>
        <v>6.406898650055826</v>
      </c>
      <c r="L850" s="2">
        <f t="shared" si="39"/>
        <v>354396.83</v>
      </c>
      <c r="M850" s="2">
        <f>(Table2[[#This Row],[Adjusted revenue]]-Table2[[#This Row],[budget]])/Table2[[#This Row],[budget]]</f>
        <v>5.406898650055826</v>
      </c>
      <c r="N850" t="str">
        <f t="shared" si="40"/>
        <v>OK</v>
      </c>
      <c r="O850" s="2">
        <f t="shared" si="41"/>
        <v>0.24355761053806857</v>
      </c>
    </row>
    <row r="851" spans="1:15" x14ac:dyDescent="0.3">
      <c r="A851" t="s">
        <v>869</v>
      </c>
      <c r="B851" s="1">
        <v>45129</v>
      </c>
      <c r="C851" s="1">
        <v>45165</v>
      </c>
      <c r="D851">
        <v>91275.199999999997</v>
      </c>
      <c r="E851" s="2">
        <f>(Table2[[#This Row],[revenue]]-Table2[[#This Row],[budget]])/Table2[[#This Row],[budget]]</f>
        <v>7.3410388583098154</v>
      </c>
      <c r="F851" t="s">
        <v>11</v>
      </c>
      <c r="G851" t="s">
        <v>15</v>
      </c>
      <c r="H851" t="s">
        <v>19</v>
      </c>
      <c r="I851">
        <v>0.38</v>
      </c>
      <c r="J851">
        <v>761329.99</v>
      </c>
      <c r="K851">
        <f>Table2[[#This Row],[revenue]]/Table2[[#This Row],[budget]]</f>
        <v>8.3410388583098154</v>
      </c>
      <c r="L851" s="2">
        <f t="shared" si="39"/>
        <v>761329.99</v>
      </c>
      <c r="M851" s="2">
        <f>(Table2[[#This Row],[Adjusted revenue]]-Table2[[#This Row],[budget]])/Table2[[#This Row],[budget]]</f>
        <v>7.3410388583098154</v>
      </c>
      <c r="N851" t="str">
        <f t="shared" si="40"/>
        <v>OK</v>
      </c>
      <c r="O851" s="2">
        <f t="shared" si="41"/>
        <v>0.65074502280206636</v>
      </c>
    </row>
    <row r="852" spans="1:15" x14ac:dyDescent="0.3">
      <c r="A852" t="s">
        <v>870</v>
      </c>
      <c r="B852" s="1">
        <v>45009</v>
      </c>
      <c r="C852" s="1">
        <v>45458</v>
      </c>
      <c r="D852">
        <v>67716.570000000007</v>
      </c>
      <c r="E852" s="2">
        <f>(Table2[[#This Row],[revenue]]-Table2[[#This Row],[budget]])/Table2[[#This Row],[budget]]</f>
        <v>0.77861046417442559</v>
      </c>
      <c r="F852" t="s">
        <v>21</v>
      </c>
      <c r="G852" t="s">
        <v>12</v>
      </c>
      <c r="H852" t="s">
        <v>16</v>
      </c>
      <c r="I852">
        <v>0.15</v>
      </c>
      <c r="J852">
        <v>120441.4</v>
      </c>
      <c r="K852">
        <f>Table2[[#This Row],[revenue]]/Table2[[#This Row],[budget]]</f>
        <v>1.7786104641744256</v>
      </c>
      <c r="L852" s="2">
        <f t="shared" si="39"/>
        <v>120441.4</v>
      </c>
      <c r="M852" s="2">
        <f>(Table2[[#This Row],[Adjusted revenue]]-Table2[[#This Row],[budget]])/Table2[[#This Row],[budget]]</f>
        <v>0.77861046417442559</v>
      </c>
      <c r="N852" t="str">
        <f t="shared" si="40"/>
        <v>OK</v>
      </c>
      <c r="O852" s="2">
        <f t="shared" si="41"/>
        <v>-0.73081884964748933</v>
      </c>
    </row>
    <row r="853" spans="1:15" x14ac:dyDescent="0.3">
      <c r="A853" t="s">
        <v>871</v>
      </c>
      <c r="B853" s="1">
        <v>45050</v>
      </c>
      <c r="C853" s="1">
        <v>45364</v>
      </c>
      <c r="D853">
        <v>15390.47</v>
      </c>
      <c r="E853" s="2">
        <f>(Table2[[#This Row],[revenue]]-Table2[[#This Row],[budget]])/Table2[[#This Row],[budget]]</f>
        <v>17.795735282938082</v>
      </c>
      <c r="F853" t="s">
        <v>21</v>
      </c>
      <c r="G853" t="s">
        <v>12</v>
      </c>
      <c r="H853" t="s">
        <v>19</v>
      </c>
      <c r="I853">
        <v>0.72</v>
      </c>
      <c r="J853">
        <v>289275.2</v>
      </c>
      <c r="K853">
        <f>Table2[[#This Row],[revenue]]/Table2[[#This Row],[budget]]</f>
        <v>18.795735282938079</v>
      </c>
      <c r="L853" s="2">
        <f t="shared" si="39"/>
        <v>153904.69999999998</v>
      </c>
      <c r="M853" s="2">
        <f>(Table2[[#This Row],[Adjusted revenue]]-Table2[[#This Row],[budget]])/Table2[[#This Row],[budget]]</f>
        <v>9</v>
      </c>
      <c r="N853" t="str">
        <f t="shared" si="40"/>
        <v>OK</v>
      </c>
      <c r="O853" s="2">
        <f t="shared" si="41"/>
        <v>1</v>
      </c>
    </row>
    <row r="854" spans="1:15" x14ac:dyDescent="0.3">
      <c r="A854" t="s">
        <v>872</v>
      </c>
      <c r="B854" s="1">
        <v>44883</v>
      </c>
      <c r="C854" s="1">
        <v>45147</v>
      </c>
      <c r="D854">
        <v>71105.48</v>
      </c>
      <c r="E854" s="2">
        <f>(Table2[[#This Row],[revenue]]-Table2[[#This Row],[budget]])/Table2[[#This Row],[budget]]</f>
        <v>2.4136966658547276</v>
      </c>
      <c r="F854" t="s">
        <v>23</v>
      </c>
      <c r="G854" t="s">
        <v>15</v>
      </c>
      <c r="H854" t="s">
        <v>16</v>
      </c>
      <c r="I854">
        <v>0.9</v>
      </c>
      <c r="J854">
        <v>242732.54</v>
      </c>
      <c r="K854">
        <f>Table2[[#This Row],[revenue]]/Table2[[#This Row],[budget]]</f>
        <v>3.4136966658547276</v>
      </c>
      <c r="L854" s="2">
        <f t="shared" si="39"/>
        <v>242732.54</v>
      </c>
      <c r="M854" s="2">
        <f>(Table2[[#This Row],[Adjusted revenue]]-Table2[[#This Row],[budget]])/Table2[[#This Row],[budget]]</f>
        <v>2.4136966658547276</v>
      </c>
      <c r="N854" t="str">
        <f t="shared" si="40"/>
        <v>OK</v>
      </c>
      <c r="O854" s="2">
        <f t="shared" si="41"/>
        <v>-0.38659017560953102</v>
      </c>
    </row>
    <row r="855" spans="1:15" x14ac:dyDescent="0.3">
      <c r="A855" t="s">
        <v>873</v>
      </c>
      <c r="B855" s="1">
        <v>45062</v>
      </c>
      <c r="C855" s="1">
        <v>45276</v>
      </c>
      <c r="D855">
        <v>4459.25</v>
      </c>
      <c r="E855" s="2">
        <f>(Table2[[#This Row],[revenue]]-Table2[[#This Row],[budget]])/Table2[[#This Row],[budget]]</f>
        <v>63.005074844424513</v>
      </c>
      <c r="F855" t="s">
        <v>21</v>
      </c>
      <c r="G855" t="s">
        <v>15</v>
      </c>
      <c r="H855" t="s">
        <v>19</v>
      </c>
      <c r="I855">
        <v>0.62</v>
      </c>
      <c r="J855">
        <v>285414.63</v>
      </c>
      <c r="K855">
        <f>Table2[[#This Row],[revenue]]/Table2[[#This Row],[budget]]</f>
        <v>64.005074844424513</v>
      </c>
      <c r="L855" s="2">
        <f t="shared" si="39"/>
        <v>44592.5</v>
      </c>
      <c r="M855" s="2">
        <f>(Table2[[#This Row],[Adjusted revenue]]-Table2[[#This Row],[budget]])/Table2[[#This Row],[budget]]</f>
        <v>9</v>
      </c>
      <c r="N855" t="str">
        <f t="shared" si="40"/>
        <v>OK</v>
      </c>
      <c r="O855" s="2">
        <f t="shared" si="41"/>
        <v>1</v>
      </c>
    </row>
    <row r="856" spans="1:15" x14ac:dyDescent="0.3">
      <c r="A856" t="s">
        <v>874</v>
      </c>
      <c r="B856" s="1">
        <v>44870</v>
      </c>
      <c r="C856" s="1">
        <v>45228</v>
      </c>
      <c r="D856">
        <v>30382.560000000001</v>
      </c>
      <c r="E856" s="2">
        <f>(Table2[[#This Row],[revenue]]-Table2[[#This Row],[budget]])/Table2[[#This Row],[budget]]</f>
        <v>13.52872239863922</v>
      </c>
      <c r="F856" t="s">
        <v>21</v>
      </c>
      <c r="G856" t="s">
        <v>12</v>
      </c>
      <c r="H856" t="s">
        <v>19</v>
      </c>
      <c r="I856">
        <v>0.95</v>
      </c>
      <c r="J856">
        <v>441419.78</v>
      </c>
      <c r="K856">
        <f>Table2[[#This Row],[revenue]]/Table2[[#This Row],[budget]]</f>
        <v>14.52872239863922</v>
      </c>
      <c r="L856" s="2">
        <f t="shared" si="39"/>
        <v>303825.60000000003</v>
      </c>
      <c r="M856" s="2">
        <f>(Table2[[#This Row],[Adjusted revenue]]-Table2[[#This Row],[budget]])/Table2[[#This Row],[budget]]</f>
        <v>9</v>
      </c>
      <c r="N856" t="str">
        <f t="shared" si="40"/>
        <v>OK</v>
      </c>
      <c r="O856" s="2">
        <f t="shared" si="41"/>
        <v>1</v>
      </c>
    </row>
    <row r="857" spans="1:15" x14ac:dyDescent="0.3">
      <c r="A857" t="s">
        <v>875</v>
      </c>
      <c r="B857" s="1">
        <v>45017</v>
      </c>
      <c r="C857" s="1">
        <v>45491</v>
      </c>
      <c r="D857">
        <v>29527.93</v>
      </c>
      <c r="E857" s="2">
        <f>(Table2[[#This Row],[revenue]]-Table2[[#This Row],[budget]])/Table2[[#This Row],[budget]]</f>
        <v>3.8321582312068609</v>
      </c>
      <c r="F857" t="s">
        <v>23</v>
      </c>
      <c r="G857" t="s">
        <v>15</v>
      </c>
      <c r="H857" t="s">
        <v>19</v>
      </c>
      <c r="I857">
        <v>0.61</v>
      </c>
      <c r="J857">
        <v>142683.63</v>
      </c>
      <c r="K857">
        <f>Table2[[#This Row],[revenue]]/Table2[[#This Row],[budget]]</f>
        <v>4.8321582312068605</v>
      </c>
      <c r="L857" s="2">
        <f t="shared" si="39"/>
        <v>142683.63</v>
      </c>
      <c r="M857" s="2">
        <f>(Table2[[#This Row],[Adjusted revenue]]-Table2[[#This Row],[budget]])/Table2[[#This Row],[budget]]</f>
        <v>3.8321582312068609</v>
      </c>
      <c r="N857" t="str">
        <f t="shared" si="40"/>
        <v>OK</v>
      </c>
      <c r="O857" s="2">
        <f t="shared" si="41"/>
        <v>-8.7966688166976503E-2</v>
      </c>
    </row>
    <row r="858" spans="1:15" x14ac:dyDescent="0.3">
      <c r="A858" t="s">
        <v>876</v>
      </c>
      <c r="B858" s="1">
        <v>44926</v>
      </c>
      <c r="C858" s="1">
        <v>45451</v>
      </c>
      <c r="D858">
        <v>97339.13</v>
      </c>
      <c r="E858" s="2">
        <f>(Table2[[#This Row],[revenue]]-Table2[[#This Row],[budget]])/Table2[[#This Row],[budget]]</f>
        <v>3.2058694175713298</v>
      </c>
      <c r="F858" t="s">
        <v>11</v>
      </c>
      <c r="G858" t="s">
        <v>12</v>
      </c>
      <c r="H858" t="s">
        <v>13</v>
      </c>
      <c r="I858">
        <v>0.69</v>
      </c>
      <c r="J858">
        <v>409395.67</v>
      </c>
      <c r="K858">
        <f>Table2[[#This Row],[revenue]]/Table2[[#This Row],[budget]]</f>
        <v>4.2058694175713303</v>
      </c>
      <c r="L858" s="2">
        <f t="shared" si="39"/>
        <v>409395.67</v>
      </c>
      <c r="M858" s="2">
        <f>(Table2[[#This Row],[Adjusted revenue]]-Table2[[#This Row],[budget]])/Table2[[#This Row],[budget]]</f>
        <v>3.2058694175713298</v>
      </c>
      <c r="N858" t="str">
        <f t="shared" si="40"/>
        <v>OK</v>
      </c>
      <c r="O858" s="2">
        <f t="shared" si="41"/>
        <v>-0.21981696472182533</v>
      </c>
    </row>
    <row r="859" spans="1:15" x14ac:dyDescent="0.3">
      <c r="A859" t="s">
        <v>877</v>
      </c>
      <c r="B859" s="1">
        <v>44899</v>
      </c>
      <c r="C859" s="1">
        <v>45370</v>
      </c>
      <c r="D859">
        <v>38723.339999999997</v>
      </c>
      <c r="E859" s="2">
        <f>(Table2[[#This Row],[revenue]]-Table2[[#This Row],[budget]])/Table2[[#This Row],[budget]]</f>
        <v>2.1639773325338161</v>
      </c>
      <c r="F859" t="s">
        <v>11</v>
      </c>
      <c r="G859" t="s">
        <v>15</v>
      </c>
      <c r="H859" t="s">
        <v>25</v>
      </c>
      <c r="I859">
        <v>0.22</v>
      </c>
      <c r="J859">
        <v>122519.77</v>
      </c>
      <c r="K859">
        <f>Table2[[#This Row],[revenue]]/Table2[[#This Row],[budget]]</f>
        <v>3.1639773325338161</v>
      </c>
      <c r="L859" s="2">
        <f t="shared" si="39"/>
        <v>122519.77</v>
      </c>
      <c r="M859" s="2">
        <f>(Table2[[#This Row],[Adjusted revenue]]-Table2[[#This Row],[budget]])/Table2[[#This Row],[budget]]</f>
        <v>2.1639773325338161</v>
      </c>
      <c r="N859" t="str">
        <f t="shared" si="40"/>
        <v>OK</v>
      </c>
      <c r="O859" s="2">
        <f t="shared" si="41"/>
        <v>-0.43916266683498606</v>
      </c>
    </row>
    <row r="860" spans="1:15" x14ac:dyDescent="0.3">
      <c r="A860" t="s">
        <v>878</v>
      </c>
      <c r="B860" s="1">
        <v>44804</v>
      </c>
      <c r="C860" s="1">
        <v>45258</v>
      </c>
      <c r="D860">
        <v>62234.75</v>
      </c>
      <c r="E860" s="2">
        <f>(Table2[[#This Row],[revenue]]-Table2[[#This Row],[budget]])/Table2[[#This Row],[budget]]</f>
        <v>9.2978204299045153</v>
      </c>
      <c r="F860" t="s">
        <v>11</v>
      </c>
      <c r="G860" t="s">
        <v>12</v>
      </c>
      <c r="H860" t="s">
        <v>16</v>
      </c>
      <c r="I860">
        <v>0.84</v>
      </c>
      <c r="J860">
        <v>640882.28</v>
      </c>
      <c r="K860">
        <f>Table2[[#This Row],[revenue]]/Table2[[#This Row],[budget]]</f>
        <v>10.297820429904515</v>
      </c>
      <c r="L860" s="2">
        <f t="shared" si="39"/>
        <v>622347.5</v>
      </c>
      <c r="M860" s="2">
        <f>(Table2[[#This Row],[Adjusted revenue]]-Table2[[#This Row],[budget]])/Table2[[#This Row],[budget]]</f>
        <v>9</v>
      </c>
      <c r="N860" t="str">
        <f t="shared" si="40"/>
        <v>OK</v>
      </c>
      <c r="O860" s="2">
        <f t="shared" si="41"/>
        <v>1</v>
      </c>
    </row>
    <row r="861" spans="1:15" x14ac:dyDescent="0.3">
      <c r="A861" t="s">
        <v>879</v>
      </c>
      <c r="B861" s="1">
        <v>44977</v>
      </c>
      <c r="C861" s="1">
        <v>45219</v>
      </c>
      <c r="D861">
        <v>63478.39</v>
      </c>
      <c r="E861" s="2">
        <f>(Table2[[#This Row],[revenue]]-Table2[[#This Row],[budget]])/Table2[[#This Row],[budget]]</f>
        <v>7.8750284939488857</v>
      </c>
      <c r="F861" t="s">
        <v>18</v>
      </c>
      <c r="G861" t="s">
        <v>12</v>
      </c>
      <c r="H861" t="s">
        <v>13</v>
      </c>
      <c r="I861">
        <v>0.28000000000000003</v>
      </c>
      <c r="J861">
        <v>563372.52</v>
      </c>
      <c r="K861">
        <f>Table2[[#This Row],[revenue]]/Table2[[#This Row],[budget]]</f>
        <v>8.8750284939488857</v>
      </c>
      <c r="L861" s="2">
        <f t="shared" si="39"/>
        <v>563372.52</v>
      </c>
      <c r="M861" s="2">
        <f>(Table2[[#This Row],[Adjusted revenue]]-Table2[[#This Row],[budget]])/Table2[[#This Row],[budget]]</f>
        <v>7.8750284939488857</v>
      </c>
      <c r="N861" t="str">
        <f t="shared" si="40"/>
        <v>OK</v>
      </c>
      <c r="O861" s="2">
        <f t="shared" si="41"/>
        <v>0.76316389346292324</v>
      </c>
    </row>
    <row r="862" spans="1:15" x14ac:dyDescent="0.3">
      <c r="A862" t="s">
        <v>880</v>
      </c>
      <c r="B862" s="1">
        <v>44955</v>
      </c>
      <c r="C862" s="1">
        <v>45501</v>
      </c>
      <c r="D862">
        <v>93236.34</v>
      </c>
      <c r="E862" s="2">
        <f>(Table2[[#This Row],[revenue]]-Table2[[#This Row],[budget]])/Table2[[#This Row],[budget]]</f>
        <v>4.8559676409434349</v>
      </c>
      <c r="F862" t="s">
        <v>21</v>
      </c>
      <c r="G862" t="s">
        <v>15</v>
      </c>
      <c r="H862" t="s">
        <v>25</v>
      </c>
      <c r="I862">
        <v>0.85</v>
      </c>
      <c r="J862">
        <v>545988.99</v>
      </c>
      <c r="K862">
        <f>Table2[[#This Row],[revenue]]/Table2[[#This Row],[budget]]</f>
        <v>5.8559676409434349</v>
      </c>
      <c r="L862" s="2">
        <f t="shared" si="39"/>
        <v>545988.99</v>
      </c>
      <c r="M862" s="2">
        <f>(Table2[[#This Row],[Adjusted revenue]]-Table2[[#This Row],[budget]])/Table2[[#This Row],[budget]]</f>
        <v>4.8559676409434349</v>
      </c>
      <c r="N862" t="str">
        <f t="shared" si="40"/>
        <v>OK</v>
      </c>
      <c r="O862" s="2">
        <f t="shared" si="41"/>
        <v>0.12757213493545994</v>
      </c>
    </row>
    <row r="863" spans="1:15" x14ac:dyDescent="0.3">
      <c r="A863" t="s">
        <v>881</v>
      </c>
      <c r="B863" s="1">
        <v>45088</v>
      </c>
      <c r="C863" s="1">
        <v>45490</v>
      </c>
      <c r="D863">
        <v>84718.25</v>
      </c>
      <c r="E863" s="2">
        <f>(Table2[[#This Row],[revenue]]-Table2[[#This Row],[budget]])/Table2[[#This Row],[budget]]</f>
        <v>-9.1438267433522361E-2</v>
      </c>
      <c r="F863" t="s">
        <v>23</v>
      </c>
      <c r="G863" t="s">
        <v>12</v>
      </c>
      <c r="H863" t="s">
        <v>19</v>
      </c>
      <c r="I863">
        <v>0.97</v>
      </c>
      <c r="J863">
        <v>76971.759999999995</v>
      </c>
      <c r="K863">
        <f>Table2[[#This Row],[revenue]]/Table2[[#This Row],[budget]]</f>
        <v>0.90856173256647765</v>
      </c>
      <c r="L863" s="2">
        <f t="shared" si="39"/>
        <v>76971.759999999995</v>
      </c>
      <c r="M863" s="2">
        <f>(Table2[[#This Row],[Adjusted revenue]]-Table2[[#This Row],[budget]])/Table2[[#This Row],[budget]]</f>
        <v>-9.1438267433522361E-2</v>
      </c>
      <c r="N863" t="str">
        <f t="shared" si="40"/>
        <v>Failed</v>
      </c>
      <c r="O863" s="2">
        <f t="shared" si="41"/>
        <v>-0.91398700367021524</v>
      </c>
    </row>
    <row r="864" spans="1:15" x14ac:dyDescent="0.3">
      <c r="A864" t="s">
        <v>882</v>
      </c>
      <c r="B864" s="1">
        <v>44798</v>
      </c>
      <c r="C864" s="1">
        <v>45153</v>
      </c>
      <c r="D864">
        <v>17398.099999999999</v>
      </c>
      <c r="E864" s="2">
        <f>(Table2[[#This Row],[revenue]]-Table2[[#This Row],[budget]])/Table2[[#This Row],[budget]]</f>
        <v>1.0920359119673988</v>
      </c>
      <c r="F864" t="s">
        <v>11</v>
      </c>
      <c r="G864" t="s">
        <v>15</v>
      </c>
      <c r="H864" t="s">
        <v>19</v>
      </c>
      <c r="I864">
        <v>0.6</v>
      </c>
      <c r="J864">
        <v>36397.449999999997</v>
      </c>
      <c r="K864">
        <f>Table2[[#This Row],[revenue]]/Table2[[#This Row],[budget]]</f>
        <v>2.0920359119673986</v>
      </c>
      <c r="L864" s="2">
        <f t="shared" si="39"/>
        <v>36397.449999999997</v>
      </c>
      <c r="M864" s="2">
        <f>(Table2[[#This Row],[Adjusted revenue]]-Table2[[#This Row],[budget]])/Table2[[#This Row],[budget]]</f>
        <v>1.0920359119673988</v>
      </c>
      <c r="N864" t="str">
        <f t="shared" si="40"/>
        <v>OK</v>
      </c>
      <c r="O864" s="2">
        <f t="shared" si="41"/>
        <v>-0.66483454484896876</v>
      </c>
    </row>
    <row r="865" spans="1:15" x14ac:dyDescent="0.3">
      <c r="A865" t="s">
        <v>883</v>
      </c>
      <c r="B865" s="1">
        <v>45078</v>
      </c>
      <c r="C865" s="1">
        <v>45317</v>
      </c>
      <c r="D865">
        <v>78135.600000000006</v>
      </c>
      <c r="E865" s="2">
        <f>(Table2[[#This Row],[revenue]]-Table2[[#This Row],[budget]])/Table2[[#This Row],[budget]]</f>
        <v>6.0538492057397653</v>
      </c>
      <c r="F865" t="s">
        <v>18</v>
      </c>
      <c r="G865" t="s">
        <v>12</v>
      </c>
      <c r="H865" t="s">
        <v>25</v>
      </c>
      <c r="I865">
        <v>0.11</v>
      </c>
      <c r="J865">
        <v>551156.74</v>
      </c>
      <c r="K865">
        <f>Table2[[#This Row],[revenue]]/Table2[[#This Row],[budget]]</f>
        <v>7.0538492057397644</v>
      </c>
      <c r="L865" s="2">
        <f t="shared" si="39"/>
        <v>551156.74</v>
      </c>
      <c r="M865" s="2">
        <f>(Table2[[#This Row],[Adjusted revenue]]-Table2[[#This Row],[budget]])/Table2[[#This Row],[budget]]</f>
        <v>6.0538492057397653</v>
      </c>
      <c r="N865" t="str">
        <f t="shared" si="40"/>
        <v>OK</v>
      </c>
      <c r="O865" s="2">
        <f t="shared" si="41"/>
        <v>0.37975772752416104</v>
      </c>
    </row>
    <row r="866" spans="1:15" x14ac:dyDescent="0.3">
      <c r="A866" t="s">
        <v>884</v>
      </c>
      <c r="B866" s="1">
        <v>45024</v>
      </c>
      <c r="C866" s="1">
        <v>45188</v>
      </c>
      <c r="D866">
        <v>24769.599999999999</v>
      </c>
      <c r="E866" s="2">
        <f>(Table2[[#This Row],[revenue]]-Table2[[#This Row],[budget]])/Table2[[#This Row],[budget]]</f>
        <v>5.5396029810735747</v>
      </c>
      <c r="F866" t="s">
        <v>23</v>
      </c>
      <c r="G866" t="s">
        <v>12</v>
      </c>
      <c r="H866" t="s">
        <v>13</v>
      </c>
      <c r="I866">
        <v>0.9</v>
      </c>
      <c r="J866">
        <v>161983.35</v>
      </c>
      <c r="K866">
        <f>Table2[[#This Row],[revenue]]/Table2[[#This Row],[budget]]</f>
        <v>6.5396029810735747</v>
      </c>
      <c r="L866" s="2">
        <f t="shared" si="39"/>
        <v>161983.35</v>
      </c>
      <c r="M866" s="2">
        <f>(Table2[[#This Row],[Adjusted revenue]]-Table2[[#This Row],[budget]])/Table2[[#This Row],[budget]]</f>
        <v>5.5396029810735747</v>
      </c>
      <c r="N866" t="str">
        <f t="shared" si="40"/>
        <v>OK</v>
      </c>
      <c r="O866" s="2">
        <f t="shared" si="41"/>
        <v>0.2714953644365421</v>
      </c>
    </row>
    <row r="867" spans="1:15" x14ac:dyDescent="0.3">
      <c r="A867" t="s">
        <v>885</v>
      </c>
      <c r="B867" s="1">
        <v>44775</v>
      </c>
      <c r="C867" s="1">
        <v>45389</v>
      </c>
      <c r="D867">
        <v>36943.949999999997</v>
      </c>
      <c r="E867" s="2">
        <f>(Table2[[#This Row],[revenue]]-Table2[[#This Row],[budget]])/Table2[[#This Row],[budget]]</f>
        <v>2.6611391039669559</v>
      </c>
      <c r="F867" t="s">
        <v>23</v>
      </c>
      <c r="G867" t="s">
        <v>15</v>
      </c>
      <c r="H867" t="s">
        <v>25</v>
      </c>
      <c r="I867">
        <v>0.46</v>
      </c>
      <c r="J867">
        <v>135256.94</v>
      </c>
      <c r="K867">
        <f>Table2[[#This Row],[revenue]]/Table2[[#This Row],[budget]]</f>
        <v>3.6611391039669559</v>
      </c>
      <c r="L867" s="2">
        <f t="shared" si="39"/>
        <v>135256.94</v>
      </c>
      <c r="M867" s="2">
        <f>(Table2[[#This Row],[Adjusted revenue]]-Table2[[#This Row],[budget]])/Table2[[#This Row],[budget]]</f>
        <v>2.6611391039669559</v>
      </c>
      <c r="N867" t="str">
        <f t="shared" si="40"/>
        <v>OK</v>
      </c>
      <c r="O867" s="2">
        <f t="shared" si="41"/>
        <v>-0.33449703074379877</v>
      </c>
    </row>
    <row r="868" spans="1:15" x14ac:dyDescent="0.3">
      <c r="A868" t="s">
        <v>886</v>
      </c>
      <c r="B868" s="1">
        <v>45060</v>
      </c>
      <c r="C868" s="1">
        <v>45499</v>
      </c>
      <c r="D868">
        <v>67417.39</v>
      </c>
      <c r="E868" s="2">
        <f>(Table2[[#This Row],[revenue]]-Table2[[#This Row],[budget]])/Table2[[#This Row],[budget]]</f>
        <v>3.3189349216871196</v>
      </c>
      <c r="F868" t="s">
        <v>18</v>
      </c>
      <c r="G868" t="s">
        <v>15</v>
      </c>
      <c r="H868" t="s">
        <v>19</v>
      </c>
      <c r="I868">
        <v>0.74</v>
      </c>
      <c r="J868">
        <v>291171.32</v>
      </c>
      <c r="K868">
        <f>Table2[[#This Row],[revenue]]/Table2[[#This Row],[budget]]</f>
        <v>4.31893492168712</v>
      </c>
      <c r="L868" s="2">
        <f t="shared" si="39"/>
        <v>291171.32</v>
      </c>
      <c r="M868" s="2">
        <f>(Table2[[#This Row],[Adjusted revenue]]-Table2[[#This Row],[budget]])/Table2[[#This Row],[budget]]</f>
        <v>3.3189349216871196</v>
      </c>
      <c r="N868" t="str">
        <f t="shared" si="40"/>
        <v>OK</v>
      </c>
      <c r="O868" s="2">
        <f t="shared" si="41"/>
        <v>-0.1960137006974485</v>
      </c>
    </row>
    <row r="869" spans="1:15" x14ac:dyDescent="0.3">
      <c r="A869" t="s">
        <v>887</v>
      </c>
      <c r="B869" s="1">
        <v>44908</v>
      </c>
      <c r="C869" s="1">
        <v>45183</v>
      </c>
      <c r="D869">
        <v>65008.76</v>
      </c>
      <c r="E869" s="2">
        <f>(Table2[[#This Row],[revenue]]-Table2[[#This Row],[budget]])/Table2[[#This Row],[budget]]</f>
        <v>5.6746758436862974</v>
      </c>
      <c r="F869" t="s">
        <v>18</v>
      </c>
      <c r="G869" t="s">
        <v>12</v>
      </c>
      <c r="H869" t="s">
        <v>19</v>
      </c>
      <c r="I869">
        <v>0.36</v>
      </c>
      <c r="J869">
        <v>433912.4</v>
      </c>
      <c r="K869">
        <f>Table2[[#This Row],[revenue]]/Table2[[#This Row],[budget]]</f>
        <v>6.6746758436862974</v>
      </c>
      <c r="L869" s="2">
        <f t="shared" si="39"/>
        <v>433912.4</v>
      </c>
      <c r="M869" s="2">
        <f>(Table2[[#This Row],[Adjusted revenue]]-Table2[[#This Row],[budget]])/Table2[[#This Row],[budget]]</f>
        <v>5.6746758436862974</v>
      </c>
      <c r="N869" t="str">
        <f t="shared" si="40"/>
        <v>OK</v>
      </c>
      <c r="O869" s="2">
        <f t="shared" si="41"/>
        <v>0.29993175656553639</v>
      </c>
    </row>
    <row r="870" spans="1:15" x14ac:dyDescent="0.3">
      <c r="A870" t="s">
        <v>888</v>
      </c>
      <c r="B870" s="1">
        <v>45098</v>
      </c>
      <c r="C870" s="1">
        <v>45273</v>
      </c>
      <c r="D870">
        <v>75478.5</v>
      </c>
      <c r="E870" s="2">
        <f>(Table2[[#This Row],[revenue]]-Table2[[#This Row],[budget]])/Table2[[#This Row],[budget]]</f>
        <v>3.9407221924124087</v>
      </c>
      <c r="F870" t="s">
        <v>23</v>
      </c>
      <c r="G870" t="s">
        <v>12</v>
      </c>
      <c r="H870" t="s">
        <v>25</v>
      </c>
      <c r="I870">
        <v>0.34</v>
      </c>
      <c r="J870">
        <v>372918.3</v>
      </c>
      <c r="K870">
        <f>Table2[[#This Row],[revenue]]/Table2[[#This Row],[budget]]</f>
        <v>4.9407221924124087</v>
      </c>
      <c r="L870" s="2">
        <f t="shared" si="39"/>
        <v>372918.3</v>
      </c>
      <c r="M870" s="2">
        <f>(Table2[[#This Row],[Adjusted revenue]]-Table2[[#This Row],[budget]])/Table2[[#This Row],[budget]]</f>
        <v>3.9407221924124087</v>
      </c>
      <c r="N870" t="str">
        <f t="shared" si="40"/>
        <v>OK</v>
      </c>
      <c r="O870" s="2">
        <f t="shared" si="41"/>
        <v>-6.5111117386861372E-2</v>
      </c>
    </row>
    <row r="871" spans="1:15" x14ac:dyDescent="0.3">
      <c r="A871" t="s">
        <v>889</v>
      </c>
      <c r="B871" s="1">
        <v>44871</v>
      </c>
      <c r="C871" s="1">
        <v>45444</v>
      </c>
      <c r="D871">
        <v>30574.799999999999</v>
      </c>
      <c r="E871" s="2">
        <f>(Table2[[#This Row],[revenue]]-Table2[[#This Row],[budget]])/Table2[[#This Row],[budget]]</f>
        <v>31.246646584769156</v>
      </c>
      <c r="F871" t="s">
        <v>21</v>
      </c>
      <c r="G871" t="s">
        <v>15</v>
      </c>
      <c r="H871" t="s">
        <v>16</v>
      </c>
      <c r="I871">
        <v>0.92</v>
      </c>
      <c r="J871">
        <v>985934.77</v>
      </c>
      <c r="K871">
        <f>Table2[[#This Row],[revenue]]/Table2[[#This Row],[budget]]</f>
        <v>32.246646584769159</v>
      </c>
      <c r="L871" s="2">
        <f t="shared" si="39"/>
        <v>305748</v>
      </c>
      <c r="M871" s="2">
        <f>(Table2[[#This Row],[Adjusted revenue]]-Table2[[#This Row],[budget]])/Table2[[#This Row],[budget]]</f>
        <v>9</v>
      </c>
      <c r="N871" t="str">
        <f t="shared" si="40"/>
        <v>OK</v>
      </c>
      <c r="O871" s="2">
        <f t="shared" si="41"/>
        <v>1</v>
      </c>
    </row>
    <row r="872" spans="1:15" x14ac:dyDescent="0.3">
      <c r="A872" t="s">
        <v>890</v>
      </c>
      <c r="B872" s="1">
        <v>44952</v>
      </c>
      <c r="C872" s="1">
        <v>45423</v>
      </c>
      <c r="D872">
        <v>73452.84</v>
      </c>
      <c r="E872" s="2">
        <f>(Table2[[#This Row],[revenue]]-Table2[[#This Row],[budget]])/Table2[[#This Row],[budget]]</f>
        <v>10.848156041345712</v>
      </c>
      <c r="F872" t="s">
        <v>18</v>
      </c>
      <c r="G872" t="s">
        <v>12</v>
      </c>
      <c r="H872" t="s">
        <v>19</v>
      </c>
      <c r="I872">
        <v>0.83</v>
      </c>
      <c r="J872">
        <v>870280.71</v>
      </c>
      <c r="K872">
        <f>Table2[[#This Row],[revenue]]/Table2[[#This Row],[budget]]</f>
        <v>11.848156041345712</v>
      </c>
      <c r="L872" s="2">
        <f t="shared" si="39"/>
        <v>734528.39999999991</v>
      </c>
      <c r="M872" s="2">
        <f>(Table2[[#This Row],[Adjusted revenue]]-Table2[[#This Row],[budget]])/Table2[[#This Row],[budget]]</f>
        <v>9</v>
      </c>
      <c r="N872" t="str">
        <f t="shared" si="40"/>
        <v>OK</v>
      </c>
      <c r="O872" s="2">
        <f t="shared" si="41"/>
        <v>1</v>
      </c>
    </row>
    <row r="873" spans="1:15" x14ac:dyDescent="0.3">
      <c r="A873" t="s">
        <v>891</v>
      </c>
      <c r="B873" s="1">
        <v>45038</v>
      </c>
      <c r="C873" s="1">
        <v>45374</v>
      </c>
      <c r="D873">
        <v>2113.42</v>
      </c>
      <c r="E873" s="2">
        <f>(Table2[[#This Row],[revenue]]-Table2[[#This Row],[budget]])/Table2[[#This Row],[budget]]</f>
        <v>256.95373849021962</v>
      </c>
      <c r="F873" t="s">
        <v>11</v>
      </c>
      <c r="G873" t="s">
        <v>15</v>
      </c>
      <c r="H873" t="s">
        <v>19</v>
      </c>
      <c r="I873">
        <v>0.6</v>
      </c>
      <c r="J873">
        <v>545164.59</v>
      </c>
      <c r="K873">
        <f>Table2[[#This Row],[revenue]]/Table2[[#This Row],[budget]]</f>
        <v>257.95373849021962</v>
      </c>
      <c r="L873" s="2">
        <f t="shared" si="39"/>
        <v>21134.2</v>
      </c>
      <c r="M873" s="2">
        <f>(Table2[[#This Row],[Adjusted revenue]]-Table2[[#This Row],[budget]])/Table2[[#This Row],[budget]]</f>
        <v>9</v>
      </c>
      <c r="N873" t="str">
        <f t="shared" si="40"/>
        <v>OK</v>
      </c>
      <c r="O873" s="2">
        <f t="shared" si="41"/>
        <v>1</v>
      </c>
    </row>
    <row r="874" spans="1:15" x14ac:dyDescent="0.3">
      <c r="A874" t="s">
        <v>892</v>
      </c>
      <c r="B874" s="1">
        <v>45066</v>
      </c>
      <c r="C874" s="1">
        <v>45160</v>
      </c>
      <c r="D874">
        <v>43439.29</v>
      </c>
      <c r="E874" s="2">
        <f>(Table2[[#This Row],[revenue]]-Table2[[#This Row],[budget]])/Table2[[#This Row],[budget]]</f>
        <v>19.434194711745977</v>
      </c>
      <c r="F874" t="s">
        <v>23</v>
      </c>
      <c r="G874" t="s">
        <v>12</v>
      </c>
      <c r="H874" t="s">
        <v>19</v>
      </c>
      <c r="I874">
        <v>0.24</v>
      </c>
      <c r="J874">
        <v>887646.91</v>
      </c>
      <c r="K874">
        <f>Table2[[#This Row],[revenue]]/Table2[[#This Row],[budget]]</f>
        <v>20.434194711745981</v>
      </c>
      <c r="L874" s="2">
        <f t="shared" si="39"/>
        <v>434392.9</v>
      </c>
      <c r="M874" s="2">
        <f>(Table2[[#This Row],[Adjusted revenue]]-Table2[[#This Row],[budget]])/Table2[[#This Row],[budget]]</f>
        <v>9</v>
      </c>
      <c r="N874" t="str">
        <f t="shared" si="40"/>
        <v>OK</v>
      </c>
      <c r="O874" s="2">
        <f t="shared" si="41"/>
        <v>1</v>
      </c>
    </row>
    <row r="875" spans="1:15" x14ac:dyDescent="0.3">
      <c r="A875" t="s">
        <v>893</v>
      </c>
      <c r="B875" s="1">
        <v>44951</v>
      </c>
      <c r="C875" s="1">
        <v>45252</v>
      </c>
      <c r="D875">
        <v>55795.59</v>
      </c>
      <c r="E875" s="2">
        <f>(Table2[[#This Row],[revenue]]-Table2[[#This Row],[budget]])/Table2[[#This Row],[budget]]</f>
        <v>11.168119380044196</v>
      </c>
      <c r="F875" t="s">
        <v>23</v>
      </c>
      <c r="G875" t="s">
        <v>12</v>
      </c>
      <c r="H875" t="s">
        <v>13</v>
      </c>
      <c r="I875">
        <v>0.7</v>
      </c>
      <c r="J875">
        <v>678927.4</v>
      </c>
      <c r="K875">
        <f>Table2[[#This Row],[revenue]]/Table2[[#This Row],[budget]]</f>
        <v>12.168119380044194</v>
      </c>
      <c r="L875" s="2">
        <f t="shared" si="39"/>
        <v>557955.89999999991</v>
      </c>
      <c r="M875" s="2">
        <f>(Table2[[#This Row],[Adjusted revenue]]-Table2[[#This Row],[budget]])/Table2[[#This Row],[budget]]</f>
        <v>9</v>
      </c>
      <c r="N875" t="str">
        <f t="shared" si="40"/>
        <v>OK</v>
      </c>
      <c r="O875" s="2">
        <f t="shared" si="41"/>
        <v>1</v>
      </c>
    </row>
    <row r="876" spans="1:15" x14ac:dyDescent="0.3">
      <c r="A876" t="s">
        <v>894</v>
      </c>
      <c r="B876" s="1">
        <v>45063</v>
      </c>
      <c r="C876" s="1">
        <v>45467</v>
      </c>
      <c r="D876">
        <v>7795.44</v>
      </c>
      <c r="E876" s="2">
        <f>(Table2[[#This Row],[revenue]]-Table2[[#This Row],[budget]])/Table2[[#This Row],[budget]]</f>
        <v>67.410831203883305</v>
      </c>
      <c r="F876" t="s">
        <v>23</v>
      </c>
      <c r="G876" t="s">
        <v>12</v>
      </c>
      <c r="H876" t="s">
        <v>13</v>
      </c>
      <c r="I876">
        <v>0.24</v>
      </c>
      <c r="J876">
        <v>533292.53</v>
      </c>
      <c r="K876">
        <f>Table2[[#This Row],[revenue]]/Table2[[#This Row],[budget]]</f>
        <v>68.410831203883305</v>
      </c>
      <c r="L876" s="2">
        <f t="shared" si="39"/>
        <v>77954.399999999994</v>
      </c>
      <c r="M876" s="2">
        <f>(Table2[[#This Row],[Adjusted revenue]]-Table2[[#This Row],[budget]])/Table2[[#This Row],[budget]]</f>
        <v>9</v>
      </c>
      <c r="N876" t="str">
        <f t="shared" si="40"/>
        <v>OK</v>
      </c>
      <c r="O876" s="2">
        <f t="shared" si="41"/>
        <v>1</v>
      </c>
    </row>
    <row r="877" spans="1:15" x14ac:dyDescent="0.3">
      <c r="A877" t="s">
        <v>895</v>
      </c>
      <c r="B877" s="1">
        <v>45054</v>
      </c>
      <c r="C877" s="1">
        <v>45246</v>
      </c>
      <c r="D877">
        <v>93728.56</v>
      </c>
      <c r="E877" s="2">
        <f>(Table2[[#This Row],[revenue]]-Table2[[#This Row],[budget]])/Table2[[#This Row],[budget]]</f>
        <v>2.9652835805863229</v>
      </c>
      <c r="F877" t="s">
        <v>21</v>
      </c>
      <c r="G877" t="s">
        <v>12</v>
      </c>
      <c r="H877" t="s">
        <v>19</v>
      </c>
      <c r="I877">
        <v>0.68</v>
      </c>
      <c r="J877">
        <v>371660.32</v>
      </c>
      <c r="K877">
        <f>Table2[[#This Row],[revenue]]/Table2[[#This Row],[budget]]</f>
        <v>3.9652835805863229</v>
      </c>
      <c r="L877" s="2">
        <f t="shared" si="39"/>
        <v>371660.32</v>
      </c>
      <c r="M877" s="2">
        <f>(Table2[[#This Row],[Adjusted revenue]]-Table2[[#This Row],[budget]])/Table2[[#This Row],[budget]]</f>
        <v>2.9652835805863229</v>
      </c>
      <c r="N877" t="str">
        <f t="shared" si="40"/>
        <v>OK</v>
      </c>
      <c r="O877" s="2">
        <f t="shared" si="41"/>
        <v>-0.27046661461340571</v>
      </c>
    </row>
    <row r="878" spans="1:15" x14ac:dyDescent="0.3">
      <c r="A878" t="s">
        <v>896</v>
      </c>
      <c r="B878" s="1">
        <v>44941</v>
      </c>
      <c r="C878" s="1">
        <v>45178</v>
      </c>
      <c r="D878">
        <v>61599.31</v>
      </c>
      <c r="E878" s="2">
        <f>(Table2[[#This Row],[revenue]]-Table2[[#This Row],[budget]])/Table2[[#This Row],[budget]]</f>
        <v>7.2857509280542265</v>
      </c>
      <c r="F878" t="s">
        <v>11</v>
      </c>
      <c r="G878" t="s">
        <v>15</v>
      </c>
      <c r="H878" t="s">
        <v>13</v>
      </c>
      <c r="I878">
        <v>0.3</v>
      </c>
      <c r="J878">
        <v>510396.54</v>
      </c>
      <c r="K878">
        <f>Table2[[#This Row],[revenue]]/Table2[[#This Row],[budget]]</f>
        <v>8.2857509280542274</v>
      </c>
      <c r="L878" s="2">
        <f t="shared" si="39"/>
        <v>510396.54</v>
      </c>
      <c r="M878" s="2">
        <f>(Table2[[#This Row],[Adjusted revenue]]-Table2[[#This Row],[budget]])/Table2[[#This Row],[budget]]</f>
        <v>7.2857509280542265</v>
      </c>
      <c r="N878" t="str">
        <f t="shared" si="40"/>
        <v>OK</v>
      </c>
      <c r="O878" s="2">
        <f t="shared" si="41"/>
        <v>0.63910545853773182</v>
      </c>
    </row>
    <row r="879" spans="1:15" x14ac:dyDescent="0.3">
      <c r="A879" t="s">
        <v>897</v>
      </c>
      <c r="B879" s="1">
        <v>45104</v>
      </c>
      <c r="C879" s="1">
        <v>45412</v>
      </c>
      <c r="D879">
        <v>71582.81</v>
      </c>
      <c r="E879" s="2">
        <f>(Table2[[#This Row],[revenue]]-Table2[[#This Row],[budget]])/Table2[[#This Row],[budget]]</f>
        <v>11.274597770051216</v>
      </c>
      <c r="F879" t="s">
        <v>11</v>
      </c>
      <c r="G879" t="s">
        <v>12</v>
      </c>
      <c r="H879" t="s">
        <v>19</v>
      </c>
      <c r="I879">
        <v>0</v>
      </c>
      <c r="J879">
        <v>878650.2</v>
      </c>
      <c r="K879">
        <f>Table2[[#This Row],[revenue]]/Table2[[#This Row],[budget]]</f>
        <v>12.274597770051217</v>
      </c>
      <c r="L879" s="2">
        <f t="shared" si="39"/>
        <v>715828.1</v>
      </c>
      <c r="M879" s="2">
        <f>(Table2[[#This Row],[Adjusted revenue]]-Table2[[#This Row],[budget]])/Table2[[#This Row],[budget]]</f>
        <v>9</v>
      </c>
      <c r="N879" t="str">
        <f t="shared" si="40"/>
        <v>OK</v>
      </c>
      <c r="O879" s="2">
        <f t="shared" si="41"/>
        <v>1</v>
      </c>
    </row>
    <row r="880" spans="1:15" x14ac:dyDescent="0.3">
      <c r="A880" t="s">
        <v>898</v>
      </c>
      <c r="B880" s="1">
        <v>44968</v>
      </c>
      <c r="C880" s="1">
        <v>45402</v>
      </c>
      <c r="D880">
        <v>40565.83</v>
      </c>
      <c r="E880" s="2">
        <f>(Table2[[#This Row],[revenue]]-Table2[[#This Row],[budget]])/Table2[[#This Row],[budget]]</f>
        <v>1.224505452002338</v>
      </c>
      <c r="F880" t="s">
        <v>23</v>
      </c>
      <c r="G880" t="s">
        <v>15</v>
      </c>
      <c r="H880" t="s">
        <v>16</v>
      </c>
      <c r="I880">
        <v>0.11</v>
      </c>
      <c r="J880">
        <v>90238.91</v>
      </c>
      <c r="K880">
        <f>Table2[[#This Row],[revenue]]/Table2[[#This Row],[budget]]</f>
        <v>2.224505452002338</v>
      </c>
      <c r="L880" s="2">
        <f t="shared" si="39"/>
        <v>90238.91</v>
      </c>
      <c r="M880" s="2">
        <f>(Table2[[#This Row],[Adjusted revenue]]-Table2[[#This Row],[budget]])/Table2[[#This Row],[budget]]</f>
        <v>1.224505452002338</v>
      </c>
      <c r="N880" t="str">
        <f t="shared" si="40"/>
        <v>OK</v>
      </c>
      <c r="O880" s="2">
        <f t="shared" si="41"/>
        <v>-0.63694622063108675</v>
      </c>
    </row>
    <row r="881" spans="1:15" x14ac:dyDescent="0.3">
      <c r="A881" t="s">
        <v>899</v>
      </c>
      <c r="B881" s="1">
        <v>44985</v>
      </c>
      <c r="C881" s="1">
        <v>45204</v>
      </c>
      <c r="D881">
        <v>8570.41</v>
      </c>
      <c r="E881" s="2">
        <f>(Table2[[#This Row],[revenue]]-Table2[[#This Row],[budget]])/Table2[[#This Row],[budget]]</f>
        <v>99.910979754760845</v>
      </c>
      <c r="F881" t="s">
        <v>18</v>
      </c>
      <c r="G881" t="s">
        <v>12</v>
      </c>
      <c r="H881" t="s">
        <v>19</v>
      </c>
      <c r="I881">
        <v>0.71</v>
      </c>
      <c r="J881">
        <v>864848.47</v>
      </c>
      <c r="K881">
        <f>Table2[[#This Row],[revenue]]/Table2[[#This Row],[budget]]</f>
        <v>100.91097975476086</v>
      </c>
      <c r="L881" s="2">
        <f t="shared" si="39"/>
        <v>85704.1</v>
      </c>
      <c r="M881" s="2">
        <f>(Table2[[#This Row],[Adjusted revenue]]-Table2[[#This Row],[budget]])/Table2[[#This Row],[budget]]</f>
        <v>9</v>
      </c>
      <c r="N881" t="str">
        <f t="shared" si="40"/>
        <v>OK</v>
      </c>
      <c r="O881" s="2">
        <f t="shared" si="41"/>
        <v>1</v>
      </c>
    </row>
    <row r="882" spans="1:15" x14ac:dyDescent="0.3">
      <c r="A882" t="s">
        <v>900</v>
      </c>
      <c r="B882" s="1">
        <v>45026</v>
      </c>
      <c r="C882" s="1">
        <v>45422</v>
      </c>
      <c r="D882">
        <v>10297.36</v>
      </c>
      <c r="E882" s="2">
        <f>(Table2[[#This Row],[revenue]]-Table2[[#This Row],[budget]])/Table2[[#This Row],[budget]]</f>
        <v>95.884752985231174</v>
      </c>
      <c r="F882" t="s">
        <v>18</v>
      </c>
      <c r="G882" t="s">
        <v>12</v>
      </c>
      <c r="H882" t="s">
        <v>19</v>
      </c>
      <c r="I882">
        <v>0.71</v>
      </c>
      <c r="J882">
        <v>997657.18</v>
      </c>
      <c r="K882">
        <f>Table2[[#This Row],[revenue]]/Table2[[#This Row],[budget]]</f>
        <v>96.88475298523116</v>
      </c>
      <c r="L882" s="2">
        <f t="shared" si="39"/>
        <v>102973.6</v>
      </c>
      <c r="M882" s="2">
        <f>(Table2[[#This Row],[Adjusted revenue]]-Table2[[#This Row],[budget]])/Table2[[#This Row],[budget]]</f>
        <v>9</v>
      </c>
      <c r="N882" t="str">
        <f t="shared" si="40"/>
        <v>OK</v>
      </c>
      <c r="O882" s="2">
        <f t="shared" si="41"/>
        <v>1</v>
      </c>
    </row>
    <row r="883" spans="1:15" x14ac:dyDescent="0.3">
      <c r="A883" t="s">
        <v>901</v>
      </c>
      <c r="B883" s="1">
        <v>44835</v>
      </c>
      <c r="C883" s="1">
        <v>45270</v>
      </c>
      <c r="D883">
        <v>12624.62</v>
      </c>
      <c r="E883" s="2">
        <f>(Table2[[#This Row],[revenue]]-Table2[[#This Row],[budget]])/Table2[[#This Row],[budget]]</f>
        <v>37.836799048208974</v>
      </c>
      <c r="F883" t="s">
        <v>23</v>
      </c>
      <c r="G883" t="s">
        <v>15</v>
      </c>
      <c r="H883" t="s">
        <v>19</v>
      </c>
      <c r="I883">
        <v>0.51</v>
      </c>
      <c r="J883">
        <v>490299.83</v>
      </c>
      <c r="K883">
        <f>Table2[[#This Row],[revenue]]/Table2[[#This Row],[budget]]</f>
        <v>38.836799048208974</v>
      </c>
      <c r="L883" s="2">
        <f t="shared" si="39"/>
        <v>126246.20000000001</v>
      </c>
      <c r="M883" s="2">
        <f>(Table2[[#This Row],[Adjusted revenue]]-Table2[[#This Row],[budget]])/Table2[[#This Row],[budget]]</f>
        <v>9</v>
      </c>
      <c r="N883" t="str">
        <f t="shared" si="40"/>
        <v>OK</v>
      </c>
      <c r="O883" s="2">
        <f t="shared" si="41"/>
        <v>1</v>
      </c>
    </row>
    <row r="884" spans="1:15" x14ac:dyDescent="0.3">
      <c r="A884" t="s">
        <v>902</v>
      </c>
      <c r="B884" s="1">
        <v>44966</v>
      </c>
      <c r="C884" s="1">
        <v>45352</v>
      </c>
      <c r="D884">
        <v>71398.880000000005</v>
      </c>
      <c r="E884" s="2">
        <f>(Table2[[#This Row],[revenue]]-Table2[[#This Row],[budget]])/Table2[[#This Row],[budget]]</f>
        <v>5.0041586086504433</v>
      </c>
      <c r="F884" t="s">
        <v>23</v>
      </c>
      <c r="G884" t="s">
        <v>12</v>
      </c>
      <c r="H884" t="s">
        <v>19</v>
      </c>
      <c r="I884">
        <v>0.83</v>
      </c>
      <c r="J884">
        <v>428690.2</v>
      </c>
      <c r="K884">
        <f>Table2[[#This Row],[revenue]]/Table2[[#This Row],[budget]]</f>
        <v>6.0041586086504433</v>
      </c>
      <c r="L884" s="2">
        <f t="shared" si="39"/>
        <v>428690.2</v>
      </c>
      <c r="M884" s="2">
        <f>(Table2[[#This Row],[Adjusted revenue]]-Table2[[#This Row],[budget]])/Table2[[#This Row],[budget]]</f>
        <v>5.0041586086504433</v>
      </c>
      <c r="N884" t="str">
        <f t="shared" si="40"/>
        <v>OK</v>
      </c>
      <c r="O884" s="2">
        <f t="shared" si="41"/>
        <v>0.15877023340009333</v>
      </c>
    </row>
    <row r="885" spans="1:15" x14ac:dyDescent="0.3">
      <c r="A885" t="s">
        <v>903</v>
      </c>
      <c r="B885" s="1">
        <v>45047</v>
      </c>
      <c r="C885" s="1">
        <v>45489</v>
      </c>
      <c r="D885">
        <v>95378.2</v>
      </c>
      <c r="E885" s="2">
        <f>(Table2[[#This Row],[revenue]]-Table2[[#This Row],[budget]])/Table2[[#This Row],[budget]]</f>
        <v>6.8018548263649352</v>
      </c>
      <c r="F885" t="s">
        <v>11</v>
      </c>
      <c r="G885" t="s">
        <v>12</v>
      </c>
      <c r="H885" t="s">
        <v>25</v>
      </c>
      <c r="I885">
        <v>0.91</v>
      </c>
      <c r="J885">
        <v>744126.87</v>
      </c>
      <c r="K885">
        <f>Table2[[#This Row],[revenue]]/Table2[[#This Row],[budget]]</f>
        <v>7.8018548263649343</v>
      </c>
      <c r="L885" s="2">
        <f t="shared" si="39"/>
        <v>744126.87</v>
      </c>
      <c r="M885" s="2">
        <f>(Table2[[#This Row],[Adjusted revenue]]-Table2[[#This Row],[budget]])/Table2[[#This Row],[budget]]</f>
        <v>6.8018548263649352</v>
      </c>
      <c r="N885" t="str">
        <f t="shared" si="40"/>
        <v>OK</v>
      </c>
      <c r="O885" s="2">
        <f t="shared" si="41"/>
        <v>0.53723259502419696</v>
      </c>
    </row>
    <row r="886" spans="1:15" x14ac:dyDescent="0.3">
      <c r="A886" t="s">
        <v>904</v>
      </c>
      <c r="B886" s="1">
        <v>44786</v>
      </c>
      <c r="C886" s="1">
        <v>45205</v>
      </c>
      <c r="D886">
        <v>95049.66</v>
      </c>
      <c r="E886" s="2">
        <f>(Table2[[#This Row],[revenue]]-Table2[[#This Row],[budget]])/Table2[[#This Row],[budget]]</f>
        <v>2.2345681194440883</v>
      </c>
      <c r="F886" t="s">
        <v>18</v>
      </c>
      <c r="G886" t="s">
        <v>15</v>
      </c>
      <c r="H886" t="s">
        <v>16</v>
      </c>
      <c r="I886">
        <v>0.2</v>
      </c>
      <c r="J886">
        <v>307444.59999999998</v>
      </c>
      <c r="K886">
        <f>Table2[[#This Row],[revenue]]/Table2[[#This Row],[budget]]</f>
        <v>3.2345681194440883</v>
      </c>
      <c r="L886" s="2">
        <f t="shared" si="39"/>
        <v>307444.59999999998</v>
      </c>
      <c r="M886" s="2">
        <f>(Table2[[#This Row],[Adjusted revenue]]-Table2[[#This Row],[budget]])/Table2[[#This Row],[budget]]</f>
        <v>2.2345681194440883</v>
      </c>
      <c r="N886" t="str">
        <f t="shared" si="40"/>
        <v>OK</v>
      </c>
      <c r="O886" s="2">
        <f t="shared" si="41"/>
        <v>-0.42430144853808671</v>
      </c>
    </row>
    <row r="887" spans="1:15" x14ac:dyDescent="0.3">
      <c r="A887" t="s">
        <v>905</v>
      </c>
      <c r="B887" s="1">
        <v>44986</v>
      </c>
      <c r="C887" s="1">
        <v>45330</v>
      </c>
      <c r="D887">
        <v>14254.9</v>
      </c>
      <c r="E887" s="2">
        <f>(Table2[[#This Row],[revenue]]-Table2[[#This Row],[budget]])/Table2[[#This Row],[budget]]</f>
        <v>25.234248574174494</v>
      </c>
      <c r="F887" t="s">
        <v>18</v>
      </c>
      <c r="G887" t="s">
        <v>15</v>
      </c>
      <c r="H887" t="s">
        <v>16</v>
      </c>
      <c r="I887">
        <v>0.31</v>
      </c>
      <c r="J887">
        <v>373966.59</v>
      </c>
      <c r="K887">
        <f>Table2[[#This Row],[revenue]]/Table2[[#This Row],[budget]]</f>
        <v>26.234248574174497</v>
      </c>
      <c r="L887" s="2">
        <f t="shared" si="39"/>
        <v>142549</v>
      </c>
      <c r="M887" s="2">
        <f>(Table2[[#This Row],[Adjusted revenue]]-Table2[[#This Row],[budget]])/Table2[[#This Row],[budget]]</f>
        <v>9</v>
      </c>
      <c r="N887" t="str">
        <f t="shared" si="40"/>
        <v>OK</v>
      </c>
      <c r="O887" s="2">
        <f t="shared" si="41"/>
        <v>1</v>
      </c>
    </row>
    <row r="888" spans="1:15" x14ac:dyDescent="0.3">
      <c r="A888" t="s">
        <v>906</v>
      </c>
      <c r="B888" s="1">
        <v>44799</v>
      </c>
      <c r="C888" s="1">
        <v>45458</v>
      </c>
      <c r="D888">
        <v>39380.230000000003</v>
      </c>
      <c r="E888" s="2">
        <f>(Table2[[#This Row],[revenue]]-Table2[[#This Row],[budget]])/Table2[[#This Row],[budget]]</f>
        <v>21.317275698999214</v>
      </c>
      <c r="F888" t="s">
        <v>11</v>
      </c>
      <c r="G888" t="s">
        <v>12</v>
      </c>
      <c r="H888" t="s">
        <v>25</v>
      </c>
      <c r="I888">
        <v>0.99</v>
      </c>
      <c r="J888">
        <v>878859.45</v>
      </c>
      <c r="K888">
        <f>Table2[[#This Row],[revenue]]/Table2[[#This Row],[budget]]</f>
        <v>22.317275698999214</v>
      </c>
      <c r="L888" s="2">
        <f t="shared" si="39"/>
        <v>393802.30000000005</v>
      </c>
      <c r="M888" s="2">
        <f>(Table2[[#This Row],[Adjusted revenue]]-Table2[[#This Row],[budget]])/Table2[[#This Row],[budget]]</f>
        <v>9.0000000000000018</v>
      </c>
      <c r="N888" t="str">
        <f t="shared" si="40"/>
        <v>OK</v>
      </c>
      <c r="O888" s="2">
        <f t="shared" si="41"/>
        <v>1.0000000000000004</v>
      </c>
    </row>
    <row r="889" spans="1:15" x14ac:dyDescent="0.3">
      <c r="A889" t="s">
        <v>907</v>
      </c>
      <c r="B889" s="1">
        <v>44944</v>
      </c>
      <c r="C889" s="1">
        <v>45241</v>
      </c>
      <c r="D889">
        <v>1223.82</v>
      </c>
      <c r="E889" s="2">
        <f>(Table2[[#This Row],[revenue]]-Table2[[#This Row],[budget]])/Table2[[#This Row],[budget]]</f>
        <v>627.00714157310722</v>
      </c>
      <c r="F889" t="s">
        <v>23</v>
      </c>
      <c r="G889" t="s">
        <v>15</v>
      </c>
      <c r="H889" t="s">
        <v>19</v>
      </c>
      <c r="I889">
        <v>0.3</v>
      </c>
      <c r="J889">
        <v>768567.7</v>
      </c>
      <c r="K889">
        <f>Table2[[#This Row],[revenue]]/Table2[[#This Row],[budget]]</f>
        <v>628.00714157310711</v>
      </c>
      <c r="L889" s="2">
        <f t="shared" si="39"/>
        <v>12238.199999999999</v>
      </c>
      <c r="M889" s="2">
        <f>(Table2[[#This Row],[Adjusted revenue]]-Table2[[#This Row],[budget]])/Table2[[#This Row],[budget]]</f>
        <v>9</v>
      </c>
      <c r="N889" t="str">
        <f t="shared" si="40"/>
        <v>OK</v>
      </c>
      <c r="O889" s="2">
        <f t="shared" si="41"/>
        <v>1</v>
      </c>
    </row>
    <row r="890" spans="1:15" x14ac:dyDescent="0.3">
      <c r="A890" t="s">
        <v>908</v>
      </c>
      <c r="B890" s="1">
        <v>44933</v>
      </c>
      <c r="C890" s="1">
        <v>45405</v>
      </c>
      <c r="D890">
        <v>32575.19</v>
      </c>
      <c r="E890" s="2">
        <f>(Table2[[#This Row],[revenue]]-Table2[[#This Row],[budget]])/Table2[[#This Row],[budget]]</f>
        <v>7.0476003363295803</v>
      </c>
      <c r="F890" t="s">
        <v>21</v>
      </c>
      <c r="G890" t="s">
        <v>15</v>
      </c>
      <c r="H890" t="s">
        <v>25</v>
      </c>
      <c r="I890">
        <v>0.17</v>
      </c>
      <c r="J890">
        <v>262152.11</v>
      </c>
      <c r="K890">
        <f>Table2[[#This Row],[revenue]]/Table2[[#This Row],[budget]]</f>
        <v>8.0476003363295803</v>
      </c>
      <c r="L890" s="2">
        <f t="shared" si="39"/>
        <v>262152.11</v>
      </c>
      <c r="M890" s="2">
        <f>(Table2[[#This Row],[Adjusted revenue]]-Table2[[#This Row],[budget]])/Table2[[#This Row],[budget]]</f>
        <v>7.0476003363295803</v>
      </c>
      <c r="N890" t="str">
        <f t="shared" si="40"/>
        <v>OK</v>
      </c>
      <c r="O890" s="2">
        <f t="shared" si="41"/>
        <v>0.58896849185885891</v>
      </c>
    </row>
    <row r="891" spans="1:15" x14ac:dyDescent="0.3">
      <c r="A891" t="s">
        <v>909</v>
      </c>
      <c r="B891" s="1">
        <v>44973</v>
      </c>
      <c r="C891" s="1">
        <v>45157</v>
      </c>
      <c r="D891">
        <v>61978.1</v>
      </c>
      <c r="E891" s="2">
        <f>(Table2[[#This Row],[revenue]]-Table2[[#This Row],[budget]])/Table2[[#This Row],[budget]]</f>
        <v>-0.99825406070854061</v>
      </c>
      <c r="F891" t="s">
        <v>23</v>
      </c>
      <c r="G891" t="s">
        <v>15</v>
      </c>
      <c r="H891" t="s">
        <v>19</v>
      </c>
      <c r="I891">
        <v>0.77</v>
      </c>
      <c r="J891">
        <v>108.21</v>
      </c>
      <c r="K891">
        <f>Table2[[#This Row],[revenue]]/Table2[[#This Row],[budget]]</f>
        <v>1.7459392914594026E-3</v>
      </c>
      <c r="L891" s="2">
        <f t="shared" si="39"/>
        <v>30989.05</v>
      </c>
      <c r="M891" s="2">
        <f>(Table2[[#This Row],[Adjusted revenue]]-Table2[[#This Row],[budget]])/Table2[[#This Row],[budget]]</f>
        <v>-0.5</v>
      </c>
      <c r="N891" t="str">
        <f t="shared" si="40"/>
        <v>Failed</v>
      </c>
      <c r="O891" s="2">
        <f t="shared" si="41"/>
        <v>-1</v>
      </c>
    </row>
    <row r="892" spans="1:15" x14ac:dyDescent="0.3">
      <c r="A892" t="s">
        <v>910</v>
      </c>
      <c r="B892" s="1">
        <v>44924</v>
      </c>
      <c r="C892" s="1">
        <v>45273</v>
      </c>
      <c r="D892">
        <v>62893.8</v>
      </c>
      <c r="E892" s="2">
        <f>(Table2[[#This Row],[revenue]]-Table2[[#This Row],[budget]])/Table2[[#This Row],[budget]]</f>
        <v>14.210992180469297</v>
      </c>
      <c r="F892" t="s">
        <v>11</v>
      </c>
      <c r="G892" t="s">
        <v>12</v>
      </c>
      <c r="H892" t="s">
        <v>16</v>
      </c>
      <c r="I892">
        <v>0.53</v>
      </c>
      <c r="J892">
        <v>956677.1</v>
      </c>
      <c r="K892">
        <f>Table2[[#This Row],[revenue]]/Table2[[#This Row],[budget]]</f>
        <v>15.210992180469297</v>
      </c>
      <c r="L892" s="2">
        <f t="shared" si="39"/>
        <v>628938</v>
      </c>
      <c r="M892" s="2">
        <f>(Table2[[#This Row],[Adjusted revenue]]-Table2[[#This Row],[budget]])/Table2[[#This Row],[budget]]</f>
        <v>8.9999999999999982</v>
      </c>
      <c r="N892" t="str">
        <f t="shared" si="40"/>
        <v>OK</v>
      </c>
      <c r="O892" s="2">
        <f t="shared" si="41"/>
        <v>0.99999999999999956</v>
      </c>
    </row>
    <row r="893" spans="1:15" x14ac:dyDescent="0.3">
      <c r="A893" t="s">
        <v>911</v>
      </c>
      <c r="B893" s="1">
        <v>44913</v>
      </c>
      <c r="C893" s="1">
        <v>45239</v>
      </c>
      <c r="D893">
        <v>80963.14</v>
      </c>
      <c r="E893" s="2">
        <f>(Table2[[#This Row],[revenue]]-Table2[[#This Row],[budget]])/Table2[[#This Row],[budget]]</f>
        <v>5.4323009211352229</v>
      </c>
      <c r="F893" t="s">
        <v>11</v>
      </c>
      <c r="G893" t="s">
        <v>15</v>
      </c>
      <c r="H893" t="s">
        <v>13</v>
      </c>
      <c r="I893">
        <v>0.7</v>
      </c>
      <c r="J893">
        <v>520779.28</v>
      </c>
      <c r="K893">
        <f>Table2[[#This Row],[revenue]]/Table2[[#This Row],[budget]]</f>
        <v>6.4323009211352229</v>
      </c>
      <c r="L893" s="2">
        <f t="shared" si="39"/>
        <v>520779.28</v>
      </c>
      <c r="M893" s="2">
        <f>(Table2[[#This Row],[Adjusted revenue]]-Table2[[#This Row],[budget]])/Table2[[#This Row],[budget]]</f>
        <v>5.4323009211352229</v>
      </c>
      <c r="N893" t="str">
        <f t="shared" si="40"/>
        <v>OK</v>
      </c>
      <c r="O893" s="2">
        <f t="shared" si="41"/>
        <v>0.24890545708109957</v>
      </c>
    </row>
    <row r="894" spans="1:15" x14ac:dyDescent="0.3">
      <c r="A894" t="s">
        <v>912</v>
      </c>
      <c r="B894" s="1">
        <v>44800</v>
      </c>
      <c r="C894" s="1">
        <v>45268</v>
      </c>
      <c r="D894">
        <v>89833.97</v>
      </c>
      <c r="E894" s="2">
        <f>(Table2[[#This Row],[revenue]]-Table2[[#This Row],[budget]])/Table2[[#This Row],[budget]]</f>
        <v>4.9366156254699645</v>
      </c>
      <c r="F894" t="s">
        <v>11</v>
      </c>
      <c r="G894" t="s">
        <v>15</v>
      </c>
      <c r="H894" t="s">
        <v>16</v>
      </c>
      <c r="I894">
        <v>0.42</v>
      </c>
      <c r="J894">
        <v>533309.75</v>
      </c>
      <c r="K894">
        <f>Table2[[#This Row],[revenue]]/Table2[[#This Row],[budget]]</f>
        <v>5.9366156254699645</v>
      </c>
      <c r="L894" s="2">
        <f t="shared" si="39"/>
        <v>533309.75</v>
      </c>
      <c r="M894" s="2">
        <f>(Table2[[#This Row],[Adjusted revenue]]-Table2[[#This Row],[budget]])/Table2[[#This Row],[budget]]</f>
        <v>4.9366156254699645</v>
      </c>
      <c r="N894" t="str">
        <f t="shared" si="40"/>
        <v>OK</v>
      </c>
      <c r="O894" s="2">
        <f t="shared" si="41"/>
        <v>0.14455065799367683</v>
      </c>
    </row>
    <row r="895" spans="1:15" x14ac:dyDescent="0.3">
      <c r="A895" t="s">
        <v>913</v>
      </c>
      <c r="B895" s="1">
        <v>44789</v>
      </c>
      <c r="C895" s="1">
        <v>45315</v>
      </c>
      <c r="D895">
        <v>78857.259999999995</v>
      </c>
      <c r="E895" s="2">
        <f>(Table2[[#This Row],[revenue]]-Table2[[#This Row],[budget]])/Table2[[#This Row],[budget]]</f>
        <v>10.405630629316819</v>
      </c>
      <c r="F895" t="s">
        <v>21</v>
      </c>
      <c r="G895" t="s">
        <v>15</v>
      </c>
      <c r="H895" t="s">
        <v>16</v>
      </c>
      <c r="I895">
        <v>0.74</v>
      </c>
      <c r="J895">
        <v>899416.78</v>
      </c>
      <c r="K895">
        <f>Table2[[#This Row],[revenue]]/Table2[[#This Row],[budget]]</f>
        <v>11.405630629316819</v>
      </c>
      <c r="L895" s="2">
        <f t="shared" si="39"/>
        <v>788572.6</v>
      </c>
      <c r="M895" s="2">
        <f>(Table2[[#This Row],[Adjusted revenue]]-Table2[[#This Row],[budget]])/Table2[[#This Row],[budget]]</f>
        <v>9</v>
      </c>
      <c r="N895" t="str">
        <f t="shared" si="40"/>
        <v>OK</v>
      </c>
      <c r="O895" s="2">
        <f t="shared" si="41"/>
        <v>1</v>
      </c>
    </row>
    <row r="896" spans="1:15" x14ac:dyDescent="0.3">
      <c r="A896" t="s">
        <v>914</v>
      </c>
      <c r="B896" s="1">
        <v>45040</v>
      </c>
      <c r="C896" s="1">
        <v>45383</v>
      </c>
      <c r="D896">
        <v>42878.1</v>
      </c>
      <c r="E896" s="2">
        <f>(Table2[[#This Row],[revenue]]-Table2[[#This Row],[budget]])/Table2[[#This Row],[budget]]</f>
        <v>4.5155685536439352</v>
      </c>
      <c r="F896" t="s">
        <v>21</v>
      </c>
      <c r="G896" t="s">
        <v>15</v>
      </c>
      <c r="H896" t="s">
        <v>13</v>
      </c>
      <c r="I896">
        <v>0.66</v>
      </c>
      <c r="J896">
        <v>236497.1</v>
      </c>
      <c r="K896">
        <f>Table2[[#This Row],[revenue]]/Table2[[#This Row],[budget]]</f>
        <v>5.5155685536439352</v>
      </c>
      <c r="L896" s="2">
        <f t="shared" si="39"/>
        <v>236497.1</v>
      </c>
      <c r="M896" s="2">
        <f>(Table2[[#This Row],[Adjusted revenue]]-Table2[[#This Row],[budget]])/Table2[[#This Row],[budget]]</f>
        <v>4.5155685536439352</v>
      </c>
      <c r="N896" t="str">
        <f t="shared" si="40"/>
        <v>OK</v>
      </c>
      <c r="O896" s="2">
        <f t="shared" si="41"/>
        <v>5.5909169188196772E-2</v>
      </c>
    </row>
    <row r="897" spans="1:15" x14ac:dyDescent="0.3">
      <c r="A897" t="s">
        <v>915</v>
      </c>
      <c r="B897" s="1">
        <v>44895</v>
      </c>
      <c r="C897" s="1">
        <v>45280</v>
      </c>
      <c r="D897">
        <v>27483.74</v>
      </c>
      <c r="E897" s="2">
        <f>(Table2[[#This Row],[revenue]]-Table2[[#This Row],[budget]])/Table2[[#This Row],[budget]]</f>
        <v>4.0450852031055451</v>
      </c>
      <c r="F897" t="s">
        <v>23</v>
      </c>
      <c r="G897" t="s">
        <v>12</v>
      </c>
      <c r="H897" t="s">
        <v>13</v>
      </c>
      <c r="I897">
        <v>0.38</v>
      </c>
      <c r="J897">
        <v>138657.81</v>
      </c>
      <c r="K897">
        <f>Table2[[#This Row],[revenue]]/Table2[[#This Row],[budget]]</f>
        <v>5.0450852031055451</v>
      </c>
      <c r="L897" s="2">
        <f t="shared" si="39"/>
        <v>138657.81</v>
      </c>
      <c r="M897" s="2">
        <f>(Table2[[#This Row],[Adjusted revenue]]-Table2[[#This Row],[budget]])/Table2[[#This Row],[budget]]</f>
        <v>4.0450852031055451</v>
      </c>
      <c r="N897" t="str">
        <f t="shared" si="40"/>
        <v>OK</v>
      </c>
      <c r="O897" s="2">
        <f t="shared" si="41"/>
        <v>-4.3139957240937887E-2</v>
      </c>
    </row>
    <row r="898" spans="1:15" x14ac:dyDescent="0.3">
      <c r="A898" t="s">
        <v>916</v>
      </c>
      <c r="B898" s="1">
        <v>45111</v>
      </c>
      <c r="C898" s="1">
        <v>45442</v>
      </c>
      <c r="D898">
        <v>32993.61</v>
      </c>
      <c r="E898" s="2">
        <f>(Table2[[#This Row],[revenue]]-Table2[[#This Row],[budget]])/Table2[[#This Row],[budget]]</f>
        <v>-0.54490248263224306</v>
      </c>
      <c r="F898" t="s">
        <v>11</v>
      </c>
      <c r="G898" t="s">
        <v>12</v>
      </c>
      <c r="H898" t="s">
        <v>16</v>
      </c>
      <c r="I898">
        <v>0.9</v>
      </c>
      <c r="J898">
        <v>15015.31</v>
      </c>
      <c r="K898">
        <f>Table2[[#This Row],[revenue]]/Table2[[#This Row],[budget]]</f>
        <v>0.45509751736775694</v>
      </c>
      <c r="L898" s="2">
        <f t="shared" ref="L898:L961" si="42">MIN(MAX(J898, D898*0.5), D898*10)</f>
        <v>16496.805</v>
      </c>
      <c r="M898" s="2">
        <f>(Table2[[#This Row],[Adjusted revenue]]-Table2[[#This Row],[budget]])/Table2[[#This Row],[budget]]</f>
        <v>-0.5</v>
      </c>
      <c r="N898" t="str">
        <f t="shared" ref="N898:N961" si="43">IF(M898&lt;0.5,"Failed",IF(M898&gt;10,"Suspicious","OK"))</f>
        <v>Failed</v>
      </c>
      <c r="O898" s="2">
        <f t="shared" ref="O898:O961" si="44">((M898 - (-0.5)) / (9 - (-0.5))) * (1 - (-1)) + (-1)</f>
        <v>-1</v>
      </c>
    </row>
    <row r="899" spans="1:15" x14ac:dyDescent="0.3">
      <c r="A899" t="s">
        <v>917</v>
      </c>
      <c r="B899" s="1">
        <v>44836</v>
      </c>
      <c r="C899" s="1">
        <v>45275</v>
      </c>
      <c r="D899">
        <v>2568.1</v>
      </c>
      <c r="E899" s="2">
        <f>(Table2[[#This Row],[revenue]]-Table2[[#This Row],[budget]])/Table2[[#This Row],[budget]]</f>
        <v>72.752560258556912</v>
      </c>
      <c r="F899" t="s">
        <v>18</v>
      </c>
      <c r="G899" t="s">
        <v>15</v>
      </c>
      <c r="H899" t="s">
        <v>13</v>
      </c>
      <c r="I899">
        <v>0.26</v>
      </c>
      <c r="J899">
        <v>189403.95</v>
      </c>
      <c r="K899">
        <f>Table2[[#This Row],[revenue]]/Table2[[#This Row],[budget]]</f>
        <v>73.752560258556912</v>
      </c>
      <c r="L899" s="2">
        <f t="shared" si="42"/>
        <v>25681</v>
      </c>
      <c r="M899" s="2">
        <f>(Table2[[#This Row],[Adjusted revenue]]-Table2[[#This Row],[budget]])/Table2[[#This Row],[budget]]</f>
        <v>9</v>
      </c>
      <c r="N899" t="str">
        <f t="shared" si="43"/>
        <v>OK</v>
      </c>
      <c r="O899" s="2">
        <f t="shared" si="44"/>
        <v>1</v>
      </c>
    </row>
    <row r="900" spans="1:15" x14ac:dyDescent="0.3">
      <c r="A900" t="s">
        <v>918</v>
      </c>
      <c r="B900" s="1">
        <v>44779</v>
      </c>
      <c r="C900" s="1">
        <v>45405</v>
      </c>
      <c r="D900">
        <v>9689.82</v>
      </c>
      <c r="E900" s="2">
        <f>(Table2[[#This Row],[revenue]]-Table2[[#This Row],[budget]])/Table2[[#This Row],[budget]]</f>
        <v>57.866286473845754</v>
      </c>
      <c r="F900" t="s">
        <v>18</v>
      </c>
      <c r="G900" t="s">
        <v>15</v>
      </c>
      <c r="H900" t="s">
        <v>25</v>
      </c>
      <c r="I900">
        <v>0.31</v>
      </c>
      <c r="J900">
        <v>570403.72</v>
      </c>
      <c r="K900">
        <f>Table2[[#This Row],[revenue]]/Table2[[#This Row],[budget]]</f>
        <v>58.866286473845747</v>
      </c>
      <c r="L900" s="2">
        <f t="shared" si="42"/>
        <v>96898.2</v>
      </c>
      <c r="M900" s="2">
        <f>(Table2[[#This Row],[Adjusted revenue]]-Table2[[#This Row],[budget]])/Table2[[#This Row],[budget]]</f>
        <v>9</v>
      </c>
      <c r="N900" t="str">
        <f t="shared" si="43"/>
        <v>OK</v>
      </c>
      <c r="O900" s="2">
        <f t="shared" si="44"/>
        <v>1</v>
      </c>
    </row>
    <row r="901" spans="1:15" x14ac:dyDescent="0.3">
      <c r="A901" t="s">
        <v>919</v>
      </c>
      <c r="B901" s="1">
        <v>44811</v>
      </c>
      <c r="C901" s="1">
        <v>45375</v>
      </c>
      <c r="D901">
        <v>48068.29</v>
      </c>
      <c r="E901" s="2">
        <f>(Table2[[#This Row],[revenue]]-Table2[[#This Row],[budget]])/Table2[[#This Row],[budget]]</f>
        <v>14.595152438333047</v>
      </c>
      <c r="F901" t="s">
        <v>23</v>
      </c>
      <c r="G901" t="s">
        <v>15</v>
      </c>
      <c r="H901" t="s">
        <v>13</v>
      </c>
      <c r="I901">
        <v>0.13</v>
      </c>
      <c r="J901">
        <v>749632.31</v>
      </c>
      <c r="K901">
        <f>Table2[[#This Row],[revenue]]/Table2[[#This Row],[budget]]</f>
        <v>15.595152438333047</v>
      </c>
      <c r="L901" s="2">
        <f t="shared" si="42"/>
        <v>480682.9</v>
      </c>
      <c r="M901" s="2">
        <f>(Table2[[#This Row],[Adjusted revenue]]-Table2[[#This Row],[budget]])/Table2[[#This Row],[budget]]</f>
        <v>9</v>
      </c>
      <c r="N901" t="str">
        <f t="shared" si="43"/>
        <v>OK</v>
      </c>
      <c r="O901" s="2">
        <f t="shared" si="44"/>
        <v>1</v>
      </c>
    </row>
    <row r="902" spans="1:15" x14ac:dyDescent="0.3">
      <c r="A902" t="s">
        <v>920</v>
      </c>
      <c r="B902" s="1">
        <v>44923</v>
      </c>
      <c r="C902" s="1">
        <v>45467</v>
      </c>
      <c r="D902">
        <v>41572.75</v>
      </c>
      <c r="E902" s="2">
        <f>(Table2[[#This Row],[revenue]]-Table2[[#This Row],[budget]])/Table2[[#This Row],[budget]]</f>
        <v>16.933052540426122</v>
      </c>
      <c r="F902" t="s">
        <v>21</v>
      </c>
      <c r="G902" t="s">
        <v>12</v>
      </c>
      <c r="H902" t="s">
        <v>19</v>
      </c>
      <c r="I902">
        <v>0.4</v>
      </c>
      <c r="J902">
        <v>745526.31</v>
      </c>
      <c r="K902">
        <f>Table2[[#This Row],[revenue]]/Table2[[#This Row],[budget]]</f>
        <v>17.933052540426122</v>
      </c>
      <c r="L902" s="2">
        <f t="shared" si="42"/>
        <v>415727.5</v>
      </c>
      <c r="M902" s="2">
        <f>(Table2[[#This Row],[Adjusted revenue]]-Table2[[#This Row],[budget]])/Table2[[#This Row],[budget]]</f>
        <v>9</v>
      </c>
      <c r="N902" t="str">
        <f t="shared" si="43"/>
        <v>OK</v>
      </c>
      <c r="O902" s="2">
        <f t="shared" si="44"/>
        <v>1</v>
      </c>
    </row>
    <row r="903" spans="1:15" x14ac:dyDescent="0.3">
      <c r="A903" t="s">
        <v>921</v>
      </c>
      <c r="B903" s="1">
        <v>44922</v>
      </c>
      <c r="C903" s="1">
        <v>45181</v>
      </c>
      <c r="D903">
        <v>54998.51</v>
      </c>
      <c r="E903" s="2">
        <f>(Table2[[#This Row],[revenue]]-Table2[[#This Row],[budget]])/Table2[[#This Row],[budget]]</f>
        <v>4.9706746600953373</v>
      </c>
      <c r="F903" t="s">
        <v>11</v>
      </c>
      <c r="G903" t="s">
        <v>12</v>
      </c>
      <c r="H903" t="s">
        <v>16</v>
      </c>
      <c r="I903">
        <v>0.44</v>
      </c>
      <c r="J903">
        <v>328378.21000000002</v>
      </c>
      <c r="K903">
        <f>Table2[[#This Row],[revenue]]/Table2[[#This Row],[budget]]</f>
        <v>5.9706746600953373</v>
      </c>
      <c r="L903" s="2">
        <f t="shared" si="42"/>
        <v>328378.21000000002</v>
      </c>
      <c r="M903" s="2">
        <f>(Table2[[#This Row],[Adjusted revenue]]-Table2[[#This Row],[budget]])/Table2[[#This Row],[budget]]</f>
        <v>4.9706746600953373</v>
      </c>
      <c r="N903" t="str">
        <f t="shared" si="43"/>
        <v>OK</v>
      </c>
      <c r="O903" s="2">
        <f t="shared" si="44"/>
        <v>0.15172098107270249</v>
      </c>
    </row>
    <row r="904" spans="1:15" x14ac:dyDescent="0.3">
      <c r="A904" t="s">
        <v>922</v>
      </c>
      <c r="B904" s="1">
        <v>44817</v>
      </c>
      <c r="C904" s="1">
        <v>45433</v>
      </c>
      <c r="D904">
        <v>26043.99</v>
      </c>
      <c r="E904" s="2">
        <f>(Table2[[#This Row],[revenue]]-Table2[[#This Row],[budget]])/Table2[[#This Row],[budget]]</f>
        <v>37.033411931121151</v>
      </c>
      <c r="F904" t="s">
        <v>11</v>
      </c>
      <c r="G904" t="s">
        <v>15</v>
      </c>
      <c r="H904" t="s">
        <v>13</v>
      </c>
      <c r="I904">
        <v>0.25</v>
      </c>
      <c r="J904">
        <v>990541.8</v>
      </c>
      <c r="K904">
        <f>Table2[[#This Row],[revenue]]/Table2[[#This Row],[budget]]</f>
        <v>38.033411931121151</v>
      </c>
      <c r="L904" s="2">
        <f t="shared" si="42"/>
        <v>260439.90000000002</v>
      </c>
      <c r="M904" s="2">
        <f>(Table2[[#This Row],[Adjusted revenue]]-Table2[[#This Row],[budget]])/Table2[[#This Row],[budget]]</f>
        <v>9</v>
      </c>
      <c r="N904" t="str">
        <f t="shared" si="43"/>
        <v>OK</v>
      </c>
      <c r="O904" s="2">
        <f t="shared" si="44"/>
        <v>1</v>
      </c>
    </row>
    <row r="905" spans="1:15" x14ac:dyDescent="0.3">
      <c r="A905" t="s">
        <v>923</v>
      </c>
      <c r="B905" s="1">
        <v>44915</v>
      </c>
      <c r="C905" s="1">
        <v>45361</v>
      </c>
      <c r="D905">
        <v>24633.17</v>
      </c>
      <c r="E905" s="2">
        <f>(Table2[[#This Row],[revenue]]-Table2[[#This Row],[budget]])/Table2[[#This Row],[budget]]</f>
        <v>18.367968880984463</v>
      </c>
      <c r="F905" t="s">
        <v>18</v>
      </c>
      <c r="G905" t="s">
        <v>12</v>
      </c>
      <c r="H905" t="s">
        <v>25</v>
      </c>
      <c r="I905">
        <v>0.45</v>
      </c>
      <c r="J905">
        <v>477094.47</v>
      </c>
      <c r="K905">
        <f>Table2[[#This Row],[revenue]]/Table2[[#This Row],[budget]]</f>
        <v>19.36796888098446</v>
      </c>
      <c r="L905" s="2">
        <f t="shared" si="42"/>
        <v>246331.69999999998</v>
      </c>
      <c r="M905" s="2">
        <f>(Table2[[#This Row],[Adjusted revenue]]-Table2[[#This Row],[budget]])/Table2[[#This Row],[budget]]</f>
        <v>9</v>
      </c>
      <c r="N905" t="str">
        <f t="shared" si="43"/>
        <v>OK</v>
      </c>
      <c r="O905" s="2">
        <f t="shared" si="44"/>
        <v>1</v>
      </c>
    </row>
    <row r="906" spans="1:15" x14ac:dyDescent="0.3">
      <c r="A906" t="s">
        <v>924</v>
      </c>
      <c r="B906" s="1">
        <v>44787</v>
      </c>
      <c r="C906" s="1">
        <v>45145</v>
      </c>
      <c r="D906">
        <v>56844.800000000003</v>
      </c>
      <c r="E906" s="2">
        <f>(Table2[[#This Row],[revenue]]-Table2[[#This Row],[budget]])/Table2[[#This Row],[budget]]</f>
        <v>2.7511496214253541</v>
      </c>
      <c r="F906" t="s">
        <v>11</v>
      </c>
      <c r="G906" t="s">
        <v>12</v>
      </c>
      <c r="H906" t="s">
        <v>25</v>
      </c>
      <c r="I906">
        <v>0.45</v>
      </c>
      <c r="J906">
        <v>213233.35</v>
      </c>
      <c r="K906">
        <f>Table2[[#This Row],[revenue]]/Table2[[#This Row],[budget]]</f>
        <v>3.7511496214253546</v>
      </c>
      <c r="L906" s="2">
        <f t="shared" si="42"/>
        <v>213233.35</v>
      </c>
      <c r="M906" s="2">
        <f>(Table2[[#This Row],[Adjusted revenue]]-Table2[[#This Row],[budget]])/Table2[[#This Row],[budget]]</f>
        <v>2.7511496214253541</v>
      </c>
      <c r="N906" t="str">
        <f t="shared" si="43"/>
        <v>OK</v>
      </c>
      <c r="O906" s="2">
        <f t="shared" si="44"/>
        <v>-0.31554744812097812</v>
      </c>
    </row>
    <row r="907" spans="1:15" x14ac:dyDescent="0.3">
      <c r="A907" t="s">
        <v>925</v>
      </c>
      <c r="B907" s="1">
        <v>44782</v>
      </c>
      <c r="C907" s="1">
        <v>45333</v>
      </c>
      <c r="D907">
        <v>50192.71</v>
      </c>
      <c r="E907" s="2">
        <f>(Table2[[#This Row],[revenue]]-Table2[[#This Row],[budget]])/Table2[[#This Row],[budget]]</f>
        <v>10.542256833711511</v>
      </c>
      <c r="F907" t="s">
        <v>11</v>
      </c>
      <c r="G907" t="s">
        <v>12</v>
      </c>
      <c r="H907" t="s">
        <v>13</v>
      </c>
      <c r="I907">
        <v>0.13</v>
      </c>
      <c r="J907">
        <v>579337.15</v>
      </c>
      <c r="K907">
        <f>Table2[[#This Row],[revenue]]/Table2[[#This Row],[budget]]</f>
        <v>11.542256833711511</v>
      </c>
      <c r="L907" s="2">
        <f t="shared" si="42"/>
        <v>501927.1</v>
      </c>
      <c r="M907" s="2">
        <f>(Table2[[#This Row],[Adjusted revenue]]-Table2[[#This Row],[budget]])/Table2[[#This Row],[budget]]</f>
        <v>9</v>
      </c>
      <c r="N907" t="str">
        <f t="shared" si="43"/>
        <v>OK</v>
      </c>
      <c r="O907" s="2">
        <f t="shared" si="44"/>
        <v>1</v>
      </c>
    </row>
    <row r="908" spans="1:15" x14ac:dyDescent="0.3">
      <c r="A908" t="s">
        <v>926</v>
      </c>
      <c r="B908" s="1">
        <v>45036</v>
      </c>
      <c r="C908" s="1">
        <v>45467</v>
      </c>
      <c r="D908">
        <v>86585.56</v>
      </c>
      <c r="E908" s="2">
        <f>(Table2[[#This Row],[revenue]]-Table2[[#This Row],[budget]])/Table2[[#This Row],[budget]]</f>
        <v>2.9676692048882054</v>
      </c>
      <c r="F908" t="s">
        <v>11</v>
      </c>
      <c r="G908" t="s">
        <v>12</v>
      </c>
      <c r="H908" t="s">
        <v>13</v>
      </c>
      <c r="I908">
        <v>0.94</v>
      </c>
      <c r="J908">
        <v>343542.86</v>
      </c>
      <c r="K908">
        <f>Table2[[#This Row],[revenue]]/Table2[[#This Row],[budget]]</f>
        <v>3.9676692048882054</v>
      </c>
      <c r="L908" s="2">
        <f t="shared" si="42"/>
        <v>343542.86</v>
      </c>
      <c r="M908" s="2">
        <f>(Table2[[#This Row],[Adjusted revenue]]-Table2[[#This Row],[budget]])/Table2[[#This Row],[budget]]</f>
        <v>2.9676692048882054</v>
      </c>
      <c r="N908" t="str">
        <f t="shared" si="43"/>
        <v>OK</v>
      </c>
      <c r="O908" s="2">
        <f t="shared" si="44"/>
        <v>-0.26996437791827255</v>
      </c>
    </row>
    <row r="909" spans="1:15" x14ac:dyDescent="0.3">
      <c r="A909" t="s">
        <v>927</v>
      </c>
      <c r="B909" s="1">
        <v>45127</v>
      </c>
      <c r="C909" s="1">
        <v>45388</v>
      </c>
      <c r="D909">
        <v>15386.79</v>
      </c>
      <c r="E909" s="2">
        <f>(Table2[[#This Row],[revenue]]-Table2[[#This Row],[budget]])/Table2[[#This Row],[budget]]</f>
        <v>62.270006934519806</v>
      </c>
      <c r="F909" t="s">
        <v>21</v>
      </c>
      <c r="G909" t="s">
        <v>12</v>
      </c>
      <c r="H909" t="s">
        <v>13</v>
      </c>
      <c r="I909">
        <v>0.98</v>
      </c>
      <c r="J909">
        <v>973522.31</v>
      </c>
      <c r="K909">
        <f>Table2[[#This Row],[revenue]]/Table2[[#This Row],[budget]]</f>
        <v>63.270006934519806</v>
      </c>
      <c r="L909" s="2">
        <f t="shared" si="42"/>
        <v>153867.90000000002</v>
      </c>
      <c r="M909" s="2">
        <f>(Table2[[#This Row],[Adjusted revenue]]-Table2[[#This Row],[budget]])/Table2[[#This Row],[budget]]</f>
        <v>9</v>
      </c>
      <c r="N909" t="str">
        <f t="shared" si="43"/>
        <v>OK</v>
      </c>
      <c r="O909" s="2">
        <f t="shared" si="44"/>
        <v>1</v>
      </c>
    </row>
    <row r="910" spans="1:15" x14ac:dyDescent="0.3">
      <c r="A910" t="s">
        <v>928</v>
      </c>
      <c r="B910" s="1">
        <v>45077</v>
      </c>
      <c r="C910" s="1">
        <v>45295</v>
      </c>
      <c r="D910">
        <v>56098.87</v>
      </c>
      <c r="E910" s="2">
        <f>(Table2[[#This Row],[revenue]]-Table2[[#This Row],[budget]])/Table2[[#This Row],[budget]]</f>
        <v>11.369971623314338</v>
      </c>
      <c r="F910" t="s">
        <v>21</v>
      </c>
      <c r="G910" t="s">
        <v>15</v>
      </c>
      <c r="H910" t="s">
        <v>13</v>
      </c>
      <c r="I910">
        <v>0.53</v>
      </c>
      <c r="J910">
        <v>693941.43</v>
      </c>
      <c r="K910">
        <f>Table2[[#This Row],[revenue]]/Table2[[#This Row],[budget]]</f>
        <v>12.369971623314338</v>
      </c>
      <c r="L910" s="2">
        <f t="shared" si="42"/>
        <v>560988.70000000007</v>
      </c>
      <c r="M910" s="2">
        <f>(Table2[[#This Row],[Adjusted revenue]]-Table2[[#This Row],[budget]])/Table2[[#This Row],[budget]]</f>
        <v>9.0000000000000018</v>
      </c>
      <c r="N910" t="str">
        <f t="shared" si="43"/>
        <v>OK</v>
      </c>
      <c r="O910" s="2">
        <f t="shared" si="44"/>
        <v>1.0000000000000004</v>
      </c>
    </row>
    <row r="911" spans="1:15" x14ac:dyDescent="0.3">
      <c r="A911" t="s">
        <v>929</v>
      </c>
      <c r="B911" s="1">
        <v>45022</v>
      </c>
      <c r="C911" s="1">
        <v>45463</v>
      </c>
      <c r="D911">
        <v>86427.37</v>
      </c>
      <c r="E911" s="2">
        <f>(Table2[[#This Row],[revenue]]-Table2[[#This Row],[budget]])/Table2[[#This Row],[budget]]</f>
        <v>6.1198044091819526</v>
      </c>
      <c r="F911" t="s">
        <v>21</v>
      </c>
      <c r="G911" t="s">
        <v>12</v>
      </c>
      <c r="H911" t="s">
        <v>13</v>
      </c>
      <c r="I911">
        <v>0.69</v>
      </c>
      <c r="J911">
        <v>615345.97</v>
      </c>
      <c r="K911">
        <f>Table2[[#This Row],[revenue]]/Table2[[#This Row],[budget]]</f>
        <v>7.1198044091819526</v>
      </c>
      <c r="L911" s="2">
        <f t="shared" si="42"/>
        <v>615345.97</v>
      </c>
      <c r="M911" s="2">
        <f>(Table2[[#This Row],[Adjusted revenue]]-Table2[[#This Row],[budget]])/Table2[[#This Row],[budget]]</f>
        <v>6.1198044091819526</v>
      </c>
      <c r="N911" t="str">
        <f t="shared" si="43"/>
        <v>OK</v>
      </c>
      <c r="O911" s="2">
        <f t="shared" si="44"/>
        <v>0.39364303351199004</v>
      </c>
    </row>
    <row r="912" spans="1:15" x14ac:dyDescent="0.3">
      <c r="A912" t="s">
        <v>930</v>
      </c>
      <c r="B912" s="1">
        <v>45057</v>
      </c>
      <c r="C912" s="1">
        <v>45260</v>
      </c>
      <c r="D912">
        <v>12214.82</v>
      </c>
      <c r="E912" s="2">
        <f>(Table2[[#This Row],[revenue]]-Table2[[#This Row],[budget]])/Table2[[#This Row],[budget]]</f>
        <v>44.317698500673778</v>
      </c>
      <c r="F912" t="s">
        <v>11</v>
      </c>
      <c r="G912" t="s">
        <v>12</v>
      </c>
      <c r="H912" t="s">
        <v>13</v>
      </c>
      <c r="I912">
        <v>0.46</v>
      </c>
      <c r="J912">
        <v>553547.53</v>
      </c>
      <c r="K912">
        <f>Table2[[#This Row],[revenue]]/Table2[[#This Row],[budget]]</f>
        <v>45.317698500673778</v>
      </c>
      <c r="L912" s="2">
        <f t="shared" si="42"/>
        <v>122148.2</v>
      </c>
      <c r="M912" s="2">
        <f>(Table2[[#This Row],[Adjusted revenue]]-Table2[[#This Row],[budget]])/Table2[[#This Row],[budget]]</f>
        <v>9</v>
      </c>
      <c r="N912" t="str">
        <f t="shared" si="43"/>
        <v>OK</v>
      </c>
      <c r="O912" s="2">
        <f t="shared" si="44"/>
        <v>1</v>
      </c>
    </row>
    <row r="913" spans="1:15" x14ac:dyDescent="0.3">
      <c r="A913" t="s">
        <v>931</v>
      </c>
      <c r="B913" s="1">
        <v>44830</v>
      </c>
      <c r="C913" s="1">
        <v>45188</v>
      </c>
      <c r="D913">
        <v>83088.320000000007</v>
      </c>
      <c r="E913" s="2">
        <f>(Table2[[#This Row],[revenue]]-Table2[[#This Row],[budget]])/Table2[[#This Row],[budget]]</f>
        <v>5.7949368816218687</v>
      </c>
      <c r="F913" t="s">
        <v>11</v>
      </c>
      <c r="G913" t="s">
        <v>15</v>
      </c>
      <c r="H913" t="s">
        <v>19</v>
      </c>
      <c r="I913">
        <v>0.8</v>
      </c>
      <c r="J913">
        <v>564579.89</v>
      </c>
      <c r="K913">
        <f>Table2[[#This Row],[revenue]]/Table2[[#This Row],[budget]]</f>
        <v>6.7949368816218687</v>
      </c>
      <c r="L913" s="2">
        <f t="shared" si="42"/>
        <v>564579.89</v>
      </c>
      <c r="M913" s="2">
        <f>(Table2[[#This Row],[Adjusted revenue]]-Table2[[#This Row],[budget]])/Table2[[#This Row],[budget]]</f>
        <v>5.7949368816218687</v>
      </c>
      <c r="N913" t="str">
        <f t="shared" si="43"/>
        <v>OK</v>
      </c>
      <c r="O913" s="2">
        <f t="shared" si="44"/>
        <v>0.32524986981513027</v>
      </c>
    </row>
    <row r="914" spans="1:15" x14ac:dyDescent="0.3">
      <c r="A914" t="s">
        <v>932</v>
      </c>
      <c r="B914" s="1">
        <v>44887</v>
      </c>
      <c r="C914" s="1">
        <v>45220</v>
      </c>
      <c r="D914">
        <v>80176.5</v>
      </c>
      <c r="E914" s="2">
        <f>(Table2[[#This Row],[revenue]]-Table2[[#This Row],[budget]])/Table2[[#This Row],[budget]]</f>
        <v>-0.69818325818662574</v>
      </c>
      <c r="F914" t="s">
        <v>11</v>
      </c>
      <c r="G914" t="s">
        <v>15</v>
      </c>
      <c r="H914" t="s">
        <v>16</v>
      </c>
      <c r="I914">
        <v>0.11</v>
      </c>
      <c r="J914">
        <v>24198.61</v>
      </c>
      <c r="K914">
        <f>Table2[[#This Row],[revenue]]/Table2[[#This Row],[budget]]</f>
        <v>0.30181674181337426</v>
      </c>
      <c r="L914" s="2">
        <f t="shared" si="42"/>
        <v>40088.25</v>
      </c>
      <c r="M914" s="2">
        <f>(Table2[[#This Row],[Adjusted revenue]]-Table2[[#This Row],[budget]])/Table2[[#This Row],[budget]]</f>
        <v>-0.5</v>
      </c>
      <c r="N914" t="str">
        <f t="shared" si="43"/>
        <v>Failed</v>
      </c>
      <c r="O914" s="2">
        <f t="shared" si="44"/>
        <v>-1</v>
      </c>
    </row>
    <row r="915" spans="1:15" x14ac:dyDescent="0.3">
      <c r="A915" t="s">
        <v>933</v>
      </c>
      <c r="B915" s="1">
        <v>45041</v>
      </c>
      <c r="C915" s="1">
        <v>45455</v>
      </c>
      <c r="D915">
        <v>11441.68</v>
      </c>
      <c r="E915" s="2">
        <f>(Table2[[#This Row],[revenue]]-Table2[[#This Row],[budget]])/Table2[[#This Row],[budget]]</f>
        <v>71.630058697673761</v>
      </c>
      <c r="F915" t="s">
        <v>18</v>
      </c>
      <c r="G915" t="s">
        <v>12</v>
      </c>
      <c r="H915" t="s">
        <v>16</v>
      </c>
      <c r="I915">
        <v>0.39</v>
      </c>
      <c r="J915">
        <v>831009.89</v>
      </c>
      <c r="K915">
        <f>Table2[[#This Row],[revenue]]/Table2[[#This Row],[budget]]</f>
        <v>72.630058697673761</v>
      </c>
      <c r="L915" s="2">
        <f t="shared" si="42"/>
        <v>114416.8</v>
      </c>
      <c r="M915" s="2">
        <f>(Table2[[#This Row],[Adjusted revenue]]-Table2[[#This Row],[budget]])/Table2[[#This Row],[budget]]</f>
        <v>9</v>
      </c>
      <c r="N915" t="str">
        <f t="shared" si="43"/>
        <v>OK</v>
      </c>
      <c r="O915" s="2">
        <f t="shared" si="44"/>
        <v>1</v>
      </c>
    </row>
    <row r="916" spans="1:15" x14ac:dyDescent="0.3">
      <c r="A916" t="s">
        <v>934</v>
      </c>
      <c r="B916" s="1">
        <v>44824</v>
      </c>
      <c r="C916" s="1">
        <v>45453</v>
      </c>
      <c r="D916">
        <v>48365.23</v>
      </c>
      <c r="E916" s="2">
        <f>(Table2[[#This Row],[revenue]]-Table2[[#This Row],[budget]])/Table2[[#This Row],[budget]]</f>
        <v>6.0331049805821246</v>
      </c>
      <c r="F916" t="s">
        <v>21</v>
      </c>
      <c r="G916" t="s">
        <v>15</v>
      </c>
      <c r="H916" t="s">
        <v>13</v>
      </c>
      <c r="I916">
        <v>0.67</v>
      </c>
      <c r="J916">
        <v>340157.74</v>
      </c>
      <c r="K916">
        <f>Table2[[#This Row],[revenue]]/Table2[[#This Row],[budget]]</f>
        <v>7.0331049805821237</v>
      </c>
      <c r="L916" s="2">
        <f t="shared" si="42"/>
        <v>340157.74</v>
      </c>
      <c r="M916" s="2">
        <f>(Table2[[#This Row],[Adjusted revenue]]-Table2[[#This Row],[budget]])/Table2[[#This Row],[budget]]</f>
        <v>6.0331049805821246</v>
      </c>
      <c r="N916" t="str">
        <f t="shared" si="43"/>
        <v>OK</v>
      </c>
      <c r="O916" s="2">
        <f t="shared" si="44"/>
        <v>0.37539052222781577</v>
      </c>
    </row>
    <row r="917" spans="1:15" x14ac:dyDescent="0.3">
      <c r="A917" t="s">
        <v>935</v>
      </c>
      <c r="B917" s="1">
        <v>45097</v>
      </c>
      <c r="C917" s="1">
        <v>45181</v>
      </c>
      <c r="D917">
        <v>86182.78</v>
      </c>
      <c r="E917" s="2">
        <f>(Table2[[#This Row],[revenue]]-Table2[[#This Row],[budget]])/Table2[[#This Row],[budget]]</f>
        <v>7.8376205780319452</v>
      </c>
      <c r="F917" t="s">
        <v>21</v>
      </c>
      <c r="G917" t="s">
        <v>12</v>
      </c>
      <c r="H917" t="s">
        <v>16</v>
      </c>
      <c r="I917">
        <v>0.12</v>
      </c>
      <c r="J917">
        <v>761650.71</v>
      </c>
      <c r="K917">
        <f>Table2[[#This Row],[revenue]]/Table2[[#This Row],[budget]]</f>
        <v>8.8376205780319452</v>
      </c>
      <c r="L917" s="2">
        <f t="shared" si="42"/>
        <v>761650.71</v>
      </c>
      <c r="M917" s="2">
        <f>(Table2[[#This Row],[Adjusted revenue]]-Table2[[#This Row],[budget]])/Table2[[#This Row],[budget]]</f>
        <v>7.8376205780319452</v>
      </c>
      <c r="N917" t="str">
        <f t="shared" si="43"/>
        <v>OK</v>
      </c>
      <c r="O917" s="2">
        <f t="shared" si="44"/>
        <v>0.75528854274356738</v>
      </c>
    </row>
    <row r="918" spans="1:15" x14ac:dyDescent="0.3">
      <c r="A918" t="s">
        <v>936</v>
      </c>
      <c r="B918" s="1">
        <v>45031</v>
      </c>
      <c r="C918" s="1">
        <v>45453</v>
      </c>
      <c r="D918">
        <v>87937.87</v>
      </c>
      <c r="E918" s="2">
        <f>(Table2[[#This Row],[revenue]]-Table2[[#This Row],[budget]])/Table2[[#This Row],[budget]]</f>
        <v>1.1200124587961935</v>
      </c>
      <c r="F918" t="s">
        <v>23</v>
      </c>
      <c r="G918" t="s">
        <v>12</v>
      </c>
      <c r="H918" t="s">
        <v>16</v>
      </c>
      <c r="I918">
        <v>0.96</v>
      </c>
      <c r="J918">
        <v>186429.38</v>
      </c>
      <c r="K918">
        <f>Table2[[#This Row],[revenue]]/Table2[[#This Row],[budget]]</f>
        <v>2.1200124587961935</v>
      </c>
      <c r="L918" s="2">
        <f t="shared" si="42"/>
        <v>186429.38</v>
      </c>
      <c r="M918" s="2">
        <f>(Table2[[#This Row],[Adjusted revenue]]-Table2[[#This Row],[budget]])/Table2[[#This Row],[budget]]</f>
        <v>1.1200124587961935</v>
      </c>
      <c r="N918" t="str">
        <f t="shared" si="43"/>
        <v>OK</v>
      </c>
      <c r="O918" s="2">
        <f t="shared" si="44"/>
        <v>-0.65894474551659088</v>
      </c>
    </row>
    <row r="919" spans="1:15" x14ac:dyDescent="0.3">
      <c r="A919" t="s">
        <v>937</v>
      </c>
      <c r="B919" s="1">
        <v>45039</v>
      </c>
      <c r="C919" s="1">
        <v>45147</v>
      </c>
      <c r="D919">
        <v>13932.94</v>
      </c>
      <c r="E919" s="2">
        <f>(Table2[[#This Row],[revenue]]-Table2[[#This Row],[budget]])/Table2[[#This Row],[budget]]</f>
        <v>51.923632772408411</v>
      </c>
      <c r="F919" t="s">
        <v>21</v>
      </c>
      <c r="G919" t="s">
        <v>15</v>
      </c>
      <c r="H919" t="s">
        <v>16</v>
      </c>
      <c r="I919">
        <v>0.21</v>
      </c>
      <c r="J919">
        <v>737381.8</v>
      </c>
      <c r="K919">
        <f>Table2[[#This Row],[revenue]]/Table2[[#This Row],[budget]]</f>
        <v>52.923632772408411</v>
      </c>
      <c r="L919" s="2">
        <f t="shared" si="42"/>
        <v>139329.4</v>
      </c>
      <c r="M919" s="2">
        <f>(Table2[[#This Row],[Adjusted revenue]]-Table2[[#This Row],[budget]])/Table2[[#This Row],[budget]]</f>
        <v>8.9999999999999982</v>
      </c>
      <c r="N919" t="str">
        <f t="shared" si="43"/>
        <v>OK</v>
      </c>
      <c r="O919" s="2">
        <f t="shared" si="44"/>
        <v>0.99999999999999956</v>
      </c>
    </row>
    <row r="920" spans="1:15" x14ac:dyDescent="0.3">
      <c r="A920" t="s">
        <v>938</v>
      </c>
      <c r="B920" s="1">
        <v>44958</v>
      </c>
      <c r="C920" s="1">
        <v>45140</v>
      </c>
      <c r="D920">
        <v>8324.2999999999993</v>
      </c>
      <c r="E920" s="2">
        <f>(Table2[[#This Row],[revenue]]-Table2[[#This Row],[budget]])/Table2[[#This Row],[budget]]</f>
        <v>104.23329048688778</v>
      </c>
      <c r="F920" t="s">
        <v>21</v>
      </c>
      <c r="G920" t="s">
        <v>15</v>
      </c>
      <c r="H920" t="s">
        <v>16</v>
      </c>
      <c r="I920">
        <v>0.76</v>
      </c>
      <c r="J920">
        <v>875993.48</v>
      </c>
      <c r="K920">
        <f>Table2[[#This Row],[revenue]]/Table2[[#This Row],[budget]]</f>
        <v>105.2332904868878</v>
      </c>
      <c r="L920" s="2">
        <f t="shared" si="42"/>
        <v>83243</v>
      </c>
      <c r="M920" s="2">
        <f>(Table2[[#This Row],[Adjusted revenue]]-Table2[[#This Row],[budget]])/Table2[[#This Row],[budget]]</f>
        <v>9</v>
      </c>
      <c r="N920" t="str">
        <f t="shared" si="43"/>
        <v>OK</v>
      </c>
      <c r="O920" s="2">
        <f t="shared" si="44"/>
        <v>1</v>
      </c>
    </row>
    <row r="921" spans="1:15" x14ac:dyDescent="0.3">
      <c r="A921" t="s">
        <v>939</v>
      </c>
      <c r="B921" s="1">
        <v>44816</v>
      </c>
      <c r="C921" s="1">
        <v>45344</v>
      </c>
      <c r="D921">
        <v>10216.93</v>
      </c>
      <c r="E921" s="2">
        <f>(Table2[[#This Row],[revenue]]-Table2[[#This Row],[budget]])/Table2[[#This Row],[budget]]</f>
        <v>57.503522095189055</v>
      </c>
      <c r="F921" t="s">
        <v>23</v>
      </c>
      <c r="G921" t="s">
        <v>12</v>
      </c>
      <c r="H921" t="s">
        <v>13</v>
      </c>
      <c r="I921">
        <v>0.12</v>
      </c>
      <c r="J921">
        <v>597726.39</v>
      </c>
      <c r="K921">
        <f>Table2[[#This Row],[revenue]]/Table2[[#This Row],[budget]]</f>
        <v>58.503522095189062</v>
      </c>
      <c r="L921" s="2">
        <f t="shared" si="42"/>
        <v>102169.3</v>
      </c>
      <c r="M921" s="2">
        <f>(Table2[[#This Row],[Adjusted revenue]]-Table2[[#This Row],[budget]])/Table2[[#This Row],[budget]]</f>
        <v>9</v>
      </c>
      <c r="N921" t="str">
        <f t="shared" si="43"/>
        <v>OK</v>
      </c>
      <c r="O921" s="2">
        <f t="shared" si="44"/>
        <v>1</v>
      </c>
    </row>
    <row r="922" spans="1:15" x14ac:dyDescent="0.3">
      <c r="A922" t="s">
        <v>940</v>
      </c>
      <c r="B922" s="1">
        <v>44975</v>
      </c>
      <c r="C922" s="1">
        <v>45375</v>
      </c>
      <c r="D922">
        <v>73598.13</v>
      </c>
      <c r="E922" s="2">
        <f>(Table2[[#This Row],[revenue]]-Table2[[#This Row],[budget]])/Table2[[#This Row],[budget]]</f>
        <v>5.9093392726146705</v>
      </c>
      <c r="F922" t="s">
        <v>11</v>
      </c>
      <c r="G922" t="s">
        <v>15</v>
      </c>
      <c r="H922" t="s">
        <v>16</v>
      </c>
      <c r="I922">
        <v>0.45</v>
      </c>
      <c r="J922">
        <v>508514.45</v>
      </c>
      <c r="K922">
        <f>Table2[[#This Row],[revenue]]/Table2[[#This Row],[budget]]</f>
        <v>6.9093392726146705</v>
      </c>
      <c r="L922" s="2">
        <f t="shared" si="42"/>
        <v>508514.45</v>
      </c>
      <c r="M922" s="2">
        <f>(Table2[[#This Row],[Adjusted revenue]]-Table2[[#This Row],[budget]])/Table2[[#This Row],[budget]]</f>
        <v>5.9093392726146705</v>
      </c>
      <c r="N922" t="str">
        <f t="shared" si="43"/>
        <v>OK</v>
      </c>
      <c r="O922" s="2">
        <f t="shared" si="44"/>
        <v>0.34933458370835169</v>
      </c>
    </row>
    <row r="923" spans="1:15" x14ac:dyDescent="0.3">
      <c r="A923" t="s">
        <v>941</v>
      </c>
      <c r="B923" s="1">
        <v>44962</v>
      </c>
      <c r="C923" s="1">
        <v>45438</v>
      </c>
      <c r="D923">
        <v>39103.33</v>
      </c>
      <c r="E923" s="2">
        <f>(Table2[[#This Row],[revenue]]-Table2[[#This Row],[budget]])/Table2[[#This Row],[budget]]</f>
        <v>11.868245747868531</v>
      </c>
      <c r="F923" t="s">
        <v>21</v>
      </c>
      <c r="G923" t="s">
        <v>15</v>
      </c>
      <c r="H923" t="s">
        <v>16</v>
      </c>
      <c r="I923">
        <v>0.55000000000000004</v>
      </c>
      <c r="J923">
        <v>503191.26</v>
      </c>
      <c r="K923">
        <f>Table2[[#This Row],[revenue]]/Table2[[#This Row],[budget]]</f>
        <v>12.868245747868531</v>
      </c>
      <c r="L923" s="2">
        <f t="shared" si="42"/>
        <v>391033.30000000005</v>
      </c>
      <c r="M923" s="2">
        <f>(Table2[[#This Row],[Adjusted revenue]]-Table2[[#This Row],[budget]])/Table2[[#This Row],[budget]]</f>
        <v>9</v>
      </c>
      <c r="N923" t="str">
        <f t="shared" si="43"/>
        <v>OK</v>
      </c>
      <c r="O923" s="2">
        <f t="shared" si="44"/>
        <v>1</v>
      </c>
    </row>
    <row r="924" spans="1:15" x14ac:dyDescent="0.3">
      <c r="A924" t="s">
        <v>942</v>
      </c>
      <c r="B924" s="1">
        <v>44954</v>
      </c>
      <c r="C924" s="1">
        <v>45374</v>
      </c>
      <c r="D924">
        <v>5833.99</v>
      </c>
      <c r="E924" s="2">
        <f>(Table2[[#This Row],[revenue]]-Table2[[#This Row],[budget]])/Table2[[#This Row],[budget]]</f>
        <v>30.166405838885566</v>
      </c>
      <c r="F924" t="s">
        <v>21</v>
      </c>
      <c r="G924" t="s">
        <v>15</v>
      </c>
      <c r="H924" t="s">
        <v>16</v>
      </c>
      <c r="I924">
        <v>0.65</v>
      </c>
      <c r="J924">
        <v>181824.5</v>
      </c>
      <c r="K924">
        <f>Table2[[#This Row],[revenue]]/Table2[[#This Row],[budget]]</f>
        <v>31.166405838885566</v>
      </c>
      <c r="L924" s="2">
        <f t="shared" si="42"/>
        <v>58339.899999999994</v>
      </c>
      <c r="M924" s="2">
        <f>(Table2[[#This Row],[Adjusted revenue]]-Table2[[#This Row],[budget]])/Table2[[#This Row],[budget]]</f>
        <v>9</v>
      </c>
      <c r="N924" t="str">
        <f t="shared" si="43"/>
        <v>OK</v>
      </c>
      <c r="O924" s="2">
        <f t="shared" si="44"/>
        <v>1</v>
      </c>
    </row>
    <row r="925" spans="1:15" x14ac:dyDescent="0.3">
      <c r="A925" t="s">
        <v>943</v>
      </c>
      <c r="B925" s="1">
        <v>44940</v>
      </c>
      <c r="C925" s="1">
        <v>45490</v>
      </c>
      <c r="D925">
        <v>60899.96</v>
      </c>
      <c r="E925" s="2">
        <f>(Table2[[#This Row],[revenue]]-Table2[[#This Row],[budget]])/Table2[[#This Row],[budget]]</f>
        <v>7.4058643059864071</v>
      </c>
      <c r="F925" t="s">
        <v>18</v>
      </c>
      <c r="G925" t="s">
        <v>15</v>
      </c>
      <c r="H925" t="s">
        <v>16</v>
      </c>
      <c r="I925">
        <v>0.3</v>
      </c>
      <c r="J925">
        <v>511916.79999999999</v>
      </c>
      <c r="K925">
        <f>Table2[[#This Row],[revenue]]/Table2[[#This Row],[budget]]</f>
        <v>8.4058643059864071</v>
      </c>
      <c r="L925" s="2">
        <f t="shared" si="42"/>
        <v>511916.79999999999</v>
      </c>
      <c r="M925" s="2">
        <f>(Table2[[#This Row],[Adjusted revenue]]-Table2[[#This Row],[budget]])/Table2[[#This Row],[budget]]</f>
        <v>7.4058643059864071</v>
      </c>
      <c r="N925" t="str">
        <f t="shared" si="43"/>
        <v>OK</v>
      </c>
      <c r="O925" s="2">
        <f t="shared" si="44"/>
        <v>0.66439248547082252</v>
      </c>
    </row>
    <row r="926" spans="1:15" x14ac:dyDescent="0.3">
      <c r="A926" t="s">
        <v>944</v>
      </c>
      <c r="B926" s="1">
        <v>45093</v>
      </c>
      <c r="C926" s="1">
        <v>45267</v>
      </c>
      <c r="D926">
        <v>40596.83</v>
      </c>
      <c r="E926" s="2">
        <f>(Table2[[#This Row],[revenue]]-Table2[[#This Row],[budget]])/Table2[[#This Row],[budget]]</f>
        <v>18.568403247248614</v>
      </c>
      <c r="F926" t="s">
        <v>18</v>
      </c>
      <c r="G926" t="s">
        <v>12</v>
      </c>
      <c r="H926" t="s">
        <v>16</v>
      </c>
      <c r="I926">
        <v>0.22</v>
      </c>
      <c r="J926">
        <v>794415.14</v>
      </c>
      <c r="K926">
        <f>Table2[[#This Row],[revenue]]/Table2[[#This Row],[budget]]</f>
        <v>19.568403247248614</v>
      </c>
      <c r="L926" s="2">
        <f t="shared" si="42"/>
        <v>405968.30000000005</v>
      </c>
      <c r="M926" s="2">
        <f>(Table2[[#This Row],[Adjusted revenue]]-Table2[[#This Row],[budget]])/Table2[[#This Row],[budget]]</f>
        <v>9</v>
      </c>
      <c r="N926" t="str">
        <f t="shared" si="43"/>
        <v>OK</v>
      </c>
      <c r="O926" s="2">
        <f t="shared" si="44"/>
        <v>1</v>
      </c>
    </row>
    <row r="927" spans="1:15" x14ac:dyDescent="0.3">
      <c r="A927" t="s">
        <v>945</v>
      </c>
      <c r="B927" s="1">
        <v>44898</v>
      </c>
      <c r="C927" s="1">
        <v>45284</v>
      </c>
      <c r="D927">
        <v>25337.54</v>
      </c>
      <c r="E927" s="2">
        <f>(Table2[[#This Row],[revenue]]-Table2[[#This Row],[budget]])/Table2[[#This Row],[budget]]</f>
        <v>21.458673967559598</v>
      </c>
      <c r="F927" t="s">
        <v>23</v>
      </c>
      <c r="G927" t="s">
        <v>15</v>
      </c>
      <c r="H927" t="s">
        <v>16</v>
      </c>
      <c r="I927">
        <v>0.17</v>
      </c>
      <c r="J927">
        <v>569047.55000000005</v>
      </c>
      <c r="K927">
        <f>Table2[[#This Row],[revenue]]/Table2[[#This Row],[budget]]</f>
        <v>22.458673967559598</v>
      </c>
      <c r="L927" s="2">
        <f t="shared" si="42"/>
        <v>253375.40000000002</v>
      </c>
      <c r="M927" s="2">
        <f>(Table2[[#This Row],[Adjusted revenue]]-Table2[[#This Row],[budget]])/Table2[[#This Row],[budget]]</f>
        <v>9</v>
      </c>
      <c r="N927" t="str">
        <f t="shared" si="43"/>
        <v>OK</v>
      </c>
      <c r="O927" s="2">
        <f t="shared" si="44"/>
        <v>1</v>
      </c>
    </row>
    <row r="928" spans="1:15" x14ac:dyDescent="0.3">
      <c r="A928" t="s">
        <v>946</v>
      </c>
      <c r="B928" s="1">
        <v>44819</v>
      </c>
      <c r="C928" s="1">
        <v>45217</v>
      </c>
      <c r="D928">
        <v>93064.34</v>
      </c>
      <c r="E928" s="2">
        <f>(Table2[[#This Row],[revenue]]-Table2[[#This Row],[budget]])/Table2[[#This Row],[budget]]</f>
        <v>7.420328452337384</v>
      </c>
      <c r="F928" t="s">
        <v>21</v>
      </c>
      <c r="G928" t="s">
        <v>15</v>
      </c>
      <c r="H928" t="s">
        <v>16</v>
      </c>
      <c r="I928">
        <v>0.6</v>
      </c>
      <c r="J928">
        <v>783632.31</v>
      </c>
      <c r="K928">
        <f>Table2[[#This Row],[revenue]]/Table2[[#This Row],[budget]]</f>
        <v>8.4203284523373831</v>
      </c>
      <c r="L928" s="2">
        <f t="shared" si="42"/>
        <v>783632.31</v>
      </c>
      <c r="M928" s="2">
        <f>(Table2[[#This Row],[Adjusted revenue]]-Table2[[#This Row],[budget]])/Table2[[#This Row],[budget]]</f>
        <v>7.420328452337384</v>
      </c>
      <c r="N928" t="str">
        <f t="shared" si="43"/>
        <v>OK</v>
      </c>
      <c r="O928" s="2">
        <f t="shared" si="44"/>
        <v>0.66743756891313355</v>
      </c>
    </row>
    <row r="929" spans="1:15" x14ac:dyDescent="0.3">
      <c r="A929" t="s">
        <v>947</v>
      </c>
      <c r="B929" s="1">
        <v>44941</v>
      </c>
      <c r="C929" s="1">
        <v>45375</v>
      </c>
      <c r="D929">
        <v>75609.64</v>
      </c>
      <c r="E929" s="2">
        <f>(Table2[[#This Row],[revenue]]-Table2[[#This Row],[budget]])/Table2[[#This Row],[budget]]</f>
        <v>6.6629428469703065</v>
      </c>
      <c r="F929" t="s">
        <v>21</v>
      </c>
      <c r="G929" t="s">
        <v>15</v>
      </c>
      <c r="H929" t="s">
        <v>16</v>
      </c>
      <c r="I929">
        <v>0.84</v>
      </c>
      <c r="J929">
        <v>579392.35</v>
      </c>
      <c r="K929">
        <f>Table2[[#This Row],[revenue]]/Table2[[#This Row],[budget]]</f>
        <v>7.6629428469703065</v>
      </c>
      <c r="L929" s="2">
        <f t="shared" si="42"/>
        <v>579392.35</v>
      </c>
      <c r="M929" s="2">
        <f>(Table2[[#This Row],[Adjusted revenue]]-Table2[[#This Row],[budget]])/Table2[[#This Row],[budget]]</f>
        <v>6.6629428469703065</v>
      </c>
      <c r="N929" t="str">
        <f t="shared" si="43"/>
        <v>OK</v>
      </c>
      <c r="O929" s="2">
        <f t="shared" si="44"/>
        <v>0.50798796778322242</v>
      </c>
    </row>
    <row r="930" spans="1:15" x14ac:dyDescent="0.3">
      <c r="A930" t="s">
        <v>948</v>
      </c>
      <c r="B930" s="1">
        <v>45054</v>
      </c>
      <c r="C930" s="1">
        <v>45493</v>
      </c>
      <c r="D930">
        <v>21939.98</v>
      </c>
      <c r="E930" s="2">
        <f>(Table2[[#This Row],[revenue]]-Table2[[#This Row],[budget]])/Table2[[#This Row],[budget]]</f>
        <v>1.3720313327541775</v>
      </c>
      <c r="F930" t="s">
        <v>11</v>
      </c>
      <c r="G930" t="s">
        <v>15</v>
      </c>
      <c r="H930" t="s">
        <v>16</v>
      </c>
      <c r="I930">
        <v>0.55000000000000004</v>
      </c>
      <c r="J930">
        <v>52042.32</v>
      </c>
      <c r="K930">
        <f>Table2[[#This Row],[revenue]]/Table2[[#This Row],[budget]]</f>
        <v>2.3720313327541778</v>
      </c>
      <c r="L930" s="2">
        <f t="shared" si="42"/>
        <v>52042.32</v>
      </c>
      <c r="M930" s="2">
        <f>(Table2[[#This Row],[Adjusted revenue]]-Table2[[#This Row],[budget]])/Table2[[#This Row],[budget]]</f>
        <v>1.3720313327541775</v>
      </c>
      <c r="N930" t="str">
        <f t="shared" si="43"/>
        <v>OK</v>
      </c>
      <c r="O930" s="2">
        <f t="shared" si="44"/>
        <v>-0.6058881404728047</v>
      </c>
    </row>
    <row r="931" spans="1:15" x14ac:dyDescent="0.3">
      <c r="A931" t="s">
        <v>949</v>
      </c>
      <c r="B931" s="1">
        <v>44821</v>
      </c>
      <c r="C931" s="1">
        <v>45254</v>
      </c>
      <c r="D931">
        <v>89036.76</v>
      </c>
      <c r="E931" s="2">
        <f>(Table2[[#This Row],[revenue]]-Table2[[#This Row],[budget]])/Table2[[#This Row],[budget]]</f>
        <v>9.3000707797543409</v>
      </c>
      <c r="F931" t="s">
        <v>18</v>
      </c>
      <c r="G931" t="s">
        <v>12</v>
      </c>
      <c r="H931" t="s">
        <v>13</v>
      </c>
      <c r="I931">
        <v>0.44</v>
      </c>
      <c r="J931">
        <v>917084.93</v>
      </c>
      <c r="K931">
        <f>Table2[[#This Row],[revenue]]/Table2[[#This Row],[budget]]</f>
        <v>10.300070779754341</v>
      </c>
      <c r="L931" s="2">
        <f t="shared" si="42"/>
        <v>890367.6</v>
      </c>
      <c r="M931" s="2">
        <f>(Table2[[#This Row],[Adjusted revenue]]-Table2[[#This Row],[budget]])/Table2[[#This Row],[budget]]</f>
        <v>9</v>
      </c>
      <c r="N931" t="str">
        <f t="shared" si="43"/>
        <v>OK</v>
      </c>
      <c r="O931" s="2">
        <f t="shared" si="44"/>
        <v>1</v>
      </c>
    </row>
    <row r="932" spans="1:15" x14ac:dyDescent="0.3">
      <c r="A932" t="s">
        <v>950</v>
      </c>
      <c r="B932" s="1">
        <v>44961</v>
      </c>
      <c r="C932" s="1">
        <v>45444</v>
      </c>
      <c r="D932">
        <v>31126.7</v>
      </c>
      <c r="E932" s="2">
        <f>(Table2[[#This Row],[revenue]]-Table2[[#This Row],[budget]])/Table2[[#This Row],[budget]]</f>
        <v>27.91203500531698</v>
      </c>
      <c r="F932" t="s">
        <v>18</v>
      </c>
      <c r="G932" t="s">
        <v>15</v>
      </c>
      <c r="H932" t="s">
        <v>13</v>
      </c>
      <c r="I932">
        <v>0.37</v>
      </c>
      <c r="J932">
        <v>899936.24</v>
      </c>
      <c r="K932">
        <f>Table2[[#This Row],[revenue]]/Table2[[#This Row],[budget]]</f>
        <v>28.912035005316977</v>
      </c>
      <c r="L932" s="2">
        <f t="shared" si="42"/>
        <v>311267</v>
      </c>
      <c r="M932" s="2">
        <f>(Table2[[#This Row],[Adjusted revenue]]-Table2[[#This Row],[budget]])/Table2[[#This Row],[budget]]</f>
        <v>9</v>
      </c>
      <c r="N932" t="str">
        <f t="shared" si="43"/>
        <v>OK</v>
      </c>
      <c r="O932" s="2">
        <f t="shared" si="44"/>
        <v>1</v>
      </c>
    </row>
    <row r="933" spans="1:15" x14ac:dyDescent="0.3">
      <c r="A933" t="s">
        <v>951</v>
      </c>
      <c r="B933" s="1">
        <v>44790</v>
      </c>
      <c r="C933" s="1">
        <v>45403</v>
      </c>
      <c r="D933">
        <v>51825.62</v>
      </c>
      <c r="E933" s="2">
        <f>(Table2[[#This Row],[revenue]]-Table2[[#This Row],[budget]])/Table2[[#This Row],[budget]]</f>
        <v>16.195080734200573</v>
      </c>
      <c r="F933" t="s">
        <v>21</v>
      </c>
      <c r="G933" t="s">
        <v>12</v>
      </c>
      <c r="H933" t="s">
        <v>16</v>
      </c>
      <c r="I933">
        <v>0.49</v>
      </c>
      <c r="J933">
        <v>891145.72</v>
      </c>
      <c r="K933">
        <f>Table2[[#This Row],[revenue]]/Table2[[#This Row],[budget]]</f>
        <v>17.195080734200573</v>
      </c>
      <c r="L933" s="2">
        <f t="shared" si="42"/>
        <v>518256.2</v>
      </c>
      <c r="M933" s="2">
        <f>(Table2[[#This Row],[Adjusted revenue]]-Table2[[#This Row],[budget]])/Table2[[#This Row],[budget]]</f>
        <v>9</v>
      </c>
      <c r="N933" t="str">
        <f t="shared" si="43"/>
        <v>OK</v>
      </c>
      <c r="O933" s="2">
        <f t="shared" si="44"/>
        <v>1</v>
      </c>
    </row>
    <row r="934" spans="1:15" x14ac:dyDescent="0.3">
      <c r="A934" t="s">
        <v>952</v>
      </c>
      <c r="B934" s="1">
        <v>45041</v>
      </c>
      <c r="C934" s="1">
        <v>45282</v>
      </c>
      <c r="D934">
        <v>71516.899999999994</v>
      </c>
      <c r="E934" s="2">
        <f>(Table2[[#This Row],[revenue]]-Table2[[#This Row],[budget]])/Table2[[#This Row],[budget]]</f>
        <v>10.983824522595359</v>
      </c>
      <c r="F934" t="s">
        <v>11</v>
      </c>
      <c r="G934" t="s">
        <v>15</v>
      </c>
      <c r="H934" t="s">
        <v>13</v>
      </c>
      <c r="I934">
        <v>0.72</v>
      </c>
      <c r="J934">
        <v>857045.98</v>
      </c>
      <c r="K934">
        <f>Table2[[#This Row],[revenue]]/Table2[[#This Row],[budget]]</f>
        <v>11.983824522595359</v>
      </c>
      <c r="L934" s="2">
        <f t="shared" si="42"/>
        <v>715169</v>
      </c>
      <c r="M934" s="2">
        <f>(Table2[[#This Row],[Adjusted revenue]]-Table2[[#This Row],[budget]])/Table2[[#This Row],[budget]]</f>
        <v>9</v>
      </c>
      <c r="N934" t="str">
        <f t="shared" si="43"/>
        <v>OK</v>
      </c>
      <c r="O934" s="2">
        <f t="shared" si="44"/>
        <v>1</v>
      </c>
    </row>
    <row r="935" spans="1:15" x14ac:dyDescent="0.3">
      <c r="A935" t="s">
        <v>953</v>
      </c>
      <c r="B935" s="1">
        <v>45109</v>
      </c>
      <c r="C935" s="1">
        <v>45187</v>
      </c>
      <c r="D935">
        <v>95735.11</v>
      </c>
      <c r="E935" s="2">
        <f>(Table2[[#This Row],[revenue]]-Table2[[#This Row],[budget]])/Table2[[#This Row],[budget]]</f>
        <v>2.8554638940718826</v>
      </c>
      <c r="F935" t="s">
        <v>23</v>
      </c>
      <c r="G935" t="s">
        <v>15</v>
      </c>
      <c r="H935" t="s">
        <v>16</v>
      </c>
      <c r="I935">
        <v>0.24</v>
      </c>
      <c r="J935">
        <v>369103.26</v>
      </c>
      <c r="K935">
        <f>Table2[[#This Row],[revenue]]/Table2[[#This Row],[budget]]</f>
        <v>3.8554638940718822</v>
      </c>
      <c r="L935" s="2">
        <f t="shared" si="42"/>
        <v>369103.26</v>
      </c>
      <c r="M935" s="2">
        <f>(Table2[[#This Row],[Adjusted revenue]]-Table2[[#This Row],[budget]])/Table2[[#This Row],[budget]]</f>
        <v>2.8554638940718826</v>
      </c>
      <c r="N935" t="str">
        <f t="shared" si="43"/>
        <v>OK</v>
      </c>
      <c r="O935" s="2">
        <f t="shared" si="44"/>
        <v>-0.29358654861644573</v>
      </c>
    </row>
    <row r="936" spans="1:15" x14ac:dyDescent="0.3">
      <c r="A936" t="s">
        <v>954</v>
      </c>
      <c r="B936" s="1">
        <v>44846</v>
      </c>
      <c r="C936" s="1">
        <v>45280</v>
      </c>
      <c r="D936">
        <v>26262.29</v>
      </c>
      <c r="E936" s="2">
        <f>(Table2[[#This Row],[revenue]]-Table2[[#This Row],[budget]])/Table2[[#This Row],[budget]]</f>
        <v>14.836056185504006</v>
      </c>
      <c r="F936" t="s">
        <v>21</v>
      </c>
      <c r="G936" t="s">
        <v>15</v>
      </c>
      <c r="H936" t="s">
        <v>13</v>
      </c>
      <c r="I936">
        <v>0.77</v>
      </c>
      <c r="J936">
        <v>415891.1</v>
      </c>
      <c r="K936">
        <f>Table2[[#This Row],[revenue]]/Table2[[#This Row],[budget]]</f>
        <v>15.836056185504004</v>
      </c>
      <c r="L936" s="2">
        <f t="shared" si="42"/>
        <v>262622.90000000002</v>
      </c>
      <c r="M936" s="2">
        <f>(Table2[[#This Row],[Adjusted revenue]]-Table2[[#This Row],[budget]])/Table2[[#This Row],[budget]]</f>
        <v>9</v>
      </c>
      <c r="N936" t="str">
        <f t="shared" si="43"/>
        <v>OK</v>
      </c>
      <c r="O936" s="2">
        <f t="shared" si="44"/>
        <v>1</v>
      </c>
    </row>
    <row r="937" spans="1:15" x14ac:dyDescent="0.3">
      <c r="A937" t="s">
        <v>955</v>
      </c>
      <c r="B937" s="1">
        <v>44990</v>
      </c>
      <c r="C937" s="1">
        <v>45224</v>
      </c>
      <c r="D937">
        <v>99579.39</v>
      </c>
      <c r="E937" s="2">
        <f>(Table2[[#This Row],[revenue]]-Table2[[#This Row],[budget]])/Table2[[#This Row],[budget]]</f>
        <v>6.6132364337640546</v>
      </c>
      <c r="F937" t="s">
        <v>23</v>
      </c>
      <c r="G937" t="s">
        <v>15</v>
      </c>
      <c r="H937" t="s">
        <v>13</v>
      </c>
      <c r="I937">
        <v>0.28000000000000003</v>
      </c>
      <c r="J937">
        <v>758121.44</v>
      </c>
      <c r="K937">
        <f>Table2[[#This Row],[revenue]]/Table2[[#This Row],[budget]]</f>
        <v>7.6132364337640546</v>
      </c>
      <c r="L937" s="2">
        <f t="shared" si="42"/>
        <v>758121.44</v>
      </c>
      <c r="M937" s="2">
        <f>(Table2[[#This Row],[Adjusted revenue]]-Table2[[#This Row],[budget]])/Table2[[#This Row],[budget]]</f>
        <v>6.6132364337640546</v>
      </c>
      <c r="N937" t="str">
        <f t="shared" si="43"/>
        <v>OK</v>
      </c>
      <c r="O937" s="2">
        <f t="shared" si="44"/>
        <v>0.49752345973980105</v>
      </c>
    </row>
    <row r="938" spans="1:15" x14ac:dyDescent="0.3">
      <c r="A938" t="s">
        <v>956</v>
      </c>
      <c r="B938" s="1">
        <v>44808</v>
      </c>
      <c r="C938" s="1">
        <v>45454</v>
      </c>
      <c r="D938">
        <v>35965.370000000003</v>
      </c>
      <c r="E938" s="2">
        <f>(Table2[[#This Row],[revenue]]-Table2[[#This Row],[budget]])/Table2[[#This Row],[budget]]</f>
        <v>14.969407516174586</v>
      </c>
      <c r="F938" t="s">
        <v>18</v>
      </c>
      <c r="G938" t="s">
        <v>15</v>
      </c>
      <c r="H938" t="s">
        <v>19</v>
      </c>
      <c r="I938">
        <v>0.77</v>
      </c>
      <c r="J938">
        <v>574345.65</v>
      </c>
      <c r="K938">
        <f>Table2[[#This Row],[revenue]]/Table2[[#This Row],[budget]]</f>
        <v>15.969407516174586</v>
      </c>
      <c r="L938" s="2">
        <f t="shared" si="42"/>
        <v>359653.7</v>
      </c>
      <c r="M938" s="2">
        <f>(Table2[[#This Row],[Adjusted revenue]]-Table2[[#This Row],[budget]])/Table2[[#This Row],[budget]]</f>
        <v>9</v>
      </c>
      <c r="N938" t="str">
        <f t="shared" si="43"/>
        <v>OK</v>
      </c>
      <c r="O938" s="2">
        <f t="shared" si="44"/>
        <v>1</v>
      </c>
    </row>
    <row r="939" spans="1:15" x14ac:dyDescent="0.3">
      <c r="A939" t="s">
        <v>957</v>
      </c>
      <c r="B939" s="1">
        <v>44792</v>
      </c>
      <c r="C939" s="1">
        <v>45445</v>
      </c>
      <c r="D939">
        <v>47201.38</v>
      </c>
      <c r="E939" s="2">
        <f>(Table2[[#This Row],[revenue]]-Table2[[#This Row],[budget]])/Table2[[#This Row],[budget]]</f>
        <v>7.5294910869131373</v>
      </c>
      <c r="F939" t="s">
        <v>21</v>
      </c>
      <c r="G939" t="s">
        <v>15</v>
      </c>
      <c r="H939" t="s">
        <v>13</v>
      </c>
      <c r="I939">
        <v>0.67</v>
      </c>
      <c r="J939">
        <v>402603.75</v>
      </c>
      <c r="K939">
        <f>Table2[[#This Row],[revenue]]/Table2[[#This Row],[budget]]</f>
        <v>8.5294910869131382</v>
      </c>
      <c r="L939" s="2">
        <f t="shared" si="42"/>
        <v>402603.75</v>
      </c>
      <c r="M939" s="2">
        <f>(Table2[[#This Row],[Adjusted revenue]]-Table2[[#This Row],[budget]])/Table2[[#This Row],[budget]]</f>
        <v>7.5294910869131373</v>
      </c>
      <c r="N939" t="str">
        <f t="shared" si="43"/>
        <v>OK</v>
      </c>
      <c r="O939" s="2">
        <f t="shared" si="44"/>
        <v>0.69041917619223914</v>
      </c>
    </row>
    <row r="940" spans="1:15" x14ac:dyDescent="0.3">
      <c r="A940" t="s">
        <v>958</v>
      </c>
      <c r="B940" s="1">
        <v>45026</v>
      </c>
      <c r="C940" s="1">
        <v>45179</v>
      </c>
      <c r="D940">
        <v>66401.2</v>
      </c>
      <c r="E940" s="2">
        <f>(Table2[[#This Row],[revenue]]-Table2[[#This Row],[budget]])/Table2[[#This Row],[budget]]</f>
        <v>5.3158247140111934</v>
      </c>
      <c r="F940" t="s">
        <v>11</v>
      </c>
      <c r="G940" t="s">
        <v>15</v>
      </c>
      <c r="H940" t="s">
        <v>16</v>
      </c>
      <c r="I940">
        <v>0.91</v>
      </c>
      <c r="J940">
        <v>419378.34</v>
      </c>
      <c r="K940">
        <f>Table2[[#This Row],[revenue]]/Table2[[#This Row],[budget]]</f>
        <v>6.3158247140111934</v>
      </c>
      <c r="L940" s="2">
        <f t="shared" si="42"/>
        <v>419378.34</v>
      </c>
      <c r="M940" s="2">
        <f>(Table2[[#This Row],[Adjusted revenue]]-Table2[[#This Row],[budget]])/Table2[[#This Row],[budget]]</f>
        <v>5.3158247140111934</v>
      </c>
      <c r="N940" t="str">
        <f t="shared" si="43"/>
        <v>OK</v>
      </c>
      <c r="O940" s="2">
        <f t="shared" si="44"/>
        <v>0.22438415031814607</v>
      </c>
    </row>
    <row r="941" spans="1:15" x14ac:dyDescent="0.3">
      <c r="A941" t="s">
        <v>959</v>
      </c>
      <c r="B941" s="1">
        <v>44947</v>
      </c>
      <c r="C941" s="1">
        <v>45431</v>
      </c>
      <c r="D941">
        <v>69533.11</v>
      </c>
      <c r="E941" s="2">
        <f>(Table2[[#This Row],[revenue]]-Table2[[#This Row],[budget]])/Table2[[#This Row],[budget]]</f>
        <v>10.380315219612642</v>
      </c>
      <c r="F941" t="s">
        <v>21</v>
      </c>
      <c r="G941" t="s">
        <v>15</v>
      </c>
      <c r="H941" t="s">
        <v>16</v>
      </c>
      <c r="I941">
        <v>0.59</v>
      </c>
      <c r="J941">
        <v>791308.71</v>
      </c>
      <c r="K941">
        <f>Table2[[#This Row],[revenue]]/Table2[[#This Row],[budget]]</f>
        <v>11.380315219612642</v>
      </c>
      <c r="L941" s="2">
        <f t="shared" si="42"/>
        <v>695331.1</v>
      </c>
      <c r="M941" s="2">
        <f>(Table2[[#This Row],[Adjusted revenue]]-Table2[[#This Row],[budget]])/Table2[[#This Row],[budget]]</f>
        <v>9</v>
      </c>
      <c r="N941" t="str">
        <f t="shared" si="43"/>
        <v>OK</v>
      </c>
      <c r="O941" s="2">
        <f t="shared" si="44"/>
        <v>1</v>
      </c>
    </row>
    <row r="942" spans="1:15" x14ac:dyDescent="0.3">
      <c r="A942" t="s">
        <v>960</v>
      </c>
      <c r="B942" s="1">
        <v>44813</v>
      </c>
      <c r="C942" s="1">
        <v>45426</v>
      </c>
      <c r="D942">
        <v>73328.31</v>
      </c>
      <c r="E942" s="2">
        <f>(Table2[[#This Row],[revenue]]-Table2[[#This Row],[budget]])/Table2[[#This Row],[budget]]</f>
        <v>1.0406519664778855</v>
      </c>
      <c r="F942" t="s">
        <v>21</v>
      </c>
      <c r="G942" t="s">
        <v>12</v>
      </c>
      <c r="H942" t="s">
        <v>13</v>
      </c>
      <c r="I942">
        <v>0.92</v>
      </c>
      <c r="J942">
        <v>149637.56</v>
      </c>
      <c r="K942">
        <f>Table2[[#This Row],[revenue]]/Table2[[#This Row],[budget]]</f>
        <v>2.0406519664778857</v>
      </c>
      <c r="L942" s="2">
        <f t="shared" si="42"/>
        <v>149637.56</v>
      </c>
      <c r="M942" s="2">
        <f>(Table2[[#This Row],[Adjusted revenue]]-Table2[[#This Row],[budget]])/Table2[[#This Row],[budget]]</f>
        <v>1.0406519664778855</v>
      </c>
      <c r="N942" t="str">
        <f t="shared" si="43"/>
        <v>OK</v>
      </c>
      <c r="O942" s="2">
        <f t="shared" si="44"/>
        <v>-0.67565221758360305</v>
      </c>
    </row>
    <row r="943" spans="1:15" x14ac:dyDescent="0.3">
      <c r="A943" t="s">
        <v>961</v>
      </c>
      <c r="B943" s="1">
        <v>44959</v>
      </c>
      <c r="C943" s="1">
        <v>45288</v>
      </c>
      <c r="D943">
        <v>50036.800000000003</v>
      </c>
      <c r="E943" s="2">
        <f>(Table2[[#This Row],[revenue]]-Table2[[#This Row],[budget]])/Table2[[#This Row],[budget]]</f>
        <v>10.558476161545101</v>
      </c>
      <c r="F943" t="s">
        <v>23</v>
      </c>
      <c r="G943" t="s">
        <v>12</v>
      </c>
      <c r="H943" t="s">
        <v>16</v>
      </c>
      <c r="I943">
        <v>0.45</v>
      </c>
      <c r="J943">
        <v>578349.16</v>
      </c>
      <c r="K943">
        <f>Table2[[#This Row],[revenue]]/Table2[[#This Row],[budget]]</f>
        <v>11.558476161545103</v>
      </c>
      <c r="L943" s="2">
        <f t="shared" si="42"/>
        <v>500368</v>
      </c>
      <c r="M943" s="2">
        <f>(Table2[[#This Row],[Adjusted revenue]]-Table2[[#This Row],[budget]])/Table2[[#This Row],[budget]]</f>
        <v>9</v>
      </c>
      <c r="N943" t="str">
        <f t="shared" si="43"/>
        <v>OK</v>
      </c>
      <c r="O943" s="2">
        <f t="shared" si="44"/>
        <v>1</v>
      </c>
    </row>
    <row r="944" spans="1:15" x14ac:dyDescent="0.3">
      <c r="A944" t="s">
        <v>962</v>
      </c>
      <c r="B944" s="1">
        <v>44814</v>
      </c>
      <c r="C944" s="1">
        <v>45185</v>
      </c>
      <c r="D944">
        <v>24555.69</v>
      </c>
      <c r="E944" s="2">
        <f>(Table2[[#This Row],[revenue]]-Table2[[#This Row],[budget]])/Table2[[#This Row],[budget]]</f>
        <v>21.083374566139256</v>
      </c>
      <c r="F944" t="s">
        <v>11</v>
      </c>
      <c r="G944" t="s">
        <v>12</v>
      </c>
      <c r="H944" t="s">
        <v>25</v>
      </c>
      <c r="I944">
        <v>0.19</v>
      </c>
      <c r="J944">
        <v>542272.5</v>
      </c>
      <c r="K944">
        <f>Table2[[#This Row],[revenue]]/Table2[[#This Row],[budget]]</f>
        <v>22.083374566139256</v>
      </c>
      <c r="L944" s="2">
        <f t="shared" si="42"/>
        <v>245556.9</v>
      </c>
      <c r="M944" s="2">
        <f>(Table2[[#This Row],[Adjusted revenue]]-Table2[[#This Row],[budget]])/Table2[[#This Row],[budget]]</f>
        <v>9</v>
      </c>
      <c r="N944" t="str">
        <f t="shared" si="43"/>
        <v>OK</v>
      </c>
      <c r="O944" s="2">
        <f t="shared" si="44"/>
        <v>1</v>
      </c>
    </row>
    <row r="945" spans="1:15" x14ac:dyDescent="0.3">
      <c r="A945" t="s">
        <v>963</v>
      </c>
      <c r="B945" s="1">
        <v>44815</v>
      </c>
      <c r="C945" s="1">
        <v>45449</v>
      </c>
      <c r="D945">
        <v>83793.279999999999</v>
      </c>
      <c r="E945" s="2">
        <f>(Table2[[#This Row],[revenue]]-Table2[[#This Row],[budget]])/Table2[[#This Row],[budget]]</f>
        <v>10.069214500255868</v>
      </c>
      <c r="F945" t="s">
        <v>21</v>
      </c>
      <c r="G945" t="s">
        <v>15</v>
      </c>
      <c r="H945" t="s">
        <v>19</v>
      </c>
      <c r="I945">
        <v>0.97</v>
      </c>
      <c r="J945">
        <v>927525.79</v>
      </c>
      <c r="K945">
        <f>Table2[[#This Row],[revenue]]/Table2[[#This Row],[budget]]</f>
        <v>11.069214500255868</v>
      </c>
      <c r="L945" s="2">
        <f t="shared" si="42"/>
        <v>837932.8</v>
      </c>
      <c r="M945" s="2">
        <f>(Table2[[#This Row],[Adjusted revenue]]-Table2[[#This Row],[budget]])/Table2[[#This Row],[budget]]</f>
        <v>9</v>
      </c>
      <c r="N945" t="str">
        <f t="shared" si="43"/>
        <v>OK</v>
      </c>
      <c r="O945" s="2">
        <f t="shared" si="44"/>
        <v>1</v>
      </c>
    </row>
    <row r="946" spans="1:15" x14ac:dyDescent="0.3">
      <c r="A946" t="s">
        <v>964</v>
      </c>
      <c r="B946" s="1">
        <v>45002</v>
      </c>
      <c r="C946" s="1">
        <v>45204</v>
      </c>
      <c r="D946">
        <v>20492.32</v>
      </c>
      <c r="E946" s="2">
        <f>(Table2[[#This Row],[revenue]]-Table2[[#This Row],[budget]])/Table2[[#This Row],[budget]]</f>
        <v>13.308167157256962</v>
      </c>
      <c r="F946" t="s">
        <v>23</v>
      </c>
      <c r="G946" t="s">
        <v>15</v>
      </c>
      <c r="H946" t="s">
        <v>19</v>
      </c>
      <c r="I946">
        <v>0.43</v>
      </c>
      <c r="J946">
        <v>293207.53999999998</v>
      </c>
      <c r="K946">
        <f>Table2[[#This Row],[revenue]]/Table2[[#This Row],[budget]]</f>
        <v>14.308167157256962</v>
      </c>
      <c r="L946" s="2">
        <f t="shared" si="42"/>
        <v>204923.2</v>
      </c>
      <c r="M946" s="2">
        <f>(Table2[[#This Row],[Adjusted revenue]]-Table2[[#This Row],[budget]])/Table2[[#This Row],[budget]]</f>
        <v>9</v>
      </c>
      <c r="N946" t="str">
        <f t="shared" si="43"/>
        <v>OK</v>
      </c>
      <c r="O946" s="2">
        <f t="shared" si="44"/>
        <v>1</v>
      </c>
    </row>
    <row r="947" spans="1:15" x14ac:dyDescent="0.3">
      <c r="A947" t="s">
        <v>965</v>
      </c>
      <c r="B947" s="1">
        <v>45072</v>
      </c>
      <c r="C947" s="1">
        <v>45274</v>
      </c>
      <c r="D947">
        <v>84057.89</v>
      </c>
      <c r="E947" s="2">
        <f>(Table2[[#This Row],[revenue]]-Table2[[#This Row],[budget]])/Table2[[#This Row],[budget]]</f>
        <v>5.8392699364687832</v>
      </c>
      <c r="F947" t="s">
        <v>18</v>
      </c>
      <c r="G947" t="s">
        <v>12</v>
      </c>
      <c r="H947" t="s">
        <v>19</v>
      </c>
      <c r="I947">
        <v>0.69</v>
      </c>
      <c r="J947">
        <v>574894.6</v>
      </c>
      <c r="K947">
        <f>Table2[[#This Row],[revenue]]/Table2[[#This Row],[budget]]</f>
        <v>6.8392699364687832</v>
      </c>
      <c r="L947" s="2">
        <f t="shared" si="42"/>
        <v>574894.6</v>
      </c>
      <c r="M947" s="2">
        <f>(Table2[[#This Row],[Adjusted revenue]]-Table2[[#This Row],[budget]])/Table2[[#This Row],[budget]]</f>
        <v>5.8392699364687832</v>
      </c>
      <c r="N947" t="str">
        <f t="shared" si="43"/>
        <v>OK</v>
      </c>
      <c r="O947" s="2">
        <f t="shared" si="44"/>
        <v>0.3345831445197438</v>
      </c>
    </row>
    <row r="948" spans="1:15" x14ac:dyDescent="0.3">
      <c r="A948" t="s">
        <v>966</v>
      </c>
      <c r="B948" s="1">
        <v>44971</v>
      </c>
      <c r="C948" s="1">
        <v>45170</v>
      </c>
      <c r="D948">
        <v>44021.7</v>
      </c>
      <c r="E948" s="2">
        <f>(Table2[[#This Row],[revenue]]-Table2[[#This Row],[budget]])/Table2[[#This Row],[budget]]</f>
        <v>5.0982742601944047</v>
      </c>
      <c r="F948" t="s">
        <v>21</v>
      </c>
      <c r="G948" t="s">
        <v>12</v>
      </c>
      <c r="H948" t="s">
        <v>16</v>
      </c>
      <c r="I948">
        <v>0.71</v>
      </c>
      <c r="J948">
        <v>268456.40000000002</v>
      </c>
      <c r="K948">
        <f>Table2[[#This Row],[revenue]]/Table2[[#This Row],[budget]]</f>
        <v>6.0982742601944047</v>
      </c>
      <c r="L948" s="2">
        <f t="shared" si="42"/>
        <v>268456.40000000002</v>
      </c>
      <c r="M948" s="2">
        <f>(Table2[[#This Row],[Adjusted revenue]]-Table2[[#This Row],[budget]])/Table2[[#This Row],[budget]]</f>
        <v>5.0982742601944047</v>
      </c>
      <c r="N948" t="str">
        <f t="shared" si="43"/>
        <v>OK</v>
      </c>
      <c r="O948" s="2">
        <f t="shared" si="44"/>
        <v>0.17858405477776951</v>
      </c>
    </row>
    <row r="949" spans="1:15" x14ac:dyDescent="0.3">
      <c r="A949" t="s">
        <v>967</v>
      </c>
      <c r="B949" s="1">
        <v>44875</v>
      </c>
      <c r="C949" s="1">
        <v>45418</v>
      </c>
      <c r="D949">
        <v>72633.75</v>
      </c>
      <c r="E949" s="2">
        <f>(Table2[[#This Row],[revenue]]-Table2[[#This Row],[budget]])/Table2[[#This Row],[budget]]</f>
        <v>-0.36646200974065091</v>
      </c>
      <c r="F949" t="s">
        <v>11</v>
      </c>
      <c r="G949" t="s">
        <v>15</v>
      </c>
      <c r="H949" t="s">
        <v>25</v>
      </c>
      <c r="I949">
        <v>0.19</v>
      </c>
      <c r="J949">
        <v>46016.24</v>
      </c>
      <c r="K949">
        <f>Table2[[#This Row],[revenue]]/Table2[[#This Row],[budget]]</f>
        <v>0.63353799025934909</v>
      </c>
      <c r="L949" s="2">
        <f t="shared" si="42"/>
        <v>46016.24</v>
      </c>
      <c r="M949" s="2">
        <f>(Table2[[#This Row],[Adjusted revenue]]-Table2[[#This Row],[budget]])/Table2[[#This Row],[budget]]</f>
        <v>-0.36646200974065091</v>
      </c>
      <c r="N949" t="str">
        <f t="shared" si="43"/>
        <v>Failed</v>
      </c>
      <c r="O949" s="2">
        <f t="shared" si="44"/>
        <v>-0.97188673889276866</v>
      </c>
    </row>
    <row r="950" spans="1:15" x14ac:dyDescent="0.3">
      <c r="A950" t="s">
        <v>968</v>
      </c>
      <c r="B950" s="1">
        <v>44925</v>
      </c>
      <c r="C950" s="1">
        <v>45424</v>
      </c>
      <c r="D950">
        <v>42103.6</v>
      </c>
      <c r="E950" s="2">
        <f>(Table2[[#This Row],[revenue]]-Table2[[#This Row],[budget]])/Table2[[#This Row],[budget]]</f>
        <v>17.743598884655945</v>
      </c>
      <c r="F950" t="s">
        <v>21</v>
      </c>
      <c r="G950" t="s">
        <v>15</v>
      </c>
      <c r="H950" t="s">
        <v>13</v>
      </c>
      <c r="I950">
        <v>0.84</v>
      </c>
      <c r="J950">
        <v>789172.99</v>
      </c>
      <c r="K950">
        <f>Table2[[#This Row],[revenue]]/Table2[[#This Row],[budget]]</f>
        <v>18.743598884655945</v>
      </c>
      <c r="L950" s="2">
        <f t="shared" si="42"/>
        <v>421036</v>
      </c>
      <c r="M950" s="2">
        <f>(Table2[[#This Row],[Adjusted revenue]]-Table2[[#This Row],[budget]])/Table2[[#This Row],[budget]]</f>
        <v>9</v>
      </c>
      <c r="N950" t="str">
        <f t="shared" si="43"/>
        <v>OK</v>
      </c>
      <c r="O950" s="2">
        <f t="shared" si="44"/>
        <v>1</v>
      </c>
    </row>
    <row r="951" spans="1:15" x14ac:dyDescent="0.3">
      <c r="A951" t="s">
        <v>969</v>
      </c>
      <c r="B951" s="1">
        <v>44975</v>
      </c>
      <c r="C951" s="1">
        <v>45309</v>
      </c>
      <c r="D951">
        <v>30951.13</v>
      </c>
      <c r="E951" s="2">
        <f>(Table2[[#This Row],[revenue]]-Table2[[#This Row],[budget]])/Table2[[#This Row],[budget]]</f>
        <v>17.630157606523575</v>
      </c>
      <c r="F951" t="s">
        <v>11</v>
      </c>
      <c r="G951" t="s">
        <v>15</v>
      </c>
      <c r="H951" t="s">
        <v>25</v>
      </c>
      <c r="I951">
        <v>0.25</v>
      </c>
      <c r="J951">
        <v>576624.43000000005</v>
      </c>
      <c r="K951">
        <f>Table2[[#This Row],[revenue]]/Table2[[#This Row],[budget]]</f>
        <v>18.630157606523575</v>
      </c>
      <c r="L951" s="2">
        <f t="shared" si="42"/>
        <v>309511.3</v>
      </c>
      <c r="M951" s="2">
        <f>(Table2[[#This Row],[Adjusted revenue]]-Table2[[#This Row],[budget]])/Table2[[#This Row],[budget]]</f>
        <v>9</v>
      </c>
      <c r="N951" t="str">
        <f t="shared" si="43"/>
        <v>OK</v>
      </c>
      <c r="O951" s="2">
        <f t="shared" si="44"/>
        <v>1</v>
      </c>
    </row>
    <row r="952" spans="1:15" x14ac:dyDescent="0.3">
      <c r="A952" t="s">
        <v>970</v>
      </c>
      <c r="B952" s="1">
        <v>44815</v>
      </c>
      <c r="C952" s="1">
        <v>45502</v>
      </c>
      <c r="D952">
        <v>4675.43</v>
      </c>
      <c r="E952" s="2">
        <f>(Table2[[#This Row],[revenue]]-Table2[[#This Row],[budget]])/Table2[[#This Row],[budget]]</f>
        <v>136.28880552163113</v>
      </c>
      <c r="F952" t="s">
        <v>23</v>
      </c>
      <c r="G952" t="s">
        <v>12</v>
      </c>
      <c r="H952" t="s">
        <v>19</v>
      </c>
      <c r="I952">
        <v>0.5</v>
      </c>
      <c r="J952">
        <v>641884.19999999995</v>
      </c>
      <c r="K952">
        <f>Table2[[#This Row],[revenue]]/Table2[[#This Row],[budget]]</f>
        <v>137.28880552163113</v>
      </c>
      <c r="L952" s="2">
        <f t="shared" si="42"/>
        <v>46754.3</v>
      </c>
      <c r="M952" s="2">
        <f>(Table2[[#This Row],[Adjusted revenue]]-Table2[[#This Row],[budget]])/Table2[[#This Row],[budget]]</f>
        <v>9</v>
      </c>
      <c r="N952" t="str">
        <f t="shared" si="43"/>
        <v>OK</v>
      </c>
      <c r="O952" s="2">
        <f t="shared" si="44"/>
        <v>1</v>
      </c>
    </row>
    <row r="953" spans="1:15" x14ac:dyDescent="0.3">
      <c r="A953" t="s">
        <v>971</v>
      </c>
      <c r="B953" s="1">
        <v>44803</v>
      </c>
      <c r="C953" s="1">
        <v>45249</v>
      </c>
      <c r="D953">
        <v>55342</v>
      </c>
      <c r="E953" s="2">
        <f>(Table2[[#This Row],[revenue]]-Table2[[#This Row],[budget]])/Table2[[#This Row],[budget]]</f>
        <v>5.338023381879947</v>
      </c>
      <c r="F953" t="s">
        <v>11</v>
      </c>
      <c r="G953" t="s">
        <v>15</v>
      </c>
      <c r="H953" t="s">
        <v>13</v>
      </c>
      <c r="I953">
        <v>0.9</v>
      </c>
      <c r="J953">
        <v>350758.89</v>
      </c>
      <c r="K953">
        <f>Table2[[#This Row],[revenue]]/Table2[[#This Row],[budget]]</f>
        <v>6.338023381879947</v>
      </c>
      <c r="L953" s="2">
        <f t="shared" si="42"/>
        <v>350758.89</v>
      </c>
      <c r="M953" s="2">
        <f>(Table2[[#This Row],[Adjusted revenue]]-Table2[[#This Row],[budget]])/Table2[[#This Row],[budget]]</f>
        <v>5.338023381879947</v>
      </c>
      <c r="N953" t="str">
        <f t="shared" si="43"/>
        <v>OK</v>
      </c>
      <c r="O953" s="2">
        <f t="shared" si="44"/>
        <v>0.22905755407998885</v>
      </c>
    </row>
    <row r="954" spans="1:15" x14ac:dyDescent="0.3">
      <c r="A954" t="s">
        <v>972</v>
      </c>
      <c r="B954" s="1">
        <v>44866</v>
      </c>
      <c r="C954" s="1">
        <v>45448</v>
      </c>
      <c r="D954">
        <v>83667.240000000005</v>
      </c>
      <c r="E954" s="2">
        <f>(Table2[[#This Row],[revenue]]-Table2[[#This Row],[budget]])/Table2[[#This Row],[budget]]</f>
        <v>4.504358695231252</v>
      </c>
      <c r="F954" t="s">
        <v>23</v>
      </c>
      <c r="G954" t="s">
        <v>12</v>
      </c>
      <c r="H954" t="s">
        <v>13</v>
      </c>
      <c r="I954">
        <v>0</v>
      </c>
      <c r="J954">
        <v>460534.5</v>
      </c>
      <c r="K954">
        <f>Table2[[#This Row],[revenue]]/Table2[[#This Row],[budget]]</f>
        <v>5.5043586952312511</v>
      </c>
      <c r="L954" s="2">
        <f t="shared" si="42"/>
        <v>460534.5</v>
      </c>
      <c r="M954" s="2">
        <f>(Table2[[#This Row],[Adjusted revenue]]-Table2[[#This Row],[budget]])/Table2[[#This Row],[budget]]</f>
        <v>4.504358695231252</v>
      </c>
      <c r="N954" t="str">
        <f t="shared" si="43"/>
        <v>OK</v>
      </c>
      <c r="O954" s="2">
        <f t="shared" si="44"/>
        <v>5.3549198996053038E-2</v>
      </c>
    </row>
    <row r="955" spans="1:15" x14ac:dyDescent="0.3">
      <c r="A955" t="s">
        <v>973</v>
      </c>
      <c r="B955" s="1">
        <v>44925</v>
      </c>
      <c r="C955" s="1">
        <v>45232</v>
      </c>
      <c r="D955">
        <v>69912.37</v>
      </c>
      <c r="E955" s="2">
        <f>(Table2[[#This Row],[revenue]]-Table2[[#This Row],[budget]])/Table2[[#This Row],[budget]]</f>
        <v>3.6517230069585684</v>
      </c>
      <c r="F955" t="s">
        <v>11</v>
      </c>
      <c r="G955" t="s">
        <v>15</v>
      </c>
      <c r="H955" t="s">
        <v>16</v>
      </c>
      <c r="I955">
        <v>0.24</v>
      </c>
      <c r="J955">
        <v>325212.98</v>
      </c>
      <c r="K955">
        <f>Table2[[#This Row],[revenue]]/Table2[[#This Row],[budget]]</f>
        <v>4.6517230069585684</v>
      </c>
      <c r="L955" s="2">
        <f t="shared" si="42"/>
        <v>325212.98</v>
      </c>
      <c r="M955" s="2">
        <f>(Table2[[#This Row],[Adjusted revenue]]-Table2[[#This Row],[budget]])/Table2[[#This Row],[budget]]</f>
        <v>3.6517230069585684</v>
      </c>
      <c r="N955" t="str">
        <f t="shared" si="43"/>
        <v>OK</v>
      </c>
      <c r="O955" s="2">
        <f t="shared" si="44"/>
        <v>-0.12595305116661715</v>
      </c>
    </row>
    <row r="956" spans="1:15" x14ac:dyDescent="0.3">
      <c r="A956" t="s">
        <v>974</v>
      </c>
      <c r="B956" s="1">
        <v>44856</v>
      </c>
      <c r="C956" s="1">
        <v>45503</v>
      </c>
      <c r="D956">
        <v>68203.64</v>
      </c>
      <c r="E956" s="2">
        <f>(Table2[[#This Row],[revenue]]-Table2[[#This Row],[budget]])/Table2[[#This Row],[budget]]</f>
        <v>12.660086323838435</v>
      </c>
      <c r="F956" t="s">
        <v>11</v>
      </c>
      <c r="G956" t="s">
        <v>12</v>
      </c>
      <c r="H956" t="s">
        <v>13</v>
      </c>
      <c r="I956">
        <v>0.56000000000000005</v>
      </c>
      <c r="J956">
        <v>931667.61</v>
      </c>
      <c r="K956">
        <f>Table2[[#This Row],[revenue]]/Table2[[#This Row],[budget]]</f>
        <v>13.660086323838435</v>
      </c>
      <c r="L956" s="2">
        <f t="shared" si="42"/>
        <v>682036.4</v>
      </c>
      <c r="M956" s="2">
        <f>(Table2[[#This Row],[Adjusted revenue]]-Table2[[#This Row],[budget]])/Table2[[#This Row],[budget]]</f>
        <v>9</v>
      </c>
      <c r="N956" t="str">
        <f t="shared" si="43"/>
        <v>OK</v>
      </c>
      <c r="O956" s="2">
        <f t="shared" si="44"/>
        <v>1</v>
      </c>
    </row>
    <row r="957" spans="1:15" x14ac:dyDescent="0.3">
      <c r="A957" t="s">
        <v>975</v>
      </c>
      <c r="B957" s="1">
        <v>44801</v>
      </c>
      <c r="C957" s="1">
        <v>45432</v>
      </c>
      <c r="D957">
        <v>53848.51</v>
      </c>
      <c r="E957" s="2">
        <f>(Table2[[#This Row],[revenue]]-Table2[[#This Row],[budget]])/Table2[[#This Row],[budget]]</f>
        <v>16.467205313573206</v>
      </c>
      <c r="F957" t="s">
        <v>11</v>
      </c>
      <c r="G957" t="s">
        <v>12</v>
      </c>
      <c r="H957" t="s">
        <v>13</v>
      </c>
      <c r="I957">
        <v>0.98</v>
      </c>
      <c r="J957">
        <v>940582.98</v>
      </c>
      <c r="K957">
        <f>Table2[[#This Row],[revenue]]/Table2[[#This Row],[budget]]</f>
        <v>17.467205313573206</v>
      </c>
      <c r="L957" s="2">
        <f t="shared" si="42"/>
        <v>538485.1</v>
      </c>
      <c r="M957" s="2">
        <f>(Table2[[#This Row],[Adjusted revenue]]-Table2[[#This Row],[budget]])/Table2[[#This Row],[budget]]</f>
        <v>8.9999999999999982</v>
      </c>
      <c r="N957" t="str">
        <f t="shared" si="43"/>
        <v>OK</v>
      </c>
      <c r="O957" s="2">
        <f t="shared" si="44"/>
        <v>0.99999999999999956</v>
      </c>
    </row>
    <row r="958" spans="1:15" x14ac:dyDescent="0.3">
      <c r="A958" t="s">
        <v>976</v>
      </c>
      <c r="B958" s="1">
        <v>44876</v>
      </c>
      <c r="C958" s="1">
        <v>45204</v>
      </c>
      <c r="D958">
        <v>2339.3000000000002</v>
      </c>
      <c r="E958" s="2">
        <f>(Table2[[#This Row],[revenue]]-Table2[[#This Row],[budget]])/Table2[[#This Row],[budget]]</f>
        <v>83.599901679989728</v>
      </c>
      <c r="F958" t="s">
        <v>23</v>
      </c>
      <c r="G958" t="s">
        <v>12</v>
      </c>
      <c r="H958" t="s">
        <v>13</v>
      </c>
      <c r="I958">
        <v>0.73</v>
      </c>
      <c r="J958">
        <v>197904.55</v>
      </c>
      <c r="K958">
        <f>Table2[[#This Row],[revenue]]/Table2[[#This Row],[budget]]</f>
        <v>84.599901679989728</v>
      </c>
      <c r="L958" s="2">
        <f t="shared" si="42"/>
        <v>23393</v>
      </c>
      <c r="M958" s="2">
        <f>(Table2[[#This Row],[Adjusted revenue]]-Table2[[#This Row],[budget]])/Table2[[#This Row],[budget]]</f>
        <v>9</v>
      </c>
      <c r="N958" t="str">
        <f t="shared" si="43"/>
        <v>OK</v>
      </c>
      <c r="O958" s="2">
        <f t="shared" si="44"/>
        <v>1</v>
      </c>
    </row>
    <row r="959" spans="1:15" x14ac:dyDescent="0.3">
      <c r="A959" t="s">
        <v>977</v>
      </c>
      <c r="B959" s="1">
        <v>44934</v>
      </c>
      <c r="C959" s="1">
        <v>45369</v>
      </c>
      <c r="D959">
        <v>85162.21</v>
      </c>
      <c r="E959" s="2">
        <f>(Table2[[#This Row],[revenue]]-Table2[[#This Row],[budget]])/Table2[[#This Row],[budget]]</f>
        <v>5.4323690049847224</v>
      </c>
      <c r="F959" t="s">
        <v>21</v>
      </c>
      <c r="G959" t="s">
        <v>15</v>
      </c>
      <c r="H959" t="s">
        <v>16</v>
      </c>
      <c r="I959">
        <v>0.9</v>
      </c>
      <c r="J959">
        <v>547794.76</v>
      </c>
      <c r="K959">
        <f>Table2[[#This Row],[revenue]]/Table2[[#This Row],[budget]]</f>
        <v>6.4323690049847224</v>
      </c>
      <c r="L959" s="2">
        <f t="shared" si="42"/>
        <v>547794.76</v>
      </c>
      <c r="M959" s="2">
        <f>(Table2[[#This Row],[Adjusted revenue]]-Table2[[#This Row],[budget]])/Table2[[#This Row],[budget]]</f>
        <v>5.4323690049847224</v>
      </c>
      <c r="N959" t="str">
        <f t="shared" si="43"/>
        <v>OK</v>
      </c>
      <c r="O959" s="2">
        <f t="shared" si="44"/>
        <v>0.24891979052309954</v>
      </c>
    </row>
    <row r="960" spans="1:15" x14ac:dyDescent="0.3">
      <c r="A960" t="s">
        <v>978</v>
      </c>
      <c r="B960" s="1">
        <v>44778</v>
      </c>
      <c r="C960" s="1">
        <v>45192</v>
      </c>
      <c r="D960">
        <v>57412.53</v>
      </c>
      <c r="E960" s="2">
        <f>(Table2[[#This Row],[revenue]]-Table2[[#This Row],[budget]])/Table2[[#This Row],[budget]]</f>
        <v>8.4105920780707635</v>
      </c>
      <c r="F960" t="s">
        <v>21</v>
      </c>
      <c r="G960" t="s">
        <v>15</v>
      </c>
      <c r="H960" t="s">
        <v>19</v>
      </c>
      <c r="I960">
        <v>0.2</v>
      </c>
      <c r="J960">
        <v>540285.9</v>
      </c>
      <c r="K960">
        <f>Table2[[#This Row],[revenue]]/Table2[[#This Row],[budget]]</f>
        <v>9.4105920780707635</v>
      </c>
      <c r="L960" s="2">
        <f t="shared" si="42"/>
        <v>540285.9</v>
      </c>
      <c r="M960" s="2">
        <f>(Table2[[#This Row],[Adjusted revenue]]-Table2[[#This Row],[budget]])/Table2[[#This Row],[budget]]</f>
        <v>8.4105920780707635</v>
      </c>
      <c r="N960" t="str">
        <f t="shared" si="43"/>
        <v>OK</v>
      </c>
      <c r="O960" s="2">
        <f t="shared" si="44"/>
        <v>0.87591412169910821</v>
      </c>
    </row>
    <row r="961" spans="1:15" x14ac:dyDescent="0.3">
      <c r="A961" t="s">
        <v>979</v>
      </c>
      <c r="B961" s="1">
        <v>45050</v>
      </c>
      <c r="C961" s="1">
        <v>45495</v>
      </c>
      <c r="D961">
        <v>17051.21</v>
      </c>
      <c r="E961" s="2">
        <f>(Table2[[#This Row],[revenue]]-Table2[[#This Row],[budget]])/Table2[[#This Row],[budget]]</f>
        <v>32.578643392463057</v>
      </c>
      <c r="F961" t="s">
        <v>23</v>
      </c>
      <c r="G961" t="s">
        <v>12</v>
      </c>
      <c r="H961" t="s">
        <v>16</v>
      </c>
      <c r="I961">
        <v>0.22</v>
      </c>
      <c r="J961">
        <v>572556.5</v>
      </c>
      <c r="K961">
        <f>Table2[[#This Row],[revenue]]/Table2[[#This Row],[budget]]</f>
        <v>33.578643392463057</v>
      </c>
      <c r="L961" s="2">
        <f t="shared" si="42"/>
        <v>170512.09999999998</v>
      </c>
      <c r="M961" s="2">
        <f>(Table2[[#This Row],[Adjusted revenue]]-Table2[[#This Row],[budget]])/Table2[[#This Row],[budget]]</f>
        <v>9</v>
      </c>
      <c r="N961" t="str">
        <f t="shared" si="43"/>
        <v>OK</v>
      </c>
      <c r="O961" s="2">
        <f t="shared" si="44"/>
        <v>1</v>
      </c>
    </row>
    <row r="962" spans="1:15" x14ac:dyDescent="0.3">
      <c r="A962" t="s">
        <v>980</v>
      </c>
      <c r="B962" s="1">
        <v>44987</v>
      </c>
      <c r="C962" s="1">
        <v>45304</v>
      </c>
      <c r="D962">
        <v>20606.52</v>
      </c>
      <c r="E962" s="2">
        <f>(Table2[[#This Row],[revenue]]-Table2[[#This Row],[budget]])/Table2[[#This Row],[budget]]</f>
        <v>15.835423448500764</v>
      </c>
      <c r="F962" t="s">
        <v>21</v>
      </c>
      <c r="G962" t="s">
        <v>12</v>
      </c>
      <c r="H962" t="s">
        <v>13</v>
      </c>
      <c r="I962">
        <v>0.42</v>
      </c>
      <c r="J962">
        <v>346919.49</v>
      </c>
      <c r="K962">
        <f>Table2[[#This Row],[revenue]]/Table2[[#This Row],[budget]]</f>
        <v>16.835423448500766</v>
      </c>
      <c r="L962" s="2">
        <f t="shared" ref="L962:L1001" si="45">MIN(MAX(J962, D962*0.5), D962*10)</f>
        <v>206065.2</v>
      </c>
      <c r="M962" s="2">
        <f>(Table2[[#This Row],[Adjusted revenue]]-Table2[[#This Row],[budget]])/Table2[[#This Row],[budget]]</f>
        <v>9</v>
      </c>
      <c r="N962" t="str">
        <f t="shared" ref="N962:N1001" si="46">IF(M962&lt;0.5,"Failed",IF(M962&gt;10,"Suspicious","OK"))</f>
        <v>OK</v>
      </c>
      <c r="O962" s="2">
        <f t="shared" ref="O962:O1001" si="47">((M962 - (-0.5)) / (9 - (-0.5))) * (1 - (-1)) + (-1)</f>
        <v>1</v>
      </c>
    </row>
    <row r="963" spans="1:15" x14ac:dyDescent="0.3">
      <c r="A963" t="s">
        <v>981</v>
      </c>
      <c r="B963" s="1">
        <v>44876</v>
      </c>
      <c r="C963" s="1">
        <v>45496</v>
      </c>
      <c r="D963">
        <v>18637.27</v>
      </c>
      <c r="E963" s="2">
        <f>(Table2[[#This Row],[revenue]]-Table2[[#This Row],[budget]])/Table2[[#This Row],[budget]]</f>
        <v>4.6528584926869652</v>
      </c>
      <c r="F963" t="s">
        <v>18</v>
      </c>
      <c r="G963" t="s">
        <v>12</v>
      </c>
      <c r="H963" t="s">
        <v>19</v>
      </c>
      <c r="I963">
        <v>0.16</v>
      </c>
      <c r="J963">
        <v>105353.85</v>
      </c>
      <c r="K963">
        <f>Table2[[#This Row],[revenue]]/Table2[[#This Row],[budget]]</f>
        <v>5.6528584926869652</v>
      </c>
      <c r="L963" s="2">
        <f t="shared" si="45"/>
        <v>105353.85</v>
      </c>
      <c r="M963" s="2">
        <f>(Table2[[#This Row],[Adjusted revenue]]-Table2[[#This Row],[budget]])/Table2[[#This Row],[budget]]</f>
        <v>4.6528584926869652</v>
      </c>
      <c r="N963" t="str">
        <f t="shared" si="46"/>
        <v>OK</v>
      </c>
      <c r="O963" s="2">
        <f t="shared" si="47"/>
        <v>8.4812314249887333E-2</v>
      </c>
    </row>
    <row r="964" spans="1:15" x14ac:dyDescent="0.3">
      <c r="A964" t="s">
        <v>982</v>
      </c>
      <c r="B964" s="1">
        <v>44826</v>
      </c>
      <c r="C964" s="1">
        <v>45278</v>
      </c>
      <c r="D964">
        <v>57858.79</v>
      </c>
      <c r="E964" s="2">
        <f>(Table2[[#This Row],[revenue]]-Table2[[#This Row],[budget]])/Table2[[#This Row],[budget]]</f>
        <v>12.061434053494724</v>
      </c>
      <c r="F964" t="s">
        <v>11</v>
      </c>
      <c r="G964" t="s">
        <v>12</v>
      </c>
      <c r="H964" t="s">
        <v>25</v>
      </c>
      <c r="I964">
        <v>0.16</v>
      </c>
      <c r="J964">
        <v>755718.77</v>
      </c>
      <c r="K964">
        <f>Table2[[#This Row],[revenue]]/Table2[[#This Row],[budget]]</f>
        <v>13.061434053494724</v>
      </c>
      <c r="L964" s="2">
        <f t="shared" si="45"/>
        <v>578587.9</v>
      </c>
      <c r="M964" s="2">
        <f>(Table2[[#This Row],[Adjusted revenue]]-Table2[[#This Row],[budget]])/Table2[[#This Row],[budget]]</f>
        <v>9</v>
      </c>
      <c r="N964" t="str">
        <f t="shared" si="46"/>
        <v>OK</v>
      </c>
      <c r="O964" s="2">
        <f t="shared" si="47"/>
        <v>1</v>
      </c>
    </row>
    <row r="965" spans="1:15" x14ac:dyDescent="0.3">
      <c r="A965" t="s">
        <v>983</v>
      </c>
      <c r="B965" s="1">
        <v>45125</v>
      </c>
      <c r="C965" s="1">
        <v>45174</v>
      </c>
      <c r="D965">
        <v>9933.82</v>
      </c>
      <c r="E965" s="2">
        <f>(Table2[[#This Row],[revenue]]-Table2[[#This Row],[budget]])/Table2[[#This Row],[budget]]</f>
        <v>27.883332897113096</v>
      </c>
      <c r="F965" t="s">
        <v>11</v>
      </c>
      <c r="G965" t="s">
        <v>15</v>
      </c>
      <c r="H965" t="s">
        <v>16</v>
      </c>
      <c r="I965">
        <v>0.35</v>
      </c>
      <c r="J965">
        <v>286921.83</v>
      </c>
      <c r="K965">
        <f>Table2[[#This Row],[revenue]]/Table2[[#This Row],[budget]]</f>
        <v>28.883332897113096</v>
      </c>
      <c r="L965" s="2">
        <f t="shared" si="45"/>
        <v>99338.2</v>
      </c>
      <c r="M965" s="2">
        <f>(Table2[[#This Row],[Adjusted revenue]]-Table2[[#This Row],[budget]])/Table2[[#This Row],[budget]]</f>
        <v>9</v>
      </c>
      <c r="N965" t="str">
        <f t="shared" si="46"/>
        <v>OK</v>
      </c>
      <c r="O965" s="2">
        <f t="shared" si="47"/>
        <v>1</v>
      </c>
    </row>
    <row r="966" spans="1:15" x14ac:dyDescent="0.3">
      <c r="A966" t="s">
        <v>984</v>
      </c>
      <c r="B966" s="1">
        <v>44919</v>
      </c>
      <c r="C966" s="1">
        <v>45270</v>
      </c>
      <c r="D966">
        <v>55733.120000000003</v>
      </c>
      <c r="E966" s="2">
        <f>(Table2[[#This Row],[revenue]]-Table2[[#This Row],[budget]])/Table2[[#This Row],[budget]]</f>
        <v>1.6614497806690167</v>
      </c>
      <c r="F966" t="s">
        <v>23</v>
      </c>
      <c r="G966" t="s">
        <v>15</v>
      </c>
      <c r="H966" t="s">
        <v>16</v>
      </c>
      <c r="I966">
        <v>0.31</v>
      </c>
      <c r="J966">
        <v>148330.9</v>
      </c>
      <c r="K966">
        <f>Table2[[#This Row],[revenue]]/Table2[[#This Row],[budget]]</f>
        <v>2.6614497806690167</v>
      </c>
      <c r="L966" s="2">
        <f t="shared" si="45"/>
        <v>148330.9</v>
      </c>
      <c r="M966" s="2">
        <f>(Table2[[#This Row],[Adjusted revenue]]-Table2[[#This Row],[budget]])/Table2[[#This Row],[budget]]</f>
        <v>1.6614497806690167</v>
      </c>
      <c r="N966" t="str">
        <f t="shared" si="46"/>
        <v>OK</v>
      </c>
      <c r="O966" s="2">
        <f t="shared" si="47"/>
        <v>-0.54495794091178595</v>
      </c>
    </row>
    <row r="967" spans="1:15" x14ac:dyDescent="0.3">
      <c r="A967" t="s">
        <v>985</v>
      </c>
      <c r="B967" s="1">
        <v>44945</v>
      </c>
      <c r="C967" s="1">
        <v>45339</v>
      </c>
      <c r="D967">
        <v>3854.95</v>
      </c>
      <c r="E967" s="2">
        <f>(Table2[[#This Row],[revenue]]-Table2[[#This Row],[budget]])/Table2[[#This Row],[budget]]</f>
        <v>57.075279835017312</v>
      </c>
      <c r="F967" t="s">
        <v>23</v>
      </c>
      <c r="G967" t="s">
        <v>12</v>
      </c>
      <c r="H967" t="s">
        <v>16</v>
      </c>
      <c r="I967">
        <v>0.34</v>
      </c>
      <c r="J967">
        <v>223877.3</v>
      </c>
      <c r="K967">
        <f>Table2[[#This Row],[revenue]]/Table2[[#This Row],[budget]]</f>
        <v>58.075279835017312</v>
      </c>
      <c r="L967" s="2">
        <f t="shared" si="45"/>
        <v>38549.5</v>
      </c>
      <c r="M967" s="2">
        <f>(Table2[[#This Row],[Adjusted revenue]]-Table2[[#This Row],[budget]])/Table2[[#This Row],[budget]]</f>
        <v>9.0000000000000018</v>
      </c>
      <c r="N967" t="str">
        <f t="shared" si="46"/>
        <v>OK</v>
      </c>
      <c r="O967" s="2">
        <f t="shared" si="47"/>
        <v>1.0000000000000004</v>
      </c>
    </row>
    <row r="968" spans="1:15" x14ac:dyDescent="0.3">
      <c r="A968" t="s">
        <v>986</v>
      </c>
      <c r="B968" s="1">
        <v>45113</v>
      </c>
      <c r="C968" s="1">
        <v>45314</v>
      </c>
      <c r="D968">
        <v>43185.33</v>
      </c>
      <c r="E968" s="2">
        <f>(Table2[[#This Row],[revenue]]-Table2[[#This Row],[budget]])/Table2[[#This Row],[budget]]</f>
        <v>20.266695889553237</v>
      </c>
      <c r="F968" t="s">
        <v>11</v>
      </c>
      <c r="G968" t="s">
        <v>12</v>
      </c>
      <c r="H968" t="s">
        <v>25</v>
      </c>
      <c r="I968">
        <v>0.72</v>
      </c>
      <c r="J968">
        <v>918409.28</v>
      </c>
      <c r="K968">
        <f>Table2[[#This Row],[revenue]]/Table2[[#This Row],[budget]]</f>
        <v>21.266695889553233</v>
      </c>
      <c r="L968" s="2">
        <f t="shared" si="45"/>
        <v>431853.30000000005</v>
      </c>
      <c r="M968" s="2">
        <f>(Table2[[#This Row],[Adjusted revenue]]-Table2[[#This Row],[budget]])/Table2[[#This Row],[budget]]</f>
        <v>9</v>
      </c>
      <c r="N968" t="str">
        <f t="shared" si="46"/>
        <v>OK</v>
      </c>
      <c r="O968" s="2">
        <f t="shared" si="47"/>
        <v>1</v>
      </c>
    </row>
    <row r="969" spans="1:15" x14ac:dyDescent="0.3">
      <c r="A969" t="s">
        <v>987</v>
      </c>
      <c r="B969" s="1">
        <v>44954</v>
      </c>
      <c r="C969" s="1">
        <v>45251</v>
      </c>
      <c r="D969">
        <v>35728.11</v>
      </c>
      <c r="E969" s="2">
        <f>(Table2[[#This Row],[revenue]]-Table2[[#This Row],[budget]])/Table2[[#This Row],[budget]]</f>
        <v>14.582384010797101</v>
      </c>
      <c r="F969" t="s">
        <v>21</v>
      </c>
      <c r="G969" t="s">
        <v>15</v>
      </c>
      <c r="H969" t="s">
        <v>13</v>
      </c>
      <c r="I969">
        <v>0.97</v>
      </c>
      <c r="J969">
        <v>556729.13</v>
      </c>
      <c r="K969">
        <f>Table2[[#This Row],[revenue]]/Table2[[#This Row],[budget]]</f>
        <v>15.582384010797101</v>
      </c>
      <c r="L969" s="2">
        <f t="shared" si="45"/>
        <v>357281.1</v>
      </c>
      <c r="M969" s="2">
        <f>(Table2[[#This Row],[Adjusted revenue]]-Table2[[#This Row],[budget]])/Table2[[#This Row],[budget]]</f>
        <v>9</v>
      </c>
      <c r="N969" t="str">
        <f t="shared" si="46"/>
        <v>OK</v>
      </c>
      <c r="O969" s="2">
        <f t="shared" si="47"/>
        <v>1</v>
      </c>
    </row>
    <row r="970" spans="1:15" x14ac:dyDescent="0.3">
      <c r="A970" t="s">
        <v>988</v>
      </c>
      <c r="B970" s="1">
        <v>44941</v>
      </c>
      <c r="C970" s="1">
        <v>45203</v>
      </c>
      <c r="D970">
        <v>70220.820000000007</v>
      </c>
      <c r="E970" s="2">
        <f>(Table2[[#This Row],[revenue]]-Table2[[#This Row],[budget]])/Table2[[#This Row],[budget]]</f>
        <v>0.27773899535778701</v>
      </c>
      <c r="F970" t="s">
        <v>23</v>
      </c>
      <c r="G970" t="s">
        <v>12</v>
      </c>
      <c r="H970" t="s">
        <v>19</v>
      </c>
      <c r="I970">
        <v>0.33</v>
      </c>
      <c r="J970">
        <v>89723.88</v>
      </c>
      <c r="K970">
        <f>Table2[[#This Row],[revenue]]/Table2[[#This Row],[budget]]</f>
        <v>1.2777389953577869</v>
      </c>
      <c r="L970" s="2">
        <f t="shared" si="45"/>
        <v>89723.88</v>
      </c>
      <c r="M970" s="2">
        <f>(Table2[[#This Row],[Adjusted revenue]]-Table2[[#This Row],[budget]])/Table2[[#This Row],[budget]]</f>
        <v>0.27773899535778701</v>
      </c>
      <c r="N970" t="str">
        <f t="shared" si="46"/>
        <v>Failed</v>
      </c>
      <c r="O970" s="2">
        <f t="shared" si="47"/>
        <v>-0.83626547466151857</v>
      </c>
    </row>
    <row r="971" spans="1:15" x14ac:dyDescent="0.3">
      <c r="A971" t="s">
        <v>989</v>
      </c>
      <c r="B971" s="1">
        <v>45105</v>
      </c>
      <c r="C971" s="1">
        <v>45449</v>
      </c>
      <c r="D971">
        <v>39506.879999999997</v>
      </c>
      <c r="E971" s="2">
        <f>(Table2[[#This Row],[revenue]]-Table2[[#This Row],[budget]])/Table2[[#This Row],[budget]]</f>
        <v>18.07053353744968</v>
      </c>
      <c r="F971" t="s">
        <v>21</v>
      </c>
      <c r="G971" t="s">
        <v>15</v>
      </c>
      <c r="H971" t="s">
        <v>13</v>
      </c>
      <c r="I971">
        <v>0.81</v>
      </c>
      <c r="J971">
        <v>753417.28</v>
      </c>
      <c r="K971">
        <f>Table2[[#This Row],[revenue]]/Table2[[#This Row],[budget]]</f>
        <v>19.07053353744968</v>
      </c>
      <c r="L971" s="2">
        <f t="shared" si="45"/>
        <v>395068.8</v>
      </c>
      <c r="M971" s="2">
        <f>(Table2[[#This Row],[Adjusted revenue]]-Table2[[#This Row],[budget]])/Table2[[#This Row],[budget]]</f>
        <v>9</v>
      </c>
      <c r="N971" t="str">
        <f t="shared" si="46"/>
        <v>OK</v>
      </c>
      <c r="O971" s="2">
        <f t="shared" si="47"/>
        <v>1</v>
      </c>
    </row>
    <row r="972" spans="1:15" x14ac:dyDescent="0.3">
      <c r="A972" t="s">
        <v>990</v>
      </c>
      <c r="B972" s="1">
        <v>44815</v>
      </c>
      <c r="C972" s="1">
        <v>45349</v>
      </c>
      <c r="D972">
        <v>93971.199999999997</v>
      </c>
      <c r="E972" s="2">
        <f>(Table2[[#This Row],[revenue]]-Table2[[#This Row],[budget]])/Table2[[#This Row],[budget]]</f>
        <v>1.470247799325751</v>
      </c>
      <c r="F972" t="s">
        <v>18</v>
      </c>
      <c r="G972" t="s">
        <v>15</v>
      </c>
      <c r="H972" t="s">
        <v>16</v>
      </c>
      <c r="I972">
        <v>0.28999999999999998</v>
      </c>
      <c r="J972">
        <v>232132.15</v>
      </c>
      <c r="K972">
        <f>Table2[[#This Row],[revenue]]/Table2[[#This Row],[budget]]</f>
        <v>2.470247799325751</v>
      </c>
      <c r="L972" s="2">
        <f t="shared" si="45"/>
        <v>232132.15</v>
      </c>
      <c r="M972" s="2">
        <f>(Table2[[#This Row],[Adjusted revenue]]-Table2[[#This Row],[budget]])/Table2[[#This Row],[budget]]</f>
        <v>1.470247799325751</v>
      </c>
      <c r="N972" t="str">
        <f t="shared" si="46"/>
        <v>OK</v>
      </c>
      <c r="O972" s="2">
        <f t="shared" si="47"/>
        <v>-0.58521098961563145</v>
      </c>
    </row>
    <row r="973" spans="1:15" x14ac:dyDescent="0.3">
      <c r="A973" t="s">
        <v>991</v>
      </c>
      <c r="B973" s="1">
        <v>44803</v>
      </c>
      <c r="C973" s="1">
        <v>45399</v>
      </c>
      <c r="D973">
        <v>51220.79</v>
      </c>
      <c r="E973" s="2">
        <f>(Table2[[#This Row],[revenue]]-Table2[[#This Row],[budget]])/Table2[[#This Row],[budget]]</f>
        <v>14.320502866121354</v>
      </c>
      <c r="F973" t="s">
        <v>21</v>
      </c>
      <c r="G973" t="s">
        <v>15</v>
      </c>
      <c r="H973" t="s">
        <v>25</v>
      </c>
      <c r="I973">
        <v>0.13</v>
      </c>
      <c r="J973">
        <v>784728.26</v>
      </c>
      <c r="K973">
        <f>Table2[[#This Row],[revenue]]/Table2[[#This Row],[budget]]</f>
        <v>15.320502866121354</v>
      </c>
      <c r="L973" s="2">
        <f t="shared" si="45"/>
        <v>512207.9</v>
      </c>
      <c r="M973" s="2">
        <f>(Table2[[#This Row],[Adjusted revenue]]-Table2[[#This Row],[budget]])/Table2[[#This Row],[budget]]</f>
        <v>9</v>
      </c>
      <c r="N973" t="str">
        <f t="shared" si="46"/>
        <v>OK</v>
      </c>
      <c r="O973" s="2">
        <f t="shared" si="47"/>
        <v>1</v>
      </c>
    </row>
    <row r="974" spans="1:15" x14ac:dyDescent="0.3">
      <c r="A974" t="s">
        <v>992</v>
      </c>
      <c r="B974" s="1">
        <v>44799</v>
      </c>
      <c r="C974" s="1">
        <v>45464</v>
      </c>
      <c r="D974">
        <v>88113.95</v>
      </c>
      <c r="E974" s="2">
        <f>(Table2[[#This Row],[revenue]]-Table2[[#This Row],[budget]])/Table2[[#This Row],[budget]]</f>
        <v>4.9951250624901053</v>
      </c>
      <c r="F974" t="s">
        <v>11</v>
      </c>
      <c r="G974" t="s">
        <v>12</v>
      </c>
      <c r="H974" t="s">
        <v>19</v>
      </c>
      <c r="I974">
        <v>0.49</v>
      </c>
      <c r="J974">
        <v>528254.15</v>
      </c>
      <c r="K974">
        <f>Table2[[#This Row],[revenue]]/Table2[[#This Row],[budget]]</f>
        <v>5.9951250624901053</v>
      </c>
      <c r="L974" s="2">
        <f t="shared" si="45"/>
        <v>528254.15</v>
      </c>
      <c r="M974" s="2">
        <f>(Table2[[#This Row],[Adjusted revenue]]-Table2[[#This Row],[budget]])/Table2[[#This Row],[budget]]</f>
        <v>4.9951250624901053</v>
      </c>
      <c r="N974" t="str">
        <f t="shared" si="46"/>
        <v>OK</v>
      </c>
      <c r="O974" s="2">
        <f t="shared" si="47"/>
        <v>0.15686843420844321</v>
      </c>
    </row>
    <row r="975" spans="1:15" x14ac:dyDescent="0.3">
      <c r="A975" t="s">
        <v>993</v>
      </c>
      <c r="B975" s="1">
        <v>44927</v>
      </c>
      <c r="C975" s="1">
        <v>45161</v>
      </c>
      <c r="D975">
        <v>62829.72</v>
      </c>
      <c r="E975" s="2">
        <f>(Table2[[#This Row],[revenue]]-Table2[[#This Row],[budget]])/Table2[[#This Row],[budget]]</f>
        <v>3.0389438310404691</v>
      </c>
      <c r="F975" t="s">
        <v>21</v>
      </c>
      <c r="G975" t="s">
        <v>15</v>
      </c>
      <c r="H975" t="s">
        <v>25</v>
      </c>
      <c r="I975">
        <v>0.62</v>
      </c>
      <c r="J975">
        <v>253765.71</v>
      </c>
      <c r="K975">
        <f>Table2[[#This Row],[revenue]]/Table2[[#This Row],[budget]]</f>
        <v>4.0389438310404691</v>
      </c>
      <c r="L975" s="2">
        <f t="shared" si="45"/>
        <v>253765.71</v>
      </c>
      <c r="M975" s="2">
        <f>(Table2[[#This Row],[Adjusted revenue]]-Table2[[#This Row],[budget]])/Table2[[#This Row],[budget]]</f>
        <v>3.0389438310404691</v>
      </c>
      <c r="N975" t="str">
        <f t="shared" si="46"/>
        <v>OK</v>
      </c>
      <c r="O975" s="2">
        <f t="shared" si="47"/>
        <v>-0.25495919346516438</v>
      </c>
    </row>
    <row r="976" spans="1:15" x14ac:dyDescent="0.3">
      <c r="A976" t="s">
        <v>994</v>
      </c>
      <c r="B976" s="1">
        <v>45048</v>
      </c>
      <c r="C976" s="1">
        <v>45286</v>
      </c>
      <c r="D976">
        <v>79350.42</v>
      </c>
      <c r="E976" s="2">
        <f>(Table2[[#This Row],[revenue]]-Table2[[#This Row],[budget]])/Table2[[#This Row],[budget]]</f>
        <v>3.1949093653190497</v>
      </c>
      <c r="F976" t="s">
        <v>21</v>
      </c>
      <c r="G976" t="s">
        <v>15</v>
      </c>
      <c r="H976" t="s">
        <v>13</v>
      </c>
      <c r="I976">
        <v>0.56999999999999995</v>
      </c>
      <c r="J976">
        <v>332867.82</v>
      </c>
      <c r="K976">
        <f>Table2[[#This Row],[revenue]]/Table2[[#This Row],[budget]]</f>
        <v>4.1949093653190497</v>
      </c>
      <c r="L976" s="2">
        <f t="shared" si="45"/>
        <v>332867.82</v>
      </c>
      <c r="M976" s="2">
        <f>(Table2[[#This Row],[Adjusted revenue]]-Table2[[#This Row],[budget]])/Table2[[#This Row],[budget]]</f>
        <v>3.1949093653190497</v>
      </c>
      <c r="N976" t="str">
        <f t="shared" si="46"/>
        <v>OK</v>
      </c>
      <c r="O976" s="2">
        <f t="shared" si="47"/>
        <v>-0.22212434414335791</v>
      </c>
    </row>
    <row r="977" spans="1:15" x14ac:dyDescent="0.3">
      <c r="A977" t="s">
        <v>995</v>
      </c>
      <c r="B977" s="1">
        <v>45114</v>
      </c>
      <c r="C977" s="1">
        <v>45156</v>
      </c>
      <c r="D977">
        <v>69815.820000000007</v>
      </c>
      <c r="E977" s="2">
        <f>(Table2[[#This Row],[revenue]]-Table2[[#This Row],[budget]])/Table2[[#This Row],[budget]]</f>
        <v>-0.95974393769205901</v>
      </c>
      <c r="F977" t="s">
        <v>18</v>
      </c>
      <c r="G977" t="s">
        <v>15</v>
      </c>
      <c r="H977" t="s">
        <v>13</v>
      </c>
      <c r="I977">
        <v>0.27</v>
      </c>
      <c r="J977">
        <v>2810.51</v>
      </c>
      <c r="K977">
        <f>Table2[[#This Row],[revenue]]/Table2[[#This Row],[budget]]</f>
        <v>4.0256062307941091E-2</v>
      </c>
      <c r="L977" s="2">
        <f t="shared" si="45"/>
        <v>34907.910000000003</v>
      </c>
      <c r="M977" s="2">
        <f>(Table2[[#This Row],[Adjusted revenue]]-Table2[[#This Row],[budget]])/Table2[[#This Row],[budget]]</f>
        <v>-0.5</v>
      </c>
      <c r="N977" t="str">
        <f t="shared" si="46"/>
        <v>Failed</v>
      </c>
      <c r="O977" s="2">
        <f t="shared" si="47"/>
        <v>-1</v>
      </c>
    </row>
    <row r="978" spans="1:15" x14ac:dyDescent="0.3">
      <c r="A978" t="s">
        <v>996</v>
      </c>
      <c r="B978" s="1">
        <v>44801</v>
      </c>
      <c r="C978" s="1">
        <v>45439</v>
      </c>
      <c r="D978">
        <v>29206.799999999999</v>
      </c>
      <c r="E978" s="2">
        <f>(Table2[[#This Row],[revenue]]-Table2[[#This Row],[budget]])/Table2[[#This Row],[budget]]</f>
        <v>20.514720544530725</v>
      </c>
      <c r="F978" t="s">
        <v>23</v>
      </c>
      <c r="G978" t="s">
        <v>15</v>
      </c>
      <c r="H978" t="s">
        <v>25</v>
      </c>
      <c r="I978">
        <v>0.34</v>
      </c>
      <c r="J978">
        <v>628376.14</v>
      </c>
      <c r="K978">
        <f>Table2[[#This Row],[revenue]]/Table2[[#This Row],[budget]]</f>
        <v>21.514720544530725</v>
      </c>
      <c r="L978" s="2">
        <f t="shared" si="45"/>
        <v>292068</v>
      </c>
      <c r="M978" s="2">
        <f>(Table2[[#This Row],[Adjusted revenue]]-Table2[[#This Row],[budget]])/Table2[[#This Row],[budget]]</f>
        <v>9</v>
      </c>
      <c r="N978" t="str">
        <f t="shared" si="46"/>
        <v>OK</v>
      </c>
      <c r="O978" s="2">
        <f t="shared" si="47"/>
        <v>1</v>
      </c>
    </row>
    <row r="979" spans="1:15" x14ac:dyDescent="0.3">
      <c r="A979" t="s">
        <v>997</v>
      </c>
      <c r="B979" s="1">
        <v>45083</v>
      </c>
      <c r="C979" s="1">
        <v>45349</v>
      </c>
      <c r="D979">
        <v>59160</v>
      </c>
      <c r="E979" s="2">
        <f>(Table2[[#This Row],[revenue]]-Table2[[#This Row],[budget]])/Table2[[#This Row],[budget]]</f>
        <v>5.3590299188640973</v>
      </c>
      <c r="F979" t="s">
        <v>11</v>
      </c>
      <c r="G979" t="s">
        <v>12</v>
      </c>
      <c r="H979" t="s">
        <v>13</v>
      </c>
      <c r="I979">
        <v>0.69</v>
      </c>
      <c r="J979">
        <v>376200.21</v>
      </c>
      <c r="K979">
        <f>Table2[[#This Row],[revenue]]/Table2[[#This Row],[budget]]</f>
        <v>6.3590299188640973</v>
      </c>
      <c r="L979" s="2">
        <f t="shared" si="45"/>
        <v>376200.21</v>
      </c>
      <c r="M979" s="2">
        <f>(Table2[[#This Row],[Adjusted revenue]]-Table2[[#This Row],[budget]])/Table2[[#This Row],[budget]]</f>
        <v>5.3590299188640973</v>
      </c>
      <c r="N979" t="str">
        <f t="shared" si="46"/>
        <v>OK</v>
      </c>
      <c r="O979" s="2">
        <f t="shared" si="47"/>
        <v>0.23347998291875727</v>
      </c>
    </row>
    <row r="980" spans="1:15" x14ac:dyDescent="0.3">
      <c r="A980" t="s">
        <v>998</v>
      </c>
      <c r="B980" s="1">
        <v>45023</v>
      </c>
      <c r="C980" s="1">
        <v>45243</v>
      </c>
      <c r="D980">
        <v>17097.490000000002</v>
      </c>
      <c r="E980" s="2">
        <f>(Table2[[#This Row],[revenue]]-Table2[[#This Row],[budget]])/Table2[[#This Row],[budget]]</f>
        <v>21.13469287012304</v>
      </c>
      <c r="F980" t="s">
        <v>11</v>
      </c>
      <c r="G980" t="s">
        <v>12</v>
      </c>
      <c r="H980" t="s">
        <v>25</v>
      </c>
      <c r="I980">
        <v>0.82</v>
      </c>
      <c r="J980">
        <v>378447.69</v>
      </c>
      <c r="K980">
        <f>Table2[[#This Row],[revenue]]/Table2[[#This Row],[budget]]</f>
        <v>22.13469287012304</v>
      </c>
      <c r="L980" s="2">
        <f t="shared" si="45"/>
        <v>170974.90000000002</v>
      </c>
      <c r="M980" s="2">
        <f>(Table2[[#This Row],[Adjusted revenue]]-Table2[[#This Row],[budget]])/Table2[[#This Row],[budget]]</f>
        <v>9.0000000000000018</v>
      </c>
      <c r="N980" t="str">
        <f t="shared" si="46"/>
        <v>OK</v>
      </c>
      <c r="O980" s="2">
        <f t="shared" si="47"/>
        <v>1.0000000000000004</v>
      </c>
    </row>
    <row r="981" spans="1:15" x14ac:dyDescent="0.3">
      <c r="A981" t="s">
        <v>999</v>
      </c>
      <c r="B981" s="1">
        <v>45001</v>
      </c>
      <c r="C981" s="1">
        <v>45500</v>
      </c>
      <c r="D981">
        <v>31330.31</v>
      </c>
      <c r="E981" s="2">
        <f>(Table2[[#This Row],[revenue]]-Table2[[#This Row],[budget]])/Table2[[#This Row],[budget]]</f>
        <v>25.196347243292518</v>
      </c>
      <c r="F981" t="s">
        <v>11</v>
      </c>
      <c r="G981" t="s">
        <v>12</v>
      </c>
      <c r="H981" t="s">
        <v>13</v>
      </c>
      <c r="I981">
        <v>0.77</v>
      </c>
      <c r="J981">
        <v>820739.68</v>
      </c>
      <c r="K981">
        <f>Table2[[#This Row],[revenue]]/Table2[[#This Row],[budget]]</f>
        <v>26.196347243292518</v>
      </c>
      <c r="L981" s="2">
        <f t="shared" si="45"/>
        <v>313303.10000000003</v>
      </c>
      <c r="M981" s="2">
        <f>(Table2[[#This Row],[Adjusted revenue]]-Table2[[#This Row],[budget]])/Table2[[#This Row],[budget]]</f>
        <v>9</v>
      </c>
      <c r="N981" t="str">
        <f t="shared" si="46"/>
        <v>OK</v>
      </c>
      <c r="O981" s="2">
        <f t="shared" si="47"/>
        <v>1</v>
      </c>
    </row>
    <row r="982" spans="1:15" x14ac:dyDescent="0.3">
      <c r="A982" t="s">
        <v>1000</v>
      </c>
      <c r="B982" s="1">
        <v>44919</v>
      </c>
      <c r="C982" s="1">
        <v>45233</v>
      </c>
      <c r="D982">
        <v>35539.129999999997</v>
      </c>
      <c r="E982" s="2">
        <f>(Table2[[#This Row],[revenue]]-Table2[[#This Row],[budget]])/Table2[[#This Row],[budget]]</f>
        <v>15.302168905091376</v>
      </c>
      <c r="F982" t="s">
        <v>23</v>
      </c>
      <c r="G982" t="s">
        <v>15</v>
      </c>
      <c r="H982" t="s">
        <v>25</v>
      </c>
      <c r="I982">
        <v>0.68</v>
      </c>
      <c r="J982">
        <v>579364.9</v>
      </c>
      <c r="K982">
        <f>Table2[[#This Row],[revenue]]/Table2[[#This Row],[budget]]</f>
        <v>16.302168905091374</v>
      </c>
      <c r="L982" s="2">
        <f t="shared" si="45"/>
        <v>355391.3</v>
      </c>
      <c r="M982" s="2">
        <f>(Table2[[#This Row],[Adjusted revenue]]-Table2[[#This Row],[budget]])/Table2[[#This Row],[budget]]</f>
        <v>9</v>
      </c>
      <c r="N982" t="str">
        <f t="shared" si="46"/>
        <v>OK</v>
      </c>
      <c r="O982" s="2">
        <f t="shared" si="47"/>
        <v>1</v>
      </c>
    </row>
    <row r="983" spans="1:15" x14ac:dyDescent="0.3">
      <c r="A983" t="s">
        <v>1001</v>
      </c>
      <c r="B983" s="1">
        <v>44777</v>
      </c>
      <c r="C983" s="1">
        <v>45166</v>
      </c>
      <c r="D983">
        <v>43792.4</v>
      </c>
      <c r="E983" s="2">
        <f>(Table2[[#This Row],[revenue]]-Table2[[#This Row],[budget]])/Table2[[#This Row],[budget]]</f>
        <v>0.60638307103515665</v>
      </c>
      <c r="F983" t="s">
        <v>21</v>
      </c>
      <c r="G983" t="s">
        <v>12</v>
      </c>
      <c r="H983" t="s">
        <v>19</v>
      </c>
      <c r="I983">
        <v>0.81</v>
      </c>
      <c r="J983">
        <v>70347.37</v>
      </c>
      <c r="K983">
        <f>Table2[[#This Row],[revenue]]/Table2[[#This Row],[budget]]</f>
        <v>1.6063830710351565</v>
      </c>
      <c r="L983" s="2">
        <f t="shared" si="45"/>
        <v>70347.37</v>
      </c>
      <c r="M983" s="2">
        <f>(Table2[[#This Row],[Adjusted revenue]]-Table2[[#This Row],[budget]])/Table2[[#This Row],[budget]]</f>
        <v>0.60638307103515665</v>
      </c>
      <c r="N983" t="str">
        <f t="shared" si="46"/>
        <v>OK</v>
      </c>
      <c r="O983" s="2">
        <f t="shared" si="47"/>
        <v>-0.76707724820312495</v>
      </c>
    </row>
    <row r="984" spans="1:15" x14ac:dyDescent="0.3">
      <c r="A984" t="s">
        <v>1002</v>
      </c>
      <c r="B984" s="1">
        <v>44992</v>
      </c>
      <c r="C984" s="1">
        <v>45412</v>
      </c>
      <c r="D984">
        <v>80292.7</v>
      </c>
      <c r="E984" s="2">
        <f>(Table2[[#This Row],[revenue]]-Table2[[#This Row],[budget]])/Table2[[#This Row],[budget]]</f>
        <v>-0.75716684082114571</v>
      </c>
      <c r="F984" t="s">
        <v>21</v>
      </c>
      <c r="G984" t="s">
        <v>12</v>
      </c>
      <c r="H984" t="s">
        <v>25</v>
      </c>
      <c r="I984">
        <v>0.25</v>
      </c>
      <c r="J984">
        <v>19497.73</v>
      </c>
      <c r="K984">
        <f>Table2[[#This Row],[revenue]]/Table2[[#This Row],[budget]]</f>
        <v>0.24283315917885437</v>
      </c>
      <c r="L984" s="2">
        <f t="shared" si="45"/>
        <v>40146.35</v>
      </c>
      <c r="M984" s="2">
        <f>(Table2[[#This Row],[Adjusted revenue]]-Table2[[#This Row],[budget]])/Table2[[#This Row],[budget]]</f>
        <v>-0.5</v>
      </c>
      <c r="N984" t="str">
        <f t="shared" si="46"/>
        <v>Failed</v>
      </c>
      <c r="O984" s="2">
        <f t="shared" si="47"/>
        <v>-1</v>
      </c>
    </row>
    <row r="985" spans="1:15" x14ac:dyDescent="0.3">
      <c r="A985" t="s">
        <v>1003</v>
      </c>
      <c r="B985" s="1">
        <v>44953</v>
      </c>
      <c r="C985" s="1">
        <v>45179</v>
      </c>
      <c r="D985">
        <v>93319.78</v>
      </c>
      <c r="E985" s="2">
        <f>(Table2[[#This Row],[revenue]]-Table2[[#This Row],[budget]])/Table2[[#This Row],[budget]]</f>
        <v>6.910911170172068</v>
      </c>
      <c r="F985" t="s">
        <v>23</v>
      </c>
      <c r="G985" t="s">
        <v>12</v>
      </c>
      <c r="H985" t="s">
        <v>16</v>
      </c>
      <c r="I985">
        <v>0.56999999999999995</v>
      </c>
      <c r="J985">
        <v>738244.49</v>
      </c>
      <c r="K985">
        <f>Table2[[#This Row],[revenue]]/Table2[[#This Row],[budget]]</f>
        <v>7.9109111701720689</v>
      </c>
      <c r="L985" s="2">
        <f t="shared" si="45"/>
        <v>738244.49</v>
      </c>
      <c r="M985" s="2">
        <f>(Table2[[#This Row],[Adjusted revenue]]-Table2[[#This Row],[budget]])/Table2[[#This Row],[budget]]</f>
        <v>6.910911170172068</v>
      </c>
      <c r="N985" t="str">
        <f t="shared" si="46"/>
        <v>OK</v>
      </c>
      <c r="O985" s="2">
        <f t="shared" si="47"/>
        <v>0.56019182529938272</v>
      </c>
    </row>
    <row r="986" spans="1:15" x14ac:dyDescent="0.3">
      <c r="A986" t="s">
        <v>1004</v>
      </c>
      <c r="B986" s="1">
        <v>44939</v>
      </c>
      <c r="C986" s="1">
        <v>45288</v>
      </c>
      <c r="D986">
        <v>25534.3</v>
      </c>
      <c r="E986" s="2">
        <f>(Table2[[#This Row],[revenue]]-Table2[[#This Row],[budget]])/Table2[[#This Row],[budget]]</f>
        <v>4.5517069197119175</v>
      </c>
      <c r="F986" t="s">
        <v>11</v>
      </c>
      <c r="G986" t="s">
        <v>15</v>
      </c>
      <c r="H986" t="s">
        <v>19</v>
      </c>
      <c r="I986">
        <v>0.99</v>
      </c>
      <c r="J986">
        <v>141758.95000000001</v>
      </c>
      <c r="K986">
        <f>Table2[[#This Row],[revenue]]/Table2[[#This Row],[budget]]</f>
        <v>5.5517069197119175</v>
      </c>
      <c r="L986" s="2">
        <f t="shared" si="45"/>
        <v>141758.95000000001</v>
      </c>
      <c r="M986" s="2">
        <f>(Table2[[#This Row],[Adjusted revenue]]-Table2[[#This Row],[budget]])/Table2[[#This Row],[budget]]</f>
        <v>4.5517069197119175</v>
      </c>
      <c r="N986" t="str">
        <f t="shared" si="46"/>
        <v>OK</v>
      </c>
      <c r="O986" s="2">
        <f t="shared" si="47"/>
        <v>6.3517246255140547E-2</v>
      </c>
    </row>
    <row r="987" spans="1:15" x14ac:dyDescent="0.3">
      <c r="A987" t="s">
        <v>223</v>
      </c>
      <c r="B987" s="1">
        <v>45123</v>
      </c>
      <c r="C987" s="1">
        <v>45145</v>
      </c>
      <c r="D987">
        <v>7315.35</v>
      </c>
      <c r="E987" s="2">
        <f>(Table2[[#This Row],[revenue]]-Table2[[#This Row],[budget]])/Table2[[#This Row],[budget]]</f>
        <v>21.254376072231675</v>
      </c>
      <c r="F987" t="s">
        <v>11</v>
      </c>
      <c r="G987" t="s">
        <v>15</v>
      </c>
      <c r="H987" t="s">
        <v>25</v>
      </c>
      <c r="I987">
        <v>0.7</v>
      </c>
      <c r="J987">
        <v>162798.54999999999</v>
      </c>
      <c r="K987">
        <f>Table2[[#This Row],[revenue]]/Table2[[#This Row],[budget]]</f>
        <v>22.254376072231675</v>
      </c>
      <c r="L987" s="2">
        <f t="shared" si="45"/>
        <v>73153.5</v>
      </c>
      <c r="M987" s="2">
        <f>(Table2[[#This Row],[Adjusted revenue]]-Table2[[#This Row],[budget]])/Table2[[#This Row],[budget]]</f>
        <v>8.9999999999999982</v>
      </c>
      <c r="N987" t="str">
        <f t="shared" si="46"/>
        <v>OK</v>
      </c>
      <c r="O987" s="2">
        <f t="shared" si="47"/>
        <v>0.99999999999999956</v>
      </c>
    </row>
    <row r="988" spans="1:15" x14ac:dyDescent="0.3">
      <c r="A988" t="s">
        <v>1005</v>
      </c>
      <c r="B988" s="1">
        <v>44989</v>
      </c>
      <c r="C988" s="1">
        <v>45318</v>
      </c>
      <c r="D988">
        <v>4714.75</v>
      </c>
      <c r="E988" s="2">
        <f>(Table2[[#This Row],[revenue]]-Table2[[#This Row],[budget]])/Table2[[#This Row],[budget]]</f>
        <v>137.00383053184157</v>
      </c>
      <c r="F988" t="s">
        <v>11</v>
      </c>
      <c r="G988" t="s">
        <v>12</v>
      </c>
      <c r="H988" t="s">
        <v>25</v>
      </c>
      <c r="I988">
        <v>0.12</v>
      </c>
      <c r="J988">
        <v>650653.56000000006</v>
      </c>
      <c r="K988">
        <f>Table2[[#This Row],[revenue]]/Table2[[#This Row],[budget]]</f>
        <v>138.00383053184157</v>
      </c>
      <c r="L988" s="2">
        <f t="shared" si="45"/>
        <v>47147.5</v>
      </c>
      <c r="M988" s="2">
        <f>(Table2[[#This Row],[Adjusted revenue]]-Table2[[#This Row],[budget]])/Table2[[#This Row],[budget]]</f>
        <v>9</v>
      </c>
      <c r="N988" t="str">
        <f t="shared" si="46"/>
        <v>OK</v>
      </c>
      <c r="O988" s="2">
        <f t="shared" si="47"/>
        <v>1</v>
      </c>
    </row>
    <row r="989" spans="1:15" x14ac:dyDescent="0.3">
      <c r="A989" t="s">
        <v>1006</v>
      </c>
      <c r="B989" s="1">
        <v>45108</v>
      </c>
      <c r="C989" s="1">
        <v>45169</v>
      </c>
      <c r="D989">
        <v>83835.240000000005</v>
      </c>
      <c r="E989" s="2">
        <f>(Table2[[#This Row],[revenue]]-Table2[[#This Row],[budget]])/Table2[[#This Row],[budget]]</f>
        <v>0.92887418226511898</v>
      </c>
      <c r="F989" t="s">
        <v>21</v>
      </c>
      <c r="G989" t="s">
        <v>15</v>
      </c>
      <c r="H989" t="s">
        <v>13</v>
      </c>
      <c r="I989">
        <v>0.48</v>
      </c>
      <c r="J989">
        <v>161707.63</v>
      </c>
      <c r="K989">
        <f>Table2[[#This Row],[revenue]]/Table2[[#This Row],[budget]]</f>
        <v>1.928874182265119</v>
      </c>
      <c r="L989" s="2">
        <f t="shared" si="45"/>
        <v>161707.63</v>
      </c>
      <c r="M989" s="2">
        <f>(Table2[[#This Row],[Adjusted revenue]]-Table2[[#This Row],[budget]])/Table2[[#This Row],[budget]]</f>
        <v>0.92887418226511898</v>
      </c>
      <c r="N989" t="str">
        <f t="shared" si="46"/>
        <v>OK</v>
      </c>
      <c r="O989" s="2">
        <f t="shared" si="47"/>
        <v>-0.69918438268102756</v>
      </c>
    </row>
    <row r="990" spans="1:15" x14ac:dyDescent="0.3">
      <c r="A990" t="s">
        <v>1007</v>
      </c>
      <c r="B990" s="1">
        <v>44908</v>
      </c>
      <c r="C990" s="1">
        <v>45181</v>
      </c>
      <c r="D990">
        <v>17625</v>
      </c>
      <c r="E990" s="2">
        <f>(Table2[[#This Row],[revenue]]-Table2[[#This Row],[budget]])/Table2[[#This Row],[budget]]</f>
        <v>28.345053617021279</v>
      </c>
      <c r="F990" t="s">
        <v>21</v>
      </c>
      <c r="G990" t="s">
        <v>12</v>
      </c>
      <c r="H990" t="s">
        <v>19</v>
      </c>
      <c r="I990">
        <v>0.18</v>
      </c>
      <c r="J990">
        <v>517206.57</v>
      </c>
      <c r="K990">
        <f>Table2[[#This Row],[revenue]]/Table2[[#This Row],[budget]]</f>
        <v>29.345053617021279</v>
      </c>
      <c r="L990" s="2">
        <f t="shared" si="45"/>
        <v>176250</v>
      </c>
      <c r="M990" s="2">
        <f>(Table2[[#This Row],[Adjusted revenue]]-Table2[[#This Row],[budget]])/Table2[[#This Row],[budget]]</f>
        <v>9</v>
      </c>
      <c r="N990" t="str">
        <f t="shared" si="46"/>
        <v>OK</v>
      </c>
      <c r="O990" s="2">
        <f t="shared" si="47"/>
        <v>1</v>
      </c>
    </row>
    <row r="991" spans="1:15" x14ac:dyDescent="0.3">
      <c r="A991" t="s">
        <v>1008</v>
      </c>
      <c r="B991" s="1">
        <v>45080</v>
      </c>
      <c r="C991" s="1">
        <v>45504</v>
      </c>
      <c r="D991">
        <v>29827.35</v>
      </c>
      <c r="E991" s="2">
        <f>(Table2[[#This Row],[revenue]]-Table2[[#This Row],[budget]])/Table2[[#This Row],[budget]]</f>
        <v>9.411694635963304</v>
      </c>
      <c r="F991" t="s">
        <v>21</v>
      </c>
      <c r="G991" t="s">
        <v>15</v>
      </c>
      <c r="H991" t="s">
        <v>25</v>
      </c>
      <c r="I991">
        <v>0.36</v>
      </c>
      <c r="J991">
        <v>310553.26</v>
      </c>
      <c r="K991">
        <f>Table2[[#This Row],[revenue]]/Table2[[#This Row],[budget]]</f>
        <v>10.411694635963302</v>
      </c>
      <c r="L991" s="2">
        <f t="shared" si="45"/>
        <v>298273.5</v>
      </c>
      <c r="M991" s="2">
        <f>(Table2[[#This Row],[Adjusted revenue]]-Table2[[#This Row],[budget]])/Table2[[#This Row],[budget]]</f>
        <v>9.0000000000000018</v>
      </c>
      <c r="N991" t="str">
        <f t="shared" si="46"/>
        <v>OK</v>
      </c>
      <c r="O991" s="2">
        <f t="shared" si="47"/>
        <v>1.0000000000000004</v>
      </c>
    </row>
    <row r="992" spans="1:15" x14ac:dyDescent="0.3">
      <c r="A992" t="s">
        <v>1009</v>
      </c>
      <c r="B992" s="1">
        <v>44821</v>
      </c>
      <c r="C992" s="1">
        <v>45205</v>
      </c>
      <c r="D992">
        <v>62616.23</v>
      </c>
      <c r="E992" s="2">
        <f>(Table2[[#This Row],[revenue]]-Table2[[#This Row],[budget]])/Table2[[#This Row],[budget]]</f>
        <v>9.4220955174081862</v>
      </c>
      <c r="F992" t="s">
        <v>11</v>
      </c>
      <c r="G992" t="s">
        <v>12</v>
      </c>
      <c r="H992" t="s">
        <v>13</v>
      </c>
      <c r="I992">
        <v>0.7</v>
      </c>
      <c r="J992">
        <v>652592.32999999996</v>
      </c>
      <c r="K992">
        <f>Table2[[#This Row],[revenue]]/Table2[[#This Row],[budget]]</f>
        <v>10.422095517408184</v>
      </c>
      <c r="L992" s="2">
        <f t="shared" si="45"/>
        <v>626162.30000000005</v>
      </c>
      <c r="M992" s="2">
        <f>(Table2[[#This Row],[Adjusted revenue]]-Table2[[#This Row],[budget]])/Table2[[#This Row],[budget]]</f>
        <v>9</v>
      </c>
      <c r="N992" t="str">
        <f t="shared" si="46"/>
        <v>OK</v>
      </c>
      <c r="O992" s="2">
        <f t="shared" si="47"/>
        <v>1</v>
      </c>
    </row>
    <row r="993" spans="1:15" x14ac:dyDescent="0.3">
      <c r="A993" t="s">
        <v>1010</v>
      </c>
      <c r="B993" s="1">
        <v>44914</v>
      </c>
      <c r="C993" s="1">
        <v>45251</v>
      </c>
      <c r="D993">
        <v>47196.25</v>
      </c>
      <c r="E993" s="2">
        <f>(Table2[[#This Row],[revenue]]-Table2[[#This Row],[budget]])/Table2[[#This Row],[budget]]</f>
        <v>11.137335063696797</v>
      </c>
      <c r="F993" t="s">
        <v>18</v>
      </c>
      <c r="G993" t="s">
        <v>15</v>
      </c>
      <c r="H993" t="s">
        <v>16</v>
      </c>
      <c r="I993">
        <v>0.92</v>
      </c>
      <c r="J993">
        <v>572836.69999999995</v>
      </c>
      <c r="K993">
        <f>Table2[[#This Row],[revenue]]/Table2[[#This Row],[budget]]</f>
        <v>12.137335063696797</v>
      </c>
      <c r="L993" s="2">
        <f t="shared" si="45"/>
        <v>471962.5</v>
      </c>
      <c r="M993" s="2">
        <f>(Table2[[#This Row],[Adjusted revenue]]-Table2[[#This Row],[budget]])/Table2[[#This Row],[budget]]</f>
        <v>9</v>
      </c>
      <c r="N993" t="str">
        <f t="shared" si="46"/>
        <v>OK</v>
      </c>
      <c r="O993" s="2">
        <f t="shared" si="47"/>
        <v>1</v>
      </c>
    </row>
    <row r="994" spans="1:15" x14ac:dyDescent="0.3">
      <c r="A994" t="s">
        <v>1011</v>
      </c>
      <c r="B994" s="1">
        <v>44834</v>
      </c>
      <c r="C994" s="1">
        <v>45267</v>
      </c>
      <c r="D994">
        <v>4072.67</v>
      </c>
      <c r="E994" s="2">
        <f>(Table2[[#This Row],[revenue]]-Table2[[#This Row],[budget]])/Table2[[#This Row],[budget]]</f>
        <v>0.87506967173868733</v>
      </c>
      <c r="F994" t="s">
        <v>23</v>
      </c>
      <c r="G994" t="s">
        <v>15</v>
      </c>
      <c r="H994" t="s">
        <v>13</v>
      </c>
      <c r="I994">
        <v>0.18</v>
      </c>
      <c r="J994">
        <v>7636.54</v>
      </c>
      <c r="K994">
        <f>Table2[[#This Row],[revenue]]/Table2[[#This Row],[budget]]</f>
        <v>1.8750696717386874</v>
      </c>
      <c r="L994" s="2">
        <f t="shared" si="45"/>
        <v>7636.54</v>
      </c>
      <c r="M994" s="2">
        <f>(Table2[[#This Row],[Adjusted revenue]]-Table2[[#This Row],[budget]])/Table2[[#This Row],[budget]]</f>
        <v>0.87506967173868733</v>
      </c>
      <c r="N994" t="str">
        <f t="shared" si="46"/>
        <v>OK</v>
      </c>
      <c r="O994" s="2">
        <f t="shared" si="47"/>
        <v>-0.71051164805501321</v>
      </c>
    </row>
    <row r="995" spans="1:15" x14ac:dyDescent="0.3">
      <c r="A995" t="s">
        <v>1012</v>
      </c>
      <c r="B995" s="1">
        <v>44789</v>
      </c>
      <c r="C995" s="1">
        <v>45501</v>
      </c>
      <c r="D995">
        <v>82509.649999999994</v>
      </c>
      <c r="E995" s="2">
        <f>(Table2[[#This Row],[revenue]]-Table2[[#This Row],[budget]])/Table2[[#This Row],[budget]]</f>
        <v>7.5131150113956373</v>
      </c>
      <c r="F995" t="s">
        <v>23</v>
      </c>
      <c r="G995" t="s">
        <v>12</v>
      </c>
      <c r="H995" t="s">
        <v>25</v>
      </c>
      <c r="I995">
        <v>0.28999999999999998</v>
      </c>
      <c r="J995">
        <v>702414.14</v>
      </c>
      <c r="K995">
        <f>Table2[[#This Row],[revenue]]/Table2[[#This Row],[budget]]</f>
        <v>8.5131150113956373</v>
      </c>
      <c r="L995" s="2">
        <f t="shared" si="45"/>
        <v>702414.14</v>
      </c>
      <c r="M995" s="2">
        <f>(Table2[[#This Row],[Adjusted revenue]]-Table2[[#This Row],[budget]])/Table2[[#This Row],[budget]]</f>
        <v>7.5131150113956373</v>
      </c>
      <c r="N995" t="str">
        <f t="shared" si="46"/>
        <v>OK</v>
      </c>
      <c r="O995" s="2">
        <f t="shared" si="47"/>
        <v>0.68697158134644987</v>
      </c>
    </row>
    <row r="996" spans="1:15" x14ac:dyDescent="0.3">
      <c r="A996" t="s">
        <v>1013</v>
      </c>
      <c r="B996" s="1">
        <v>44893</v>
      </c>
      <c r="C996" s="1">
        <v>45334</v>
      </c>
      <c r="D996">
        <v>50412.87</v>
      </c>
      <c r="E996" s="2">
        <f>(Table2[[#This Row],[revenue]]-Table2[[#This Row],[budget]])/Table2[[#This Row],[budget]]</f>
        <v>5.6313193436517306</v>
      </c>
      <c r="F996" t="s">
        <v>23</v>
      </c>
      <c r="G996" t="s">
        <v>12</v>
      </c>
      <c r="H996" t="s">
        <v>16</v>
      </c>
      <c r="I996">
        <v>0.27</v>
      </c>
      <c r="J996">
        <v>334303.84000000003</v>
      </c>
      <c r="K996">
        <f>Table2[[#This Row],[revenue]]/Table2[[#This Row],[budget]]</f>
        <v>6.6313193436517306</v>
      </c>
      <c r="L996" s="2">
        <f t="shared" si="45"/>
        <v>334303.84000000003</v>
      </c>
      <c r="M996" s="2">
        <f>(Table2[[#This Row],[Adjusted revenue]]-Table2[[#This Row],[budget]])/Table2[[#This Row],[budget]]</f>
        <v>5.6313193436517306</v>
      </c>
      <c r="N996" t="str">
        <f t="shared" si="46"/>
        <v>OK</v>
      </c>
      <c r="O996" s="2">
        <f t="shared" si="47"/>
        <v>0.29080407234773276</v>
      </c>
    </row>
    <row r="997" spans="1:15" x14ac:dyDescent="0.3">
      <c r="A997" t="s">
        <v>1014</v>
      </c>
      <c r="B997" s="1">
        <v>45090</v>
      </c>
      <c r="C997" s="1">
        <v>45357</v>
      </c>
      <c r="D997">
        <v>93586.76</v>
      </c>
      <c r="E997" s="2">
        <f>(Table2[[#This Row],[revenue]]-Table2[[#This Row],[budget]])/Table2[[#This Row],[budget]]</f>
        <v>5.4324005874335217</v>
      </c>
      <c r="F997" t="s">
        <v>23</v>
      </c>
      <c r="G997" t="s">
        <v>15</v>
      </c>
      <c r="H997" t="s">
        <v>13</v>
      </c>
      <c r="I997">
        <v>0.87</v>
      </c>
      <c r="J997">
        <v>601987.53</v>
      </c>
      <c r="K997">
        <f>Table2[[#This Row],[revenue]]/Table2[[#This Row],[budget]]</f>
        <v>6.4324005874335226</v>
      </c>
      <c r="L997" s="2">
        <f t="shared" si="45"/>
        <v>601987.53</v>
      </c>
      <c r="M997" s="2">
        <f>(Table2[[#This Row],[Adjusted revenue]]-Table2[[#This Row],[budget]])/Table2[[#This Row],[budget]]</f>
        <v>5.4324005874335217</v>
      </c>
      <c r="N997" t="str">
        <f t="shared" si="46"/>
        <v>OK</v>
      </c>
      <c r="O997" s="2">
        <f t="shared" si="47"/>
        <v>0.24892643945968884</v>
      </c>
    </row>
    <row r="998" spans="1:15" x14ac:dyDescent="0.3">
      <c r="A998" t="s">
        <v>1015</v>
      </c>
      <c r="B998" s="1">
        <v>44945</v>
      </c>
      <c r="C998" s="1">
        <v>45350</v>
      </c>
      <c r="D998">
        <v>7401.5</v>
      </c>
      <c r="E998" s="2">
        <f>(Table2[[#This Row],[revenue]]-Table2[[#This Row],[budget]])/Table2[[#This Row],[budget]]</f>
        <v>71.589907451192317</v>
      </c>
      <c r="F998" t="s">
        <v>18</v>
      </c>
      <c r="G998" t="s">
        <v>12</v>
      </c>
      <c r="H998" t="s">
        <v>13</v>
      </c>
      <c r="I998">
        <v>0.12</v>
      </c>
      <c r="J998">
        <v>537274.19999999995</v>
      </c>
      <c r="K998">
        <f>Table2[[#This Row],[revenue]]/Table2[[#This Row],[budget]]</f>
        <v>72.589907451192317</v>
      </c>
      <c r="L998" s="2">
        <f t="shared" si="45"/>
        <v>74015</v>
      </c>
      <c r="M998" s="2">
        <f>(Table2[[#This Row],[Adjusted revenue]]-Table2[[#This Row],[budget]])/Table2[[#This Row],[budget]]</f>
        <v>9</v>
      </c>
      <c r="N998" t="str">
        <f t="shared" si="46"/>
        <v>OK</v>
      </c>
      <c r="O998" s="2">
        <f t="shared" si="47"/>
        <v>1</v>
      </c>
    </row>
    <row r="999" spans="1:15" x14ac:dyDescent="0.3">
      <c r="A999" t="s">
        <v>1016</v>
      </c>
      <c r="B999" s="1">
        <v>44955</v>
      </c>
      <c r="C999" s="1">
        <v>45261</v>
      </c>
      <c r="D999">
        <v>97845.91</v>
      </c>
      <c r="E999" s="2">
        <f>(Table2[[#This Row],[revenue]]-Table2[[#This Row],[budget]])/Table2[[#This Row],[budget]]</f>
        <v>9.0727858732163664</v>
      </c>
      <c r="F999" t="s">
        <v>21</v>
      </c>
      <c r="G999" t="s">
        <v>12</v>
      </c>
      <c r="H999" t="s">
        <v>19</v>
      </c>
      <c r="I999">
        <v>0.63</v>
      </c>
      <c r="J999">
        <v>985580.9</v>
      </c>
      <c r="K999">
        <f>Table2[[#This Row],[revenue]]/Table2[[#This Row],[budget]]</f>
        <v>10.072785873216366</v>
      </c>
      <c r="L999" s="2">
        <f t="shared" si="45"/>
        <v>978459.10000000009</v>
      </c>
      <c r="M999" s="2">
        <f>(Table2[[#This Row],[Adjusted revenue]]-Table2[[#This Row],[budget]])/Table2[[#This Row],[budget]]</f>
        <v>9</v>
      </c>
      <c r="N999" t="str">
        <f t="shared" si="46"/>
        <v>OK</v>
      </c>
      <c r="O999" s="2">
        <f t="shared" si="47"/>
        <v>1</v>
      </c>
    </row>
    <row r="1000" spans="1:15" x14ac:dyDescent="0.3">
      <c r="A1000" t="s">
        <v>1017</v>
      </c>
      <c r="B1000" s="1">
        <v>45035</v>
      </c>
      <c r="C1000" s="1">
        <v>45468</v>
      </c>
      <c r="D1000">
        <v>77555.399999999994</v>
      </c>
      <c r="E1000" s="2">
        <f>(Table2[[#This Row],[revenue]]-Table2[[#This Row],[budget]])/Table2[[#This Row],[budget]]</f>
        <v>6.9098076987546975</v>
      </c>
      <c r="F1000" t="s">
        <v>11</v>
      </c>
      <c r="G1000" t="s">
        <v>15</v>
      </c>
      <c r="H1000" t="s">
        <v>13</v>
      </c>
      <c r="I1000">
        <v>0.21</v>
      </c>
      <c r="J1000">
        <v>613448.30000000005</v>
      </c>
      <c r="K1000">
        <f>Table2[[#This Row],[revenue]]/Table2[[#This Row],[budget]]</f>
        <v>7.9098076987546975</v>
      </c>
      <c r="L1000" s="2">
        <f t="shared" si="45"/>
        <v>613448.30000000005</v>
      </c>
      <c r="M1000" s="2">
        <f>(Table2[[#This Row],[Adjusted revenue]]-Table2[[#This Row],[budget]])/Table2[[#This Row],[budget]]</f>
        <v>6.9098076987546975</v>
      </c>
      <c r="N1000" t="str">
        <f t="shared" si="46"/>
        <v>OK</v>
      </c>
      <c r="O1000" s="2">
        <f t="shared" si="47"/>
        <v>0.55995951552730472</v>
      </c>
    </row>
    <row r="1001" spans="1:15" x14ac:dyDescent="0.3">
      <c r="A1001" t="s">
        <v>1018</v>
      </c>
      <c r="B1001" s="1">
        <v>44836</v>
      </c>
      <c r="C1001" s="1">
        <v>45228</v>
      </c>
      <c r="D1001">
        <v>11168.71</v>
      </c>
      <c r="E1001" s="2">
        <f>(Table2[[#This Row],[revenue]]-Table2[[#This Row],[budget]])/Table2[[#This Row],[budget]]</f>
        <v>23.850623751534417</v>
      </c>
      <c r="F1001" t="s">
        <v>23</v>
      </c>
      <c r="G1001" t="s">
        <v>15</v>
      </c>
      <c r="H1001" t="s">
        <v>16</v>
      </c>
      <c r="I1001">
        <v>0.2</v>
      </c>
      <c r="J1001">
        <v>277549.40999999997</v>
      </c>
      <c r="K1001">
        <f>Table2[[#This Row],[revenue]]/Table2[[#This Row],[budget]]</f>
        <v>24.850623751534421</v>
      </c>
      <c r="L1001" s="2">
        <f t="shared" si="45"/>
        <v>111687.09999999999</v>
      </c>
      <c r="M1001" s="2">
        <f>(Table2[[#This Row],[Adjusted revenue]]-Table2[[#This Row],[budget]])/Table2[[#This Row],[budget]]</f>
        <v>9</v>
      </c>
      <c r="N1001" t="str">
        <f t="shared" si="46"/>
        <v>OK</v>
      </c>
      <c r="O1001" s="2">
        <f t="shared" si="47"/>
        <v>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CA8E275-509D-404A-B735-C1F6F6B4A60A}">
  <ds:schemaRefs/>
</ds:datastoreItem>
</file>

<file path=customXml/itemProps2.xml><?xml version="1.0" encoding="utf-8"?>
<ds:datastoreItem xmlns:ds="http://schemas.openxmlformats.org/officeDocument/2006/customXml" ds:itemID="{D49DA00E-FA50-4AE1-B52D-D6E37F63BED4}">
  <ds:schemaRefs/>
</ds:datastoreItem>
</file>

<file path=customXml/itemProps3.xml><?xml version="1.0" encoding="utf-8"?>
<ds:datastoreItem xmlns:ds="http://schemas.openxmlformats.org/officeDocument/2006/customXml" ds:itemID="{91C80D02-B451-4DDC-B208-21173E6C3699}">
  <ds:schemaRefs/>
</ds:datastoreItem>
</file>

<file path=customXml/itemProps4.xml><?xml version="1.0" encoding="utf-8"?>
<ds:datastoreItem xmlns:ds="http://schemas.openxmlformats.org/officeDocument/2006/customXml" ds:itemID="{85EA4D62-0203-45E8-AF7A-DC974798B60E}">
  <ds:schemaRefs/>
</ds:datastoreItem>
</file>

<file path=customXml/itemProps5.xml><?xml version="1.0" encoding="utf-8"?>
<ds:datastoreItem xmlns:ds="http://schemas.openxmlformats.org/officeDocument/2006/customXml" ds:itemID="{47E02160-41C1-4C13-BBEC-C4D2D931AEE0}">
  <ds:schemaRefs/>
</ds:datastoreItem>
</file>

<file path=customXml/itemProps6.xml><?xml version="1.0" encoding="utf-8"?>
<ds:datastoreItem xmlns:ds="http://schemas.openxmlformats.org/officeDocument/2006/customXml" ds:itemID="{BAB7A93E-F4C3-4425-8D50-B60FB989491F}">
  <ds:schemaRefs/>
</ds:datastoreItem>
</file>

<file path=customXml/itemProps7.xml><?xml version="1.0" encoding="utf-8"?>
<ds:datastoreItem xmlns:ds="http://schemas.openxmlformats.org/officeDocument/2006/customXml" ds:itemID="{3A943749-3C39-4EEF-ABCB-DFC8AA6BF451}">
  <ds:schemaRefs/>
</ds:datastoreItem>
</file>

<file path=customXml/itemProps8.xml><?xml version="1.0" encoding="utf-8"?>
<ds:datastoreItem xmlns:ds="http://schemas.openxmlformats.org/officeDocument/2006/customXml" ds:itemID="{87934F46-C930-4440-B7E8-2D50B0E7B395}">
  <ds:schemaRefs/>
</ds:datastoreItem>
</file>

<file path=customXml/itemProps9.xml><?xml version="1.0" encoding="utf-8"?>
<ds:datastoreItem xmlns:ds="http://schemas.openxmlformats.org/officeDocument/2006/customXml" ds:itemID="{CD713EFC-9668-411E-8903-58F497171736}">
  <ds:schemaRefs/>
</ds:datastoreItem>
</file>

<file path=customXml/itemProps10.xml><?xml version="1.0" encoding="utf-8"?>
<ds:datastoreItem xmlns:ds="http://schemas.openxmlformats.org/officeDocument/2006/customXml" ds:itemID="{517E66D8-D928-47DE-AC6F-7B74B0FA758E}">
  <ds:schemaRefs/>
</ds:datastoreItem>
</file>

<file path=customXml/itemProps11.xml><?xml version="1.0" encoding="utf-8"?>
<ds:datastoreItem xmlns:ds="http://schemas.openxmlformats.org/officeDocument/2006/customXml" ds:itemID="{F5E011A4-553B-4327-8260-25C2967168CC}">
  <ds:schemaRefs/>
</ds:datastoreItem>
</file>

<file path=customXml/itemProps12.xml><?xml version="1.0" encoding="utf-8"?>
<ds:datastoreItem xmlns:ds="http://schemas.openxmlformats.org/officeDocument/2006/customXml" ds:itemID="{BE1A39EB-823F-4A47-93AC-67B6D13846C2}">
  <ds:schemaRefs/>
</ds:datastoreItem>
</file>

<file path=customXml/itemProps13.xml><?xml version="1.0" encoding="utf-8"?>
<ds:datastoreItem xmlns:ds="http://schemas.openxmlformats.org/officeDocument/2006/customXml" ds:itemID="{84D507EA-E187-4EF9-AC98-73E8B741969B}">
  <ds:schemaRefs/>
</ds:datastoreItem>
</file>

<file path=customXml/itemProps14.xml><?xml version="1.0" encoding="utf-8"?>
<ds:datastoreItem xmlns:ds="http://schemas.openxmlformats.org/officeDocument/2006/customXml" ds:itemID="{C09829C4-439C-457D-83AA-C76142B8C94D}">
  <ds:schemaRefs/>
</ds:datastoreItem>
</file>

<file path=customXml/itemProps15.xml><?xml version="1.0" encoding="utf-8"?>
<ds:datastoreItem xmlns:ds="http://schemas.openxmlformats.org/officeDocument/2006/customXml" ds:itemID="{8FA7C5C2-205B-41DC-9C1E-28B317AA791C}">
  <ds:schemaRefs/>
</ds:datastoreItem>
</file>

<file path=customXml/itemProps16.xml><?xml version="1.0" encoding="utf-8"?>
<ds:datastoreItem xmlns:ds="http://schemas.openxmlformats.org/officeDocument/2006/customXml" ds:itemID="{467FEF2A-16D9-4E32-AB72-1C460B2F08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marketing_campaigns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ziad medhat</dc:creator>
  <cp:lastModifiedBy>زياد مدحت احمد محمود حسن</cp:lastModifiedBy>
  <dcterms:created xsi:type="dcterms:W3CDTF">2025-08-22T08:07:30Z</dcterms:created>
  <dcterms:modified xsi:type="dcterms:W3CDTF">2026-04-27T22:59:39Z</dcterms:modified>
</cp:coreProperties>
</file>